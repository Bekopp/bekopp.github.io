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drawings/drawing7.xml" ContentType="application/vnd.openxmlformats-officedocument.drawing+xml"/>
  <Override PartName="/xl/pivotTables/pivotTable5.xml" ContentType="application/vnd.openxmlformats-officedocument.spreadsheetml.pivotTable+xml"/>
  <Override PartName="/xl/drawings/drawing8.xml" ContentType="application/vnd.openxmlformats-officedocument.drawing+xml"/>
  <Override PartName="/xl/slicers/slicer4.xml" ContentType="application/vnd.ms-excel.slicer+xml"/>
  <Override PartName="/xl/pivotTables/pivotTable6.xml" ContentType="application/vnd.openxmlformats-officedocument.spreadsheetml.pivotTable+xml"/>
  <Override PartName="/xl/drawings/drawing9.xml" ContentType="application/vnd.openxmlformats-officedocument.drawing+xml"/>
  <Override PartName="/xl/slicers/slicer5.xml" ContentType="application/vnd.ms-excel.slicer+xml"/>
  <Override PartName="/xl/pivotTables/pivotTable7.xml" ContentType="application/vnd.openxmlformats-officedocument.spreadsheetml.pivotTable+xml"/>
  <Override PartName="/xl/drawings/drawing10.xml" ContentType="application/vnd.openxmlformats-officedocument.drawing+xml"/>
  <Override PartName="/xl/slicers/slicer6.xml" ContentType="application/vnd.ms-excel.slicer+xml"/>
  <Override PartName="/xl/pivotTables/pivotTable8.xml" ContentType="application/vnd.openxmlformats-officedocument.spreadsheetml.pivotTable+xml"/>
  <Override PartName="/xl/drawings/drawing11.xml" ContentType="application/vnd.openxmlformats-officedocument.drawing+xml"/>
  <Override PartName="/xl/slicers/slicer7.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37A63EE7-654F-3FA9-A528-636911D70600}"/>
  <workbookPr codeName="ThisWorkbook" hidePivotFieldList="1"/>
  <mc:AlternateContent xmlns:mc="http://schemas.openxmlformats.org/markup-compatibility/2006">
    <mc:Choice Requires="x15">
      <x15ac:absPath xmlns:x15ac="http://schemas.microsoft.com/office/spreadsheetml/2010/11/ac" url="https://airselangor.sharepoint.com/sites/EDMS-PCW/CW/DP/C - CW_List/CW-2023-004, Elec Works, SL DAM/03_BQ Normal (Excel)/"/>
    </mc:Choice>
  </mc:AlternateContent>
  <xr:revisionPtr revIDLastSave="397" documentId="13_ncr:1_{5BB7FB57-D05C-48BB-BF52-1D534A5B03A9}" xr6:coauthVersionLast="47" xr6:coauthVersionMax="47" xr10:uidLastSave="{214ACD36-F3AD-4CBD-9A08-24DC36F6A67A}"/>
  <bookViews>
    <workbookView xWindow="-108" yWindow="-108" windowWidth="23256" windowHeight="12456" tabRatio="887" firstSheet="1" activeTab="2" xr2:uid="{00000000-000D-0000-FFFF-FFFF00000000}"/>
  </bookViews>
  <sheets>
    <sheet name="COMMENT" sheetId="50" state="hidden" r:id="rId1"/>
    <sheet name="1. INSTRUCTION" sheetId="67" r:id="rId2"/>
    <sheet name="2. BQ Normal" sheetId="13" r:id="rId3"/>
    <sheet name="GS" sheetId="11" r:id="rId4"/>
    <sheet name="SECTION SUMMARY" sheetId="54" r:id="rId5"/>
    <sheet name="BQ A (SS)" sheetId="63" r:id="rId6"/>
    <sheet name="BQ A" sheetId="20" r:id="rId7"/>
    <sheet name="Appendix.A" sheetId="66" r:id="rId8"/>
    <sheet name="BQ B (SS)" sheetId="64" r:id="rId9"/>
    <sheet name="BQ B" sheetId="57" r:id="rId10"/>
    <sheet name="BQ C (SS)" sheetId="65" r:id="rId11"/>
    <sheet name="BQ C" sheetId="61" r:id="rId12"/>
  </sheets>
  <externalReferences>
    <externalReference r:id="rId13"/>
    <externalReference r:id="rId14"/>
  </externalReferences>
  <definedNames>
    <definedName name="amt" localSheetId="1">[1]PAF125_FP_D!#REF!</definedName>
    <definedName name="amt">[1]PAF125_FP_D!#REF!</definedName>
    <definedName name="ba" localSheetId="1">[2]stp!#REF!</definedName>
    <definedName name="ba">[2]stp!#REF!</definedName>
    <definedName name="BE" localSheetId="1">[2]stp!#REF!</definedName>
    <definedName name="BE">[2]stp!#REF!</definedName>
    <definedName name="cont">[1]PAF125_FP_D!#REF!</definedName>
    <definedName name="CONTRACT">[1]PAF125_FP_D!#REF!</definedName>
    <definedName name="CONTRACT_AMT">[1]PAF125_FP_D!#REF!</definedName>
    <definedName name="crie">[1]PAF125_FP_D!#REF!</definedName>
    <definedName name="_xlnm.Criteria">[1]PAF125_FP_D!#REF!</definedName>
    <definedName name="_xlnm.Database">[1]PAF125_FP_D!#REF!</definedName>
    <definedName name="database2">[1]PAF125_FP_D!#REF!</definedName>
    <definedName name="INSTALLED">[1]PAF125_FP_D!#REF!</definedName>
    <definedName name="INSTALLED_AMT">[1]PAF125_FP_D!#REF!</definedName>
    <definedName name="Ls">[2]stp!#REF!</definedName>
    <definedName name="Lump_Sum">[1]PAF125_FP_D!#REF!</definedName>
    <definedName name="PAF110_P">#REF!</definedName>
    <definedName name="_xlnm.Print_Area" localSheetId="1">#REF!</definedName>
    <definedName name="_xlnm.Print_Area" localSheetId="2">'2. BQ Normal'!$D$7:$I$110</definedName>
    <definedName name="_xlnm.Print_Area" localSheetId="7">Appendix.A!$A$1:$D$48</definedName>
    <definedName name="_xlnm.Print_Area" localSheetId="6">'BQ A'!$C$9:$I$115</definedName>
    <definedName name="_xlnm.Print_Area" localSheetId="5">'BQ A (SS)'!$B$7:$E$14</definedName>
    <definedName name="_xlnm.Print_Area" localSheetId="9">'BQ B'!$C$9:$I$105</definedName>
    <definedName name="_xlnm.Print_Area" localSheetId="8">'BQ B (SS)'!$B$7:$E$14</definedName>
    <definedName name="_xlnm.Print_Area" localSheetId="11">'BQ C'!$C$9:$I$15</definedName>
    <definedName name="_xlnm.Print_Area" localSheetId="10">'BQ C (SS)'!$B$7:$E$14</definedName>
    <definedName name="_xlnm.Print_Area" localSheetId="3">GS!$A$1:$D$40</definedName>
    <definedName name="_xlnm.Print_Area" localSheetId="4">'SECTION SUMMARY'!$B$7:$E$17</definedName>
    <definedName name="_xlnm.Print_Area">#REF!</definedName>
    <definedName name="_xlnm.Print_Titles" localSheetId="2">'2. BQ Normal'!$1:$6</definedName>
    <definedName name="_xlnm.Print_Titles" localSheetId="7">Appendix.A!$1:$3</definedName>
    <definedName name="_xlnm.Print_Titles" localSheetId="6">'BQ A'!$3:$8</definedName>
    <definedName name="_xlnm.Print_Titles" localSheetId="5">'BQ A (SS)'!$2:$6</definedName>
    <definedName name="_xlnm.Print_Titles" localSheetId="9">'BQ B'!$3:$8</definedName>
    <definedName name="_xlnm.Print_Titles" localSheetId="8">'BQ B (SS)'!$2:$6</definedName>
    <definedName name="_xlnm.Print_Titles" localSheetId="11">'BQ C'!$3:$8</definedName>
    <definedName name="_xlnm.Print_Titles" localSheetId="10">'BQ C (SS)'!$2:$6</definedName>
    <definedName name="_xlnm.Print_Titles" localSheetId="4">'SECTION SUMMARY'!$2:$6</definedName>
    <definedName name="Slicer_SECTION">#N/A</definedName>
    <definedName name="Slicer_SECTION1">#N/A</definedName>
    <definedName name="Slicer_SECTION1111">#N/A</definedName>
    <definedName name="Slicer_SECTION11111">#N/A</definedName>
    <definedName name="Slicer_SECTION111111">#N/A</definedName>
    <definedName name="Slicer_SECTION1111111">#N/A</definedName>
    <definedName name="Slicer_SECTION11211">#N/A</definedName>
    <definedName name="Slicer_SUB_SECTION">#N/A</definedName>
    <definedName name="Slicer_SUB_SECTION1">#N/A</definedName>
    <definedName name="Slicer_SUB_SECTION11111">#N/A</definedName>
    <definedName name="UNIT_RATE" localSheetId="1">[1]PAF125_FP_D!#REF!</definedName>
    <definedName name="UNIT_RATE">[1]PAF125_FP_D!#REF!</definedName>
  </definedNames>
  <calcPr calcId="191029" iterate="1"/>
  <pivotCaches>
    <pivotCache cacheId="225"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1" i="13" l="1"/>
  <c r="I50" i="13"/>
  <c r="I49" i="13"/>
  <c r="N49" i="13"/>
  <c r="N50" i="13"/>
  <c r="N51" i="13"/>
  <c r="I29" i="13"/>
  <c r="I28" i="13"/>
  <c r="N28" i="13"/>
  <c r="N29" i="13"/>
  <c r="B2" i="65"/>
  <c r="B2" i="64"/>
  <c r="B2" i="63"/>
  <c r="K111" i="13"/>
  <c r="H71" i="13"/>
  <c r="J111" i="13" l="1"/>
  <c r="H107" i="13" l="1"/>
  <c r="H106" i="13"/>
  <c r="H105" i="13"/>
  <c r="H104" i="13"/>
  <c r="H102" i="13"/>
  <c r="H101" i="13"/>
  <c r="H100" i="13"/>
  <c r="H99" i="13"/>
  <c r="H98" i="13"/>
  <c r="H97" i="13"/>
  <c r="H94" i="13"/>
  <c r="H93" i="13"/>
  <c r="H92" i="13"/>
  <c r="H91" i="13"/>
  <c r="H90" i="13"/>
  <c r="H89" i="13"/>
  <c r="H88" i="13"/>
  <c r="H85" i="13"/>
  <c r="H84" i="13"/>
  <c r="H83" i="13"/>
  <c r="H82" i="13"/>
  <c r="H81" i="13"/>
  <c r="H80" i="13"/>
  <c r="H79" i="13"/>
  <c r="H78" i="13"/>
  <c r="H77" i="13"/>
  <c r="H74" i="13"/>
  <c r="H73" i="13"/>
  <c r="H72" i="13"/>
  <c r="H61" i="13" l="1"/>
  <c r="I61" i="13"/>
  <c r="N61" i="13"/>
  <c r="H60" i="13"/>
  <c r="I60" i="13"/>
  <c r="N60" i="13"/>
  <c r="H62" i="13"/>
  <c r="H65" i="13"/>
  <c r="H66" i="13"/>
  <c r="H69" i="13"/>
  <c r="H70" i="13"/>
  <c r="I62" i="13"/>
  <c r="I63" i="13"/>
  <c r="I64" i="13"/>
  <c r="I65" i="13"/>
  <c r="I66" i="13"/>
  <c r="I67" i="13"/>
  <c r="I68" i="13"/>
  <c r="I69" i="13"/>
  <c r="I70" i="13"/>
  <c r="I71" i="13"/>
  <c r="N62" i="13"/>
  <c r="N63" i="13"/>
  <c r="N64" i="13"/>
  <c r="N65" i="13"/>
  <c r="N66" i="13"/>
  <c r="N67" i="13"/>
  <c r="N68" i="13"/>
  <c r="N69" i="13"/>
  <c r="N70" i="13"/>
  <c r="N71" i="13"/>
  <c r="H75" i="13"/>
  <c r="H76" i="13"/>
  <c r="I72" i="13"/>
  <c r="I73" i="13"/>
  <c r="I74" i="13"/>
  <c r="I75" i="13"/>
  <c r="I76" i="13"/>
  <c r="I77" i="13"/>
  <c r="I78" i="13"/>
  <c r="I79" i="13"/>
  <c r="I80" i="13"/>
  <c r="I81" i="13"/>
  <c r="N72" i="13"/>
  <c r="N73" i="13"/>
  <c r="N74" i="13"/>
  <c r="N75" i="13"/>
  <c r="N76" i="13"/>
  <c r="N77" i="13"/>
  <c r="N78" i="13"/>
  <c r="N79" i="13"/>
  <c r="N80" i="13"/>
  <c r="N81" i="13"/>
  <c r="H86" i="13"/>
  <c r="H87" i="13"/>
  <c r="I82" i="13"/>
  <c r="I83" i="13"/>
  <c r="I84" i="13"/>
  <c r="I85" i="13"/>
  <c r="I86" i="13"/>
  <c r="I87" i="13"/>
  <c r="I88" i="13"/>
  <c r="I89" i="13"/>
  <c r="I90" i="13"/>
  <c r="I91" i="13"/>
  <c r="N82" i="13"/>
  <c r="N83" i="13"/>
  <c r="N84" i="13"/>
  <c r="N85" i="13"/>
  <c r="N86" i="13"/>
  <c r="N87" i="13"/>
  <c r="N88" i="13"/>
  <c r="N89" i="13"/>
  <c r="N90" i="13"/>
  <c r="N91" i="13"/>
  <c r="H95" i="13"/>
  <c r="H96" i="13"/>
  <c r="I92" i="13"/>
  <c r="I93" i="13"/>
  <c r="I94" i="13"/>
  <c r="I95" i="13"/>
  <c r="I96" i="13"/>
  <c r="I97" i="13"/>
  <c r="I98" i="13"/>
  <c r="I99" i="13"/>
  <c r="I100" i="13"/>
  <c r="I101" i="13"/>
  <c r="N92" i="13"/>
  <c r="N93" i="13"/>
  <c r="N94" i="13"/>
  <c r="N95" i="13"/>
  <c r="N96" i="13"/>
  <c r="N97" i="13"/>
  <c r="N98" i="13"/>
  <c r="N99" i="13"/>
  <c r="N100" i="13"/>
  <c r="N101" i="13"/>
  <c r="H103" i="13"/>
  <c r="H108" i="13"/>
  <c r="H109" i="13"/>
  <c r="I102" i="13"/>
  <c r="I103" i="13"/>
  <c r="I104" i="13"/>
  <c r="I105" i="13"/>
  <c r="I106" i="13"/>
  <c r="I107" i="13"/>
  <c r="I108" i="13"/>
  <c r="I109" i="13"/>
  <c r="I110" i="13"/>
  <c r="N102" i="13"/>
  <c r="N103" i="13"/>
  <c r="N104" i="13"/>
  <c r="N105" i="13"/>
  <c r="N106" i="13"/>
  <c r="N107" i="13"/>
  <c r="N108" i="13"/>
  <c r="N109" i="13"/>
  <c r="N110" i="13"/>
  <c r="I8" i="13"/>
  <c r="I9" i="13"/>
  <c r="I10" i="13"/>
  <c r="I11" i="13"/>
  <c r="I12" i="13"/>
  <c r="I13" i="13"/>
  <c r="I14" i="13"/>
  <c r="I15" i="13"/>
  <c r="I16" i="13"/>
  <c r="I17" i="13"/>
  <c r="I18" i="13"/>
  <c r="I19" i="13"/>
  <c r="N8" i="13"/>
  <c r="N9" i="13"/>
  <c r="N10" i="13"/>
  <c r="N11" i="13"/>
  <c r="N12" i="13"/>
  <c r="N13" i="13"/>
  <c r="N14" i="13"/>
  <c r="N15" i="13"/>
  <c r="N16" i="13"/>
  <c r="N17" i="13"/>
  <c r="N18" i="13"/>
  <c r="N19" i="13"/>
  <c r="I20" i="13"/>
  <c r="I21" i="13"/>
  <c r="I22" i="13"/>
  <c r="I23" i="13"/>
  <c r="I24" i="13"/>
  <c r="I25" i="13"/>
  <c r="I26" i="13"/>
  <c r="I27" i="13"/>
  <c r="I30" i="13"/>
  <c r="I31" i="13"/>
  <c r="I32" i="13"/>
  <c r="I33" i="13"/>
  <c r="N20" i="13"/>
  <c r="N21" i="13"/>
  <c r="N22" i="13"/>
  <c r="N23" i="13"/>
  <c r="N24" i="13"/>
  <c r="N25" i="13"/>
  <c r="N26" i="13"/>
  <c r="N27" i="13"/>
  <c r="N30" i="13"/>
  <c r="N31" i="13"/>
  <c r="N32" i="13"/>
  <c r="N33" i="13"/>
  <c r="I34" i="13"/>
  <c r="I35" i="13"/>
  <c r="I36" i="13"/>
  <c r="I37" i="13"/>
  <c r="I38" i="13"/>
  <c r="I39" i="13"/>
  <c r="I40" i="13"/>
  <c r="I41" i="13"/>
  <c r="I42" i="13"/>
  <c r="I43" i="13"/>
  <c r="I44" i="13"/>
  <c r="I45" i="13"/>
  <c r="N34" i="13"/>
  <c r="N35" i="13"/>
  <c r="N36" i="13"/>
  <c r="N37" i="13"/>
  <c r="N38" i="13"/>
  <c r="N39" i="13"/>
  <c r="N40" i="13"/>
  <c r="N41" i="13"/>
  <c r="N42" i="13"/>
  <c r="N43" i="13"/>
  <c r="N44" i="13"/>
  <c r="N45" i="13"/>
  <c r="I46" i="13"/>
  <c r="I47" i="13"/>
  <c r="I48" i="13"/>
  <c r="I52" i="13"/>
  <c r="I53" i="13"/>
  <c r="I54" i="13"/>
  <c r="I55" i="13"/>
  <c r="I56" i="13"/>
  <c r="I57" i="13"/>
  <c r="I58" i="13"/>
  <c r="I59" i="13"/>
  <c r="N46" i="13"/>
  <c r="N47" i="13"/>
  <c r="N48" i="13"/>
  <c r="N52" i="13"/>
  <c r="N53" i="13"/>
  <c r="N54" i="13"/>
  <c r="N55" i="13"/>
  <c r="N56" i="13"/>
  <c r="N57" i="13"/>
  <c r="N58" i="13"/>
  <c r="N59" i="13"/>
  <c r="C3" i="61"/>
  <c r="N7" i="13"/>
  <c r="C3" i="20"/>
  <c r="C3" i="57"/>
  <c r="B7" i="11" l="1"/>
  <c r="C20" i="11"/>
  <c r="B2" i="54" l="1"/>
  <c r="M111" i="13" l="1"/>
  <c r="L111" i="13"/>
  <c r="C111" i="13" l="1"/>
  <c r="I111" i="13" l="1"/>
  <c r="D111" i="13"/>
  <c r="F111" i="13"/>
</calcChain>
</file>

<file path=xl/sharedStrings.xml><?xml version="1.0" encoding="utf-8"?>
<sst xmlns="http://schemas.openxmlformats.org/spreadsheetml/2006/main" count="1036" uniqueCount="283">
  <si>
    <t>DESCRIPTION</t>
  </si>
  <si>
    <t>UNIT</t>
  </si>
  <si>
    <t xml:space="preserve"> QTY</t>
  </si>
  <si>
    <t>Cheat</t>
  </si>
  <si>
    <t>RATE 
(RM)</t>
  </si>
  <si>
    <t>AMOUNT
(RM)</t>
  </si>
  <si>
    <t>GRAND SUMMARY</t>
  </si>
  <si>
    <t>NO</t>
  </si>
  <si>
    <t>(blank)</t>
  </si>
  <si>
    <t>Grand Total</t>
  </si>
  <si>
    <t>RN</t>
  </si>
  <si>
    <t>SECTION</t>
  </si>
  <si>
    <t xml:space="preserve">AMOUNT (RM) </t>
  </si>
  <si>
    <t xml:space="preserve">QTY </t>
  </si>
  <si>
    <t>RATE (RM)</t>
  </si>
  <si>
    <t>AMOUNT (RM)</t>
  </si>
  <si>
    <t>SUB-SECTION</t>
  </si>
  <si>
    <t>Tenderer's Response</t>
  </si>
  <si>
    <t>Tenderer may use the filter to navigate the sections and sub sections</t>
  </si>
  <si>
    <t>L.S.</t>
  </si>
  <si>
    <t>M</t>
  </si>
  <si>
    <t>LOT</t>
  </si>
  <si>
    <t>Comment</t>
  </si>
  <si>
    <t>SCD</t>
  </si>
  <si>
    <t>data logger, storage capacity</t>
  </si>
  <si>
    <t>submit data bi-weekly (data downloaded from the system)</t>
  </si>
  <si>
    <t>programming works, fine tuning until stability achieved.</t>
  </si>
  <si>
    <t>LIME SILO</t>
  </si>
  <si>
    <t>TWPS</t>
  </si>
  <si>
    <t>allow cost for replacement work in stages as in accordance with the approved method statement to ensure minimal impact to the water supply</t>
  </si>
  <si>
    <t>C1.004, state the limit of milage. Say, not exceeding 200km or within state of Selangor.</t>
  </si>
  <si>
    <t>VSC pump. Must ensure the pump shall be VSC and not HSC installed as VSC.</t>
  </si>
  <si>
    <t>FILTERS</t>
  </si>
  <si>
    <t>allow cost to execute the penstock replacement works in stages to ensure minimal impact to the water supply.</t>
  </si>
  <si>
    <t>allow cost for work in stages to ensure minimal impact to the water supply</t>
  </si>
  <si>
    <t>Navigate</t>
  </si>
  <si>
    <t>Filter here to filter each sub section.</t>
  </si>
  <si>
    <t>GRAND TOTAL TENDER PRICE CARRIED TO FORM OF TENDER :</t>
  </si>
  <si>
    <t>Contract Period :</t>
  </si>
  <si>
    <t>TENDER SUM RINGGIT MALAYSIA (All Tax Included):</t>
  </si>
  <si>
    <t>15 Months</t>
  </si>
  <si>
    <t>PERFORMANCE BOND</t>
  </si>
  <si>
    <t>A</t>
  </si>
  <si>
    <t>A: General &amp; Preliminaries</t>
  </si>
  <si>
    <t>A.001</t>
  </si>
  <si>
    <t>Allow costs for the Performance Bond. (This cost will be deducted upon opting for the performance guarantee sum).</t>
  </si>
  <si>
    <t>INSURANCES</t>
  </si>
  <si>
    <t>A.002</t>
  </si>
  <si>
    <t>Allow cost for the Contractor's All Risk and Third Party/ Public Liability Insurance. (Note : Insurance shall cover the total contract sum and throughout the construction period including the Defect Liability  Period).</t>
  </si>
  <si>
    <t>A.003</t>
  </si>
  <si>
    <t>Allow cost for the Workmen's Compensation Insurance. (Note : Insurance shall cover throughout the construction period including the Defect Liability Period)</t>
  </si>
  <si>
    <t>CIDB LEVY</t>
  </si>
  <si>
    <t>A.004</t>
  </si>
  <si>
    <t>Allow cost for the Construction Industry Development Board (CIDB) Levy.</t>
  </si>
  <si>
    <t>SOCSO CONTRIBUTION</t>
  </si>
  <si>
    <t>A.005</t>
  </si>
  <si>
    <t>Allow cost for contribution to SOCSO.</t>
  </si>
  <si>
    <t>MOBILIZATION AND DEMOBILIZATION</t>
  </si>
  <si>
    <t>A.006</t>
  </si>
  <si>
    <t>A.007</t>
  </si>
  <si>
    <t>A.008</t>
  </si>
  <si>
    <t>A.009</t>
  </si>
  <si>
    <t>CONTRACTOR'S SITE OFFICE</t>
  </si>
  <si>
    <t>A.010</t>
  </si>
  <si>
    <t>Provide and maintain temporary site office, workmen accommodation, temporary buildings, temporary water supply, temporary electricity, temporary sanitation and stores to be used by the Contractor and subsequent removal on completion of the Works for the whole sites.</t>
  </si>
  <si>
    <t>A.011</t>
  </si>
  <si>
    <t>Provide and maintain temporary cabin storage (standard size 20 foot) to be used by the Contractor and subsequent removal on completion of the Works for the whole sites.</t>
  </si>
  <si>
    <t>PROJECT SIGNBOARD</t>
  </si>
  <si>
    <t>A.012</t>
  </si>
  <si>
    <t>SITE REQUIREMENT</t>
  </si>
  <si>
    <t>A.013</t>
  </si>
  <si>
    <t>Allow cost to maintain the works being kept clear of water in all situation including but not limited to the dewatering of the trenches and during the testing and commissioning of the pipe lines.</t>
  </si>
  <si>
    <t>A.014</t>
  </si>
  <si>
    <t>Provide and maintain the temporary and existing access roads to the Site for the duration of the Contract.  Rate to include the reinstatement to the original condition on the completions of the Works.</t>
  </si>
  <si>
    <t>A.015</t>
  </si>
  <si>
    <t>Allow cost to maintain the cleanliness of the working area including the ongoing housekeeping, water spraying to reduce the dust mainly on the main road, etc to the requirement of the Authorities. Clearing up the Site as directed during the progress and upon completion of the Works.</t>
  </si>
  <si>
    <t>SITE AGENT</t>
  </si>
  <si>
    <t>A.016</t>
  </si>
  <si>
    <t>Provide full time, qualified and experienced engineer as the Site Agent to the approval of the C.A.</t>
  </si>
  <si>
    <t>EQUIPMENT FOR USE BY THE C.A / ENGINEER</t>
  </si>
  <si>
    <t>A.017</t>
  </si>
  <si>
    <t>Provide C.A's temporary  &amp; maintain site office to be used during construction period, temporary water supply, temporary electricity, temporary sanitation, telephone system &amp; internet services and rental &amp; maintain of the internet services complying to C.A requirements. The location of the site office subjected to C.A approval.</t>
  </si>
  <si>
    <t>A.018</t>
  </si>
  <si>
    <t>A.019</t>
  </si>
  <si>
    <t>A.020</t>
  </si>
  <si>
    <t>A.021</t>
  </si>
  <si>
    <t>Allow cost for liaison with Authorities for permit application and working within road / existing utilities reserve to meet the requirement of Road / Utilities Authorities (Jabatan Hutan, MBAJ, TNB, LUAS, CGSO etc.). All related cost including application fees and mandatory charges shall be borne by Contractor.</t>
  </si>
  <si>
    <t>A.022</t>
  </si>
  <si>
    <t>To provide materials, tools and skilful personnel to conduct training on the equipment/works/system under this contract for C.A Personnel's. The training shall include technical and practical training consisting of class theory, physical on-site operation and maintenance training inclusive trouble shooting of the equipment and complete system. The work shall include training program and schedule.</t>
  </si>
  <si>
    <t>PROGRAMMES, DRAWINGS AND DOCUMENTS</t>
  </si>
  <si>
    <t>A.023</t>
  </si>
  <si>
    <t>Provide, prepare and submit the As-Built Drawings as per requirement of C.A. All as-built drawings shall be certified and duty stamped by PE prior to submission. It shall be in Two (2) Sets of A1 size paper, Three (3) Sets of A3 size paper with hard cover binding and Four (4) sets in CD/DVD for drawings in AutoCAD 2010 softcopy format (dwg) and pdf format.</t>
  </si>
  <si>
    <t>A.024</t>
  </si>
  <si>
    <t>Supply 4 sets of Final Operations and Maintenance (O&amp;M) (The hard copy O&amp;M shall in hardcover binding and to follow Air Selangor Template and soft copy O&amp;M shall be in CD).</t>
  </si>
  <si>
    <t>A.025</t>
  </si>
  <si>
    <t>Provide, prepare and submit four (4) sets of official documentation for submission &amp; approval in hardcopy (hard cover binded with glossy coloured cover) and one (1) set of softcopy (pdf) in CD/DVD for shop drawings, calculation, catalogues, method statements, test procedures, test certificates, factory inspection reports, site test reports, work programme (ghant chart),  etc. c/w PE certification as per requirement of C.A.</t>
  </si>
  <si>
    <t>A.026</t>
  </si>
  <si>
    <t>A.027</t>
  </si>
  <si>
    <t>Allow cost for the preparation of contract documentation, binding in hardcover and stamping comprising of One (1) No. of Original, One (1) No. of Duplicate and Five (5) Nos. of Copy.</t>
  </si>
  <si>
    <t>HEALTH AND SAFETY PRECAUTIONS</t>
  </si>
  <si>
    <r>
      <t xml:space="preserve">Note: The Contractor shall refer to </t>
    </r>
    <r>
      <rPr>
        <b/>
        <u/>
        <sz val="12"/>
        <rFont val="Calibri"/>
        <family val="2"/>
        <scheme val="minor"/>
      </rPr>
      <t>Appendix A</t>
    </r>
    <r>
      <rPr>
        <sz val="12"/>
        <rFont val="Calibri"/>
        <family val="2"/>
        <scheme val="minor"/>
      </rPr>
      <t xml:space="preserve"> for further details and explanations.</t>
    </r>
  </si>
  <si>
    <t>A.028</t>
  </si>
  <si>
    <t>Generals</t>
  </si>
  <si>
    <t>A.029</t>
  </si>
  <si>
    <t>Niosh Safety Passport Courses</t>
  </si>
  <si>
    <t>A.030</t>
  </si>
  <si>
    <t>Working at Height</t>
  </si>
  <si>
    <t>A.031</t>
  </si>
  <si>
    <t>TESTING &amp; COMMISSIONING (T&amp;C)</t>
  </si>
  <si>
    <t>FACTORY ACCEPTANCE TEST (FAT)</t>
  </si>
  <si>
    <t>Factory Acceptance Test at the manufacturer before deliver to site and witness by CA representative and consultant feeder pillar.</t>
  </si>
  <si>
    <t>Factory Acceptance Test at the manufacturer before deliver to site and witness by CA representative and consultant for switchboard</t>
  </si>
  <si>
    <t>HALF YEARLY SERVICE DURING DLP</t>
  </si>
  <si>
    <t>Notes:
a)   The rate for all items here in shall be inclusive of supply, delivery and installation of complete item, setting to work, testing &amp; commissioning where required. Also where replaced indicated it shall include dismantling of the existing.
b)   Please include submission of product catalogue and detail technical specification and other necessary item.
c)   The rate also shall include preparation and submission of shop drawings for C.A approval before commencement  of the works.
d)  All quantities given are PROVISIONAL. The actual quantities installed shall be measured on site after completion and prices adjusted accordingly.</t>
  </si>
  <si>
    <t>DISMANTLING WORKS</t>
  </si>
  <si>
    <t>FEEDER PILLAR</t>
  </si>
  <si>
    <t>Fabricate, supply, deliver, install and testing &amp; commissioning of the following in accordance to the drawings and specification</t>
  </si>
  <si>
    <t>63A TPN metalclad epoxy Feeder Pillar (IP56) electro-galvanized sheet steel with minimum thickness of 2mm inclusive of MCCBs, RCCBs, SPD, Timer with 24 hours spring reserve, switch socket outlet, 1 x 18W corrosive resistant fluorescent fitting, copper busbar and others accessories  painted with paint as C.A. requirement.</t>
  </si>
  <si>
    <t>MAIN/SUB-MAIN CABLING WORKS</t>
  </si>
  <si>
    <t>LIGHTING POLE</t>
  </si>
  <si>
    <t>External surge protection 20kA at junction box lighting pole</t>
  </si>
  <si>
    <t>Fabricate, supply, deliver, install and testing &amp; commissioning of the following as per specification &amp; requirement</t>
  </si>
  <si>
    <t>SPARE PARTS</t>
  </si>
  <si>
    <t>Surge Protection Device 20kA for pole lighting</t>
  </si>
  <si>
    <t>Street lighting luminaire 150W NW LED, asymmetric medium, IP 66 c/w clear &amp; hardened glass protector, die-cast aluminium housing and corrosion resistant polyester powder painted, surge protection device, built-in driver with pf&gt;0.95 and termination.</t>
  </si>
  <si>
    <t>150NW LED street light lantern (IP66)</t>
  </si>
  <si>
    <t>200W NW Floodlight (IP66)</t>
  </si>
  <si>
    <t>STREET/COMPOUND LANTERN</t>
  </si>
  <si>
    <t>SUB-MAIN BOARD/ DISTRIBUTION BOARD</t>
  </si>
  <si>
    <t>Precast concrete footing c/w anchor bolt for mounting of flange mounted column.</t>
  </si>
  <si>
    <t>C: PROVISIONAL SUM</t>
  </si>
  <si>
    <t>C</t>
  </si>
  <si>
    <t>C: Provisional Sum</t>
  </si>
  <si>
    <t>C.001</t>
  </si>
  <si>
    <t>Note: The Contractor shall refer to Appendix A for further details and explanations.</t>
  </si>
  <si>
    <t>A: GENERAL &amp; PRELIMINARIES</t>
  </si>
  <si>
    <t>`</t>
  </si>
  <si>
    <t>Tenderer shall price in their response in the orange box below</t>
  </si>
  <si>
    <t>Contractor shall fabricate, supply, deliver, cable pulling, testing and commissioning including cable termination, support or excavation, trenching, sand bedding, cable protection cover (orange) &amp; backfilling, compaction, markers, draw wire, disposal of surplus material and making good of site surface.</t>
  </si>
  <si>
    <t>APPENDIX A</t>
  </si>
  <si>
    <t>DETAILS AND EXPLANATION FOR HEALTH AND SAFETY PRECAUTIONS</t>
  </si>
  <si>
    <t>GENERAL</t>
  </si>
  <si>
    <t>Provide and maintain a healthy site environment and security at all times. Site safety complying to Occupation Safety and Health Act OSHA FMA 1967, EQA 1974, regulation, all relevant local authority requirements (DOSH/JKKP) and all Health &amp; Safety Unit (HSU).</t>
  </si>
  <si>
    <t>B</t>
  </si>
  <si>
    <t>preparation of site safety and health plan complete with safety and health policy hazard identification risk assessment and control and emergency response plan to the satisfaction of the C.A.</t>
  </si>
  <si>
    <t>The contractor shall provide and maintain all the necessary protective and safety helmets, rubber boots, safety shoes and standard colour T'shirt for all the site staffs and workers to be worn at all time throughout the construction period.</t>
  </si>
  <si>
    <t>D</t>
  </si>
  <si>
    <t>Allow cost for complying with all the Health and Safety precaution for the works, including provision for all the necessary equipment, material and labour in compliance with all the health, safety and security requirements.</t>
  </si>
  <si>
    <t>E</t>
  </si>
  <si>
    <t>Provide Personal Protective Equipment (PPE) for C.A and his representatives which include safety boots, safety helmets, water boots, and safety jackets for each site.</t>
  </si>
  <si>
    <t>F</t>
  </si>
  <si>
    <t>G</t>
  </si>
  <si>
    <t>H</t>
  </si>
  <si>
    <t>Allow cost for the provision of the Safety Vest for each of the site staff and to be worn at all the time throughout the construction period.</t>
  </si>
  <si>
    <t>I</t>
  </si>
  <si>
    <t>To provide the traffic management control system to the requirements of the relevant authorities.</t>
  </si>
  <si>
    <t>J</t>
  </si>
  <si>
    <t>Allow cost for liaison with the Authorities for the permit application, site registration and working within the road / existing utilities reserve to meet the requirement of the Safety and Health and Road / Utilities Authorities (DOSH, DBKL, MPAJ, TNB, Telecom, etc.)  All related costs including the application fees and mandatory charges shall be borne by the Contractor. Bank Guarantee or any other form of deposit shall be borne by AIR SELANGOR.</t>
  </si>
  <si>
    <t>K</t>
  </si>
  <si>
    <t>Allow cost for the provision and maintenance of all the traffic or warning signs, barricades NYLEX road barriers, signal and blinking lamps and personnel to guide movements of traffic day and night during the duration of the works. (All the road traffic signs are to be of the AIR SELANGOR Standard drawings.) 
Minimum requirements for each works area:
1. Plastic cone.
2. NEYLEX barrier mesh.
3. AWAS signboard.
4. AWAS KERJA- KERJA AIR SELANGOR 50m DIHADAPAN signboard.
5. AWAS KERJA-KERJA AIR SELANGOR 100m DI HADAPAN signboard.
6. Amber wooden board showing a black arrow.
7. KERJA-KERJA PEMBANGUNAN OLEH AIR SELANGOR SEDANG DIJALANKAN, SEBARANG GANGGUAN AMAT DIKESALI signboard.
8. Signal lights or blinkers.
9. STOP / GO control sign hand signal swing disc.
10. Other traffic signs required.</t>
  </si>
  <si>
    <t>Any Covid - 19 Test as per KKM requirement and SOP comply to 'Majlis Keselamatan Negara' (MKN) and site requirement.</t>
  </si>
  <si>
    <t>NIOSH SAFETY PASSPORT COURSE</t>
  </si>
  <si>
    <t>To attend and complete the full day of training on Air Selangor NIOSH Safety Passport Course for all the employees or workers of the contractor and sub-contractors who are required  to work at site(s).</t>
  </si>
  <si>
    <t>To obtain the Air Selangor Niosh Safety Passport Card after completion of the training. course.</t>
  </si>
  <si>
    <t>To ensure that all the employees and workers who are engaged in the work at the site (s) have a valid Air Selangor Niosh Safety Passport Contractor's card issued by Air Selangor. The card shall be displayed at all times when working at the site (s) and/or at any Air Selangor premise (s).</t>
  </si>
  <si>
    <t>Report analysis, report writing and presentation To provide a copy of the Air Selangor NIOSH Safety passport to the Pengurusan Air Selangor Sdn Bhd management team.</t>
  </si>
  <si>
    <t>WORKING AT HEIGHT</t>
  </si>
  <si>
    <t>To provide an adequate fall protection device including safety harness to all the related worker during working above 3 meter. Fall protection device shall be approved by the Department of Occupational Safety &amp; Health (DOSH).</t>
  </si>
  <si>
    <t>To provide an adequate and proper A ladder (if any). The ladder shall be approved by the approved authority bodies i.e. SIRIM and etc.</t>
  </si>
  <si>
    <t>To provide a suitable working platform such as scaffolding complete with the erection &amp; inspection tagging.</t>
  </si>
  <si>
    <t>To provide a competent erector / inspector recognized by DOSH for the scaffolding structure</t>
  </si>
  <si>
    <t>Erection of the scaffolding more than 15 metre must be designed and drawing by the Professional Engineer.</t>
  </si>
  <si>
    <t>HOT WORK</t>
  </si>
  <si>
    <t>To provide and ensure all the worker involved in the hot work activities are trained person and using the appropriated PPE during activities.</t>
  </si>
  <si>
    <t>To provide an adequate ABC 9 kg Fire Extingusher.</t>
  </si>
  <si>
    <t>To provide the fire watcher during hot work activities.</t>
  </si>
  <si>
    <t>To provide the oxy cutter cylinder cart including the flashback arrester.</t>
  </si>
  <si>
    <t>To provide the ventilation fan.</t>
  </si>
  <si>
    <t>EXCAVATION</t>
  </si>
  <si>
    <t>To provide shoring or suitable temporary structure for the excavation more than 1.5 metre depth.</t>
  </si>
  <si>
    <t>To provide suitable safe access into the excavation site such as ladder.</t>
  </si>
  <si>
    <t>To provide the AESP and AGT if depth of the exacavation works considered as confined space, more than 1.5 metre.</t>
  </si>
  <si>
    <t>To provide the mechanical ventilation for the excavation work more than 1.5 metre depth.</t>
  </si>
  <si>
    <t>To provide an adequate control for the effective sediment traps such as the geotextiles fence, polymer block, etc (if necessary).</t>
  </si>
  <si>
    <t>Allow cost for mobilisation of Contractor's plant including transport to Site and removal on completion of the Works.</t>
  </si>
  <si>
    <t>Testing and Commissioning upon completion of the works.</t>
  </si>
  <si>
    <t>Provide and maintain the works during Defect Liability Period (24months) and inspection half yearly service inclusive replacement of defect parts.</t>
  </si>
  <si>
    <t>Provide and maintain for one (1) nos of project signboards as per C.A. requirement and to be removed upon completion of the project .</t>
  </si>
  <si>
    <t>B.001</t>
  </si>
  <si>
    <t xml:space="preserve">Allow provision to disconnect and dismantle of existing poles, lanterns and cables at the Dam area and deliver to the approved CA storage. Rate shall include materials, equipment, labour and skills required for welding, hacking, cutting and making good of all existing structure upon completion. </t>
  </si>
  <si>
    <t>B.002</t>
  </si>
  <si>
    <t>Terminate/dismantle the existing DB/SL and deliver to the approved CA storage.</t>
  </si>
  <si>
    <t>B.003</t>
  </si>
  <si>
    <t>Inspection of existing MSB c/w modification/upgrading inclusive of supply and install new 63A TPN MCCB for the new feeder pillar (FP/1) and (DB/SL)</t>
  </si>
  <si>
    <t>B.004</t>
  </si>
  <si>
    <t>63A TPN metalclad new distribution board  (DB/SL) c/w 63A TPN MCCB, 32A MCB, RCCB, SPD, timer (24hours spring reserve), cable termination and all other accessories</t>
  </si>
  <si>
    <t>B.005</t>
  </si>
  <si>
    <t>B.006</t>
  </si>
  <si>
    <t xml:space="preserve">Heat shrinkable termination for all cables "IN" and "OUT" as per drawing and specification. </t>
  </si>
  <si>
    <t>B.007</t>
  </si>
  <si>
    <t>Concrete plinth complete with sufficient opening for incoming/outgoing cabling</t>
  </si>
  <si>
    <t>B.008</t>
  </si>
  <si>
    <t>Supply and install of complete solid earthing system (≤ 5 ohm) using 25mm x 3mm copper tape, 5/8"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t>
  </si>
  <si>
    <t>B.009</t>
  </si>
  <si>
    <t>4C x 35mm² XLPE/SWA/PVC Copper Cable direct buried underground c/w termination &amp; accessories from MSB to new F/P (Compound Lighting)</t>
  </si>
  <si>
    <t>B.010</t>
  </si>
  <si>
    <t xml:space="preserve"> 4C x 25mm² XLPE/PVC Copper Cable laying on tray/trunking from existing MSB to DB/SL c/w termination and cable accessories</t>
  </si>
  <si>
    <t>B.011</t>
  </si>
  <si>
    <t>100mm (W) cable tray c/w bracket support &amp; accessories (to DB/SL)</t>
  </si>
  <si>
    <t>B.012</t>
  </si>
  <si>
    <t>4C x 25mm² XLPE/SWA/PVC Copper Cable direct buried underground from new F/P to lighting poles c/w termination and cable accessories at services box</t>
  </si>
  <si>
    <t>B.013</t>
  </si>
  <si>
    <t>4C x 16mm² PVC/SWA/PVC Copper Cable direct buried underground from new F/P to lighting poles c/w termination and cable accessories at services box</t>
  </si>
  <si>
    <t>B.014</t>
  </si>
  <si>
    <t xml:space="preserve">4C x 10mm² PVC/SWA/PVC Copper Cable on tray from new F/P &amp; DB/SL to lighting poles c/w termination at and cable accessories services box </t>
  </si>
  <si>
    <t>B.015</t>
  </si>
  <si>
    <t>4C x 10mm² PVC/SWA/PVC Copper Cable on tray from new DB/SL to lighting poles c/w termination and cable accessories at services box (Bridge Draw Off)</t>
  </si>
  <si>
    <t>B.016</t>
  </si>
  <si>
    <t>100mm (W) cable tray c/w bracket support &amp; accessories (at Bridge Draw Off)</t>
  </si>
  <si>
    <t>B.017</t>
  </si>
  <si>
    <t>100mm dia. GI pipe Class B for road crossing inclusive excavation, backfill, compaction and make good the surface as per existing</t>
  </si>
  <si>
    <t>Fabricate, Supply, Deliver and Install the following as per  client requirement, specification and drawings</t>
  </si>
  <si>
    <t>B.018</t>
  </si>
  <si>
    <t>B.019</t>
  </si>
  <si>
    <t>B.020</t>
  </si>
  <si>
    <t>B.021</t>
  </si>
  <si>
    <t>B.022</t>
  </si>
  <si>
    <t>B.023</t>
  </si>
  <si>
    <t>B.024</t>
  </si>
  <si>
    <t>B.025</t>
  </si>
  <si>
    <t>Street lighting luminaire 50W NW LED, asymmetric medium, IP 66 c/w clear &amp; hardened glass protector, die-cast aluminium housing and corrosion resistant polyester powder painted, surge protection device, built-in driver with pf&gt;0.95 and termination. (Bridge Draw Off and Gauge House)</t>
  </si>
  <si>
    <t>B.026</t>
  </si>
  <si>
    <t>B.027</t>
  </si>
  <si>
    <t>Floodlight 200W NW LED, asymmetric medium, IP 66 c/w smooth reflector &amp; thermal hardened glass diffuser, die-cast aluminium housing and corrosion resistant polyester powder painted, surge protection device, built-in driver with pf&gt;0.95, bracket support and termination. (mounting at Bridge)</t>
  </si>
  <si>
    <t>B.028</t>
  </si>
  <si>
    <t>Floodlight 200W NW LED, asymmetric medium, IP 66 c/w smooth reflector &amp; thermal hardened glass diffuser, die-cast aluminium housing and corrosion resistant polyester powder painted, surge protection device, built-in driver with pf&gt;0.95, bracket support and termination. (mounting at 10m (H) pole)</t>
  </si>
  <si>
    <t>B.029</t>
  </si>
  <si>
    <t>20A 3phase Isolator On/Off light switch &amp; weatherproof IP65</t>
  </si>
  <si>
    <t>B.030</t>
  </si>
  <si>
    <t>Weatherproof Junction box IP65 c/w accessories</t>
  </si>
  <si>
    <t>B.031</t>
  </si>
  <si>
    <t>B.032</t>
  </si>
  <si>
    <t>50NW LED street light lantern (IP66)</t>
  </si>
  <si>
    <t>B.033</t>
  </si>
  <si>
    <t>B.034</t>
  </si>
  <si>
    <r>
      <t xml:space="preserve">Contractor shall </t>
    </r>
    <r>
      <rPr>
        <b/>
        <sz val="12"/>
        <rFont val="Calibri"/>
        <family val="2"/>
        <scheme val="minor"/>
      </rPr>
      <t>fabricate,</t>
    </r>
    <r>
      <rPr>
        <sz val="12"/>
        <rFont val="Calibri"/>
        <family val="2"/>
        <scheme val="minor"/>
      </rPr>
      <t xml:space="preserve"> </t>
    </r>
    <r>
      <rPr>
        <b/>
        <sz val="12"/>
        <rFont val="Calibri"/>
        <family val="2"/>
        <scheme val="minor"/>
      </rPr>
      <t>supply, deliver, cable pulling</t>
    </r>
    <r>
      <rPr>
        <sz val="12"/>
        <rFont val="Calibri"/>
        <family val="2"/>
        <scheme val="minor"/>
      </rPr>
      <t xml:space="preserve">, </t>
    </r>
    <r>
      <rPr>
        <b/>
        <sz val="12"/>
        <rFont val="Calibri"/>
        <family val="2"/>
        <scheme val="minor"/>
      </rPr>
      <t xml:space="preserve">testing and commissioning including cable termination, </t>
    </r>
    <r>
      <rPr>
        <sz val="12"/>
        <rFont val="Calibri"/>
        <family val="2"/>
        <scheme val="minor"/>
      </rPr>
      <t xml:space="preserve">support or excavation, trenching, sand bedding, cable protection cover (orange) &amp; backfilling, </t>
    </r>
    <r>
      <rPr>
        <b/>
        <sz val="12"/>
        <rFont val="Calibri"/>
        <family val="2"/>
        <scheme val="minor"/>
      </rPr>
      <t xml:space="preserve">compaction, </t>
    </r>
    <r>
      <rPr>
        <sz val="12"/>
        <rFont val="Calibri"/>
        <family val="2"/>
        <scheme val="minor"/>
      </rPr>
      <t xml:space="preserve">markers, </t>
    </r>
    <r>
      <rPr>
        <b/>
        <sz val="12"/>
        <rFont val="Calibri"/>
        <family val="2"/>
        <scheme val="minor"/>
      </rPr>
      <t xml:space="preserve">draw wire, </t>
    </r>
    <r>
      <rPr>
        <sz val="12"/>
        <rFont val="Calibri"/>
        <family val="2"/>
        <scheme val="minor"/>
      </rPr>
      <t xml:space="preserve">disposal of surplus material and </t>
    </r>
    <r>
      <rPr>
        <b/>
        <sz val="12"/>
        <rFont val="Calibri"/>
        <family val="2"/>
        <scheme val="minor"/>
      </rPr>
      <t xml:space="preserve">making </t>
    </r>
    <r>
      <rPr>
        <sz val="12"/>
        <rFont val="Calibri"/>
        <family val="2"/>
        <scheme val="minor"/>
      </rPr>
      <t>good of site surface.</t>
    </r>
  </si>
  <si>
    <r>
      <t>10m height mid hinged column (fordable) hot-dipped galvanised lighting pole (flanged mounted type) c/w bracket for floodlights,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t>
    </r>
  </si>
  <si>
    <r>
      <t>8m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(At Main Road)</t>
    </r>
  </si>
  <si>
    <r>
      <t>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(At Dam Road)</t>
    </r>
  </si>
  <si>
    <r>
      <t>3m height hot-dipped galvanised lighting pole (flanged mounted type) c/w short arm bracket for luminaire,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(To Gauge House)    </t>
    </r>
  </si>
  <si>
    <r>
      <t>2m height hot-dipped galvanised lighting pole (flanged mounted type) c/w short arm bracket for luminaire, mounting board, flush top hinged service door , door stiffener, junction box IP54 c/w terminal block loop-in and loop-out box connection cables, heat shrinkable termination and holder, fuses and internal wiring using 2.5mm</t>
    </r>
    <r>
      <rPr>
        <vertAlign val="superscript"/>
        <sz val="12"/>
        <rFont val="Calibri"/>
        <family val="2"/>
        <scheme val="minor"/>
      </rPr>
      <t>2</t>
    </r>
    <r>
      <rPr>
        <sz val="12"/>
        <rFont val="Calibri"/>
        <family val="2"/>
        <scheme val="minor"/>
      </rPr>
      <t xml:space="preserve"> PVC/PVC and pole numbering sticker. (Draw-Off bridge)    </t>
    </r>
  </si>
  <si>
    <r>
      <t xml:space="preserve">To provide provision sum of </t>
    </r>
    <r>
      <rPr>
        <b/>
        <sz val="12"/>
        <rFont val="Calibri"/>
        <family val="2"/>
        <scheme val="minor"/>
      </rPr>
      <t>Ringgit Malaysia Fifteen Thousand Only (RM15,000)</t>
    </r>
    <r>
      <rPr>
        <sz val="12"/>
        <rFont val="Calibri"/>
        <family val="2"/>
        <scheme val="minor"/>
      </rPr>
      <t xml:space="preserve"> for underground Utility Detection Mapping to be carried out at Sg Langat Dam</t>
    </r>
  </si>
  <si>
    <t>B: ELECTRICAL WORKS</t>
  </si>
  <si>
    <t>Notes:-
All provision sums are to be expended at the discretion and direction of C.A or deducted in whole or in part if not required</t>
  </si>
  <si>
    <t>B: Electrical Works</t>
  </si>
  <si>
    <t xml:space="preserve">10m height mid hinged column (fordable) hot-dipped galvanised lighting pole (flanged mounted type) c/w bracket for floodlights, mounting board, flush top hinged service door , door stiffener, junction box IP54 c/w terminal block loop-in and loop-out box connection cables, heat shrinkable termination and holder, fuses and internal wiring using 2.5mm2 PVC/PVC and pole numbering sticker.    </t>
  </si>
  <si>
    <t>8m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(At Main Road)</t>
  </si>
  <si>
    <t>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(At Dam Road)</t>
  </si>
  <si>
    <t xml:space="preserve">3m height hot-dipped galvanised lighting pole (flanged mounted type) c/w short arm bracket for luminaire, mounting board, flush top hinged service door , door stiffener, junction box IP54 c/w terminal block loop-in and loop-out box connection cables, heat shrinkable termination and holder, fuses and internal wiring using 2.5mm2 PVC/PVC and pole numbering sticker. (To Gauge House)    </t>
  </si>
  <si>
    <t xml:space="preserve">2m height hot-dipped galvanised lighting pole (flanged mounted type) c/w short arm bracket for luminaire, mounting board, flush top hinged service door , door stiffener, junction box IP54 c/w terminal block loop-in and loop-out box connection cables, heat shrinkable termination and holder, fuses and internal wiring using 2.5mm2 PVC/PVC and pole numbering sticker. (Draw-Off bridge)    </t>
  </si>
  <si>
    <t>To provide provision sum of Ringgit Malaysia Fifteen Thousand Only (RM15,000) for underground Utility Detection Mapping to be carried out at Sg Langat Dam</t>
  </si>
  <si>
    <t>Provide One (1) sets of the smart phone (maximum of RM1,500/unit) for the use of C.A or his authorized representatives and pay for the bills (to the maximum of RM250.00 per month per user) and provision for all the charges and deposit required by the telecommunication companies, taxes etc. and maintain them in good working condition throughout the Contract period and to be reverted to the Contractor after the issuance of the Certificate of Making Good Defects (CMGD).</t>
  </si>
  <si>
    <t>SECTION SUMMARY</t>
  </si>
  <si>
    <t>SUPPLY, INSTALLATION, TESTING AND COMMISSIONING OF STREET LIGHTINGS AT SG LANGAT DAM</t>
  </si>
  <si>
    <t>To provide full time, qualified and experienced Site Safety Supervisor as required by the Department of Safety and Health (DOSH) to the approval of the C.A. for each location required in this package.</t>
  </si>
  <si>
    <t>How to Unblock a File</t>
  </si>
  <si>
    <t>Right-click the desired file.</t>
  </si>
  <si>
    <t>Select “Properties” from the pop-up menu.</t>
  </si>
  <si>
    <t>Go to the “General” tab and find “Unblock” under “Security.”</t>
  </si>
  <si>
    <t>Check the box and select “Apply.”</t>
  </si>
  <si>
    <t>Click “OK” to keep your changes.</t>
  </si>
  <si>
    <t>Allow for Dilapidated Survey and Report including the provision of all necessary equipment, materials, licensed surveyor and labour as specified.</t>
  </si>
  <si>
    <t>Allow for all setting out of work inclusive of licensed surveyor and labour as specified.</t>
  </si>
  <si>
    <t>Excavation c/w shoring (If required)</t>
  </si>
  <si>
    <t>A.033</t>
  </si>
  <si>
    <t>Provide Personal Protective Equipment (PPE) for C.A.'s site office which include three (3) safety boots, and three (3) safety helmets.</t>
  </si>
  <si>
    <t>A.034</t>
  </si>
  <si>
    <t>The Contractor shall provide and maintain all necessary Personal Protective Equipment (PPE) inclusive safety helmets, rubber boots, safety shoes etc. for all site staffs and workers to be worn at all time throughout the construction period.</t>
  </si>
  <si>
    <t>A.035</t>
  </si>
  <si>
    <t>A.032</t>
  </si>
  <si>
    <t>A.036</t>
  </si>
  <si>
    <t>Factory Acceptance Test at the manufacturer before deliver to site and witness by CA representative and consultant for lighting pole and etc.</t>
  </si>
  <si>
    <t>Provide four (4) sets colour copies of monthly progress report and monthly Health &amp; Safety Report printed in suitably bound album for the duration of contract.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</si>
</sst>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00_-;\-* #,##0.00_-;_-* &quot;-&quot;??_-;_-@_-"/>
    <numFmt numFmtId="165" formatCode="General_)"/>
    <numFmt numFmtId="166" formatCode="_-[$RM-4409]* #,##0.00_-;\-[$RM-4409]* #,##0.00_-;_-[$RM-4409]* &quot;-&quot;??_-;_-@_-"/>
  </numFmts>
  <fonts count="49"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ourier"/>
      <family val="3"/>
    </font>
    <font>
      <sz val="11"/>
      <color indexed="8"/>
      <name val="Calibri"/>
      <family val="2"/>
    </font>
    <font>
      <sz val="12"/>
      <name val="Helv"/>
    </font>
    <font>
      <sz val="8"/>
      <name val="Arial"/>
      <family val="2"/>
    </font>
    <font>
      <sz val="12"/>
      <name val="Arial"/>
      <family val="2"/>
    </font>
    <font>
      <b/>
      <sz val="10"/>
      <color theme="1"/>
      <name val="Tahoma"/>
      <family val="2"/>
    </font>
    <font>
      <sz val="18"/>
      <color theme="3"/>
      <name val="Calibri Light"/>
      <family val="2"/>
      <scheme val="major"/>
    </font>
    <font>
      <sz val="12"/>
      <color theme="1"/>
      <name val="Arial Narrow"/>
      <family val="2"/>
    </font>
    <font>
      <b/>
      <sz val="12"/>
      <name val="Arial"/>
      <family val="2"/>
    </font>
    <font>
      <sz val="12"/>
      <name val="Arial Narrow"/>
      <family val="2"/>
    </font>
    <font>
      <sz val="14"/>
      <color theme="1"/>
      <name val="Arial Narrow"/>
      <family val="2"/>
    </font>
    <font>
      <b/>
      <sz val="10"/>
      <name val="Arial"/>
      <family val="2"/>
    </font>
    <font>
      <sz val="10"/>
      <name val="Times New Roman"/>
      <family val="1"/>
    </font>
    <font>
      <b/>
      <sz val="12"/>
      <color rgb="FF000000"/>
      <name val="Calibri"/>
      <family val="2"/>
      <scheme val="minor"/>
    </font>
    <font>
      <b/>
      <sz val="12"/>
      <name val="Calibri"/>
      <family val="2"/>
      <scheme val="minor"/>
    </font>
    <font>
      <b/>
      <u/>
      <sz val="12"/>
      <name val="Calibri"/>
      <family val="2"/>
      <scheme val="minor"/>
    </font>
    <font>
      <sz val="12"/>
      <name val="Calibri"/>
      <family val="2"/>
      <scheme val="minor"/>
    </font>
    <font>
      <sz val="12"/>
      <color theme="0"/>
      <name val="Calibri"/>
      <family val="2"/>
      <scheme val="minor"/>
    </font>
    <font>
      <vertAlign val="superscript"/>
      <sz val="12"/>
      <name val="Calibri"/>
      <family val="2"/>
      <scheme val="minor"/>
    </font>
    <font>
      <sz val="12.5"/>
      <color theme="1" tint="0.499984740745262"/>
      <name val="Calibri"/>
      <family val="2"/>
      <scheme val="minor"/>
    </font>
    <font>
      <sz val="11"/>
      <color theme="1"/>
      <name val="Arial Narrow"/>
      <family val="2"/>
    </font>
    <font>
      <b/>
      <sz val="11"/>
      <name val="Arial"/>
      <family val="2"/>
    </font>
    <font>
      <sz val="11"/>
      <name val="Arial"/>
      <family val="2"/>
    </font>
    <font>
      <sz val="11"/>
      <color theme="1"/>
      <name val="Arial"/>
      <family val="2"/>
    </font>
    <font>
      <b/>
      <sz val="10.5"/>
      <name val="Arial"/>
      <family val="2"/>
    </font>
    <font>
      <sz val="10.5"/>
      <name val="Arial"/>
      <family val="2"/>
    </font>
    <font>
      <b/>
      <i/>
      <sz val="12"/>
      <color rgb="FF7030A0"/>
      <name val="Calibri"/>
      <family val="2"/>
      <scheme val="minor"/>
    </font>
    <font>
      <b/>
      <u/>
      <sz val="10.5"/>
      <name val="Arial"/>
      <family val="2"/>
    </font>
    <font>
      <b/>
      <sz val="11"/>
      <name val="Seravek"/>
      <family val="2"/>
    </font>
    <font>
      <sz val="10"/>
      <color theme="1"/>
      <name val="Seravek"/>
      <family val="2"/>
    </font>
    <font>
      <b/>
      <sz val="10"/>
      <name val="Seravek"/>
      <family val="2"/>
    </font>
    <font>
      <b/>
      <u/>
      <sz val="10"/>
      <name val="Seravek"/>
      <family val="2"/>
    </font>
    <font>
      <sz val="10"/>
      <name val="Seravek"/>
      <family val="2"/>
    </font>
    <font>
      <b/>
      <sz val="10"/>
      <color theme="1"/>
      <name val="Seravek"/>
      <family val="2"/>
    </font>
    <font>
      <b/>
      <sz val="12"/>
      <color theme="1"/>
      <name val="Calibri"/>
      <family val="2"/>
      <scheme val="minor"/>
    </font>
    <font>
      <b/>
      <u/>
      <sz val="12"/>
      <color theme="1"/>
      <name val="Calibri"/>
      <family val="2"/>
      <scheme val="minor"/>
    </font>
    <font>
      <sz val="12"/>
      <color theme="1"/>
      <name val="Calibri"/>
      <family val="2"/>
      <scheme val="minor"/>
    </font>
    <font>
      <b/>
      <sz val="12"/>
      <name val="Seravek"/>
      <family val="2"/>
    </font>
    <font>
      <b/>
      <sz val="10"/>
      <color rgb="FF1C1B20"/>
      <name val="Tahoma"/>
      <family val="2"/>
    </font>
    <font>
      <sz val="10"/>
      <name val="Tahoma"/>
      <family val="2"/>
    </font>
    <font>
      <sz val="10"/>
      <color rgb="FF212121"/>
      <name val="Tahoma"/>
      <family val="2"/>
    </font>
  </fonts>
  <fills count="7">
    <fill>
      <patternFill patternType="none"/>
    </fill>
    <fill>
      <patternFill patternType="gray125"/>
    </fill>
    <fill>
      <patternFill patternType="solid">
        <fgColor indexed="9"/>
      </patternFill>
    </fill>
    <fill>
      <patternFill patternType="solid">
        <fgColor rgb="FFA3C2DF"/>
        <bgColor indexed="64"/>
      </patternFill>
    </fill>
    <fill>
      <patternFill patternType="solid">
        <fgColor rgb="FF92D050"/>
        <bgColor indexed="64"/>
      </patternFill>
    </fill>
    <fill>
      <patternFill patternType="solid">
        <fgColor theme="4" tint="0.79998168889431442"/>
        <bgColor indexed="64"/>
      </patternFill>
    </fill>
    <fill>
      <patternFill patternType="solid">
        <fgColor rgb="FFFFC000"/>
        <bgColor indexed="64"/>
      </patternFill>
    </fill>
  </fills>
  <borders count="16">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auto="1"/>
      </left>
      <right style="thin">
        <color auto="1"/>
      </right>
      <top/>
      <bottom/>
      <diagonal/>
    </border>
    <border>
      <left/>
      <right/>
      <top/>
      <bottom style="hair">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right/>
      <top style="thin">
        <color theme="6" tint="0.39997558519241921"/>
      </top>
      <bottom style="thin">
        <color theme="6" tint="0.39997558519241921"/>
      </bottom>
      <diagonal/>
    </border>
    <border>
      <left/>
      <right/>
      <top style="thin">
        <color theme="6" tint="0.39997558519241921"/>
      </top>
      <bottom/>
      <diagonal/>
    </border>
  </borders>
  <cellStyleXfs count="37">
    <xf numFmtId="0" fontId="0" fillId="0" borderId="0"/>
    <xf numFmtId="165" fontId="8" fillId="0" borderId="0"/>
    <xf numFmtId="0" fontId="6" fillId="0" borderId="0"/>
    <xf numFmtId="43" fontId="9" fillId="0" borderId="0" applyFont="0" applyFill="0" applyBorder="0" applyAlignment="0" applyProtection="0"/>
    <xf numFmtId="37" fontId="10" fillId="0" borderId="0"/>
    <xf numFmtId="0" fontId="7" fillId="0" borderId="0"/>
    <xf numFmtId="0" fontId="7" fillId="0" borderId="0"/>
    <xf numFmtId="0" fontId="7" fillId="0" borderId="0"/>
    <xf numFmtId="0" fontId="7" fillId="0" borderId="0"/>
    <xf numFmtId="0" fontId="5" fillId="0" borderId="0"/>
    <xf numFmtId="0" fontId="7" fillId="0" borderId="0"/>
    <xf numFmtId="0" fontId="4" fillId="0" borderId="0"/>
    <xf numFmtId="0" fontId="4" fillId="0" borderId="0"/>
    <xf numFmtId="0" fontId="7" fillId="0" borderId="0"/>
    <xf numFmtId="43" fontId="7" fillId="0" borderId="0" applyFont="0" applyFill="0" applyBorder="0" applyAlignment="0" applyProtection="0"/>
    <xf numFmtId="0" fontId="4" fillId="0" borderId="0"/>
    <xf numFmtId="0" fontId="12" fillId="2" borderId="0"/>
    <xf numFmtId="0" fontId="4" fillId="0" borderId="0"/>
    <xf numFmtId="0" fontId="9" fillId="0" borderId="0"/>
    <xf numFmtId="164" fontId="4" fillId="0" borderId="0" applyFont="0" applyFill="0" applyBorder="0" applyAlignment="0" applyProtection="0"/>
    <xf numFmtId="43" fontId="7" fillId="0" borderId="0" applyFont="0" applyFill="0" applyBorder="0" applyAlignment="0" applyProtection="0"/>
    <xf numFmtId="0" fontId="13" fillId="3" borderId="1"/>
    <xf numFmtId="0" fontId="14" fillId="0" borderId="0" applyNumberFormat="0" applyFill="0" applyBorder="0" applyAlignment="0" applyProtection="0"/>
    <xf numFmtId="0" fontId="7" fillId="0" borderId="0"/>
    <xf numFmtId="43" fontId="7" fillId="0" borderId="0" applyFont="0" applyFill="0" applyBorder="0" applyAlignment="0" applyProtection="0"/>
    <xf numFmtId="0" fontId="4" fillId="0" borderId="0"/>
    <xf numFmtId="0" fontId="7" fillId="0" borderId="0"/>
    <xf numFmtId="43" fontId="4" fillId="0" borderId="0" applyFont="0" applyFill="0" applyBorder="0" applyAlignment="0" applyProtection="0"/>
    <xf numFmtId="0" fontId="3" fillId="0" borderId="0"/>
    <xf numFmtId="0" fontId="7" fillId="0" borderId="0"/>
    <xf numFmtId="0" fontId="20" fillId="0" borderId="0"/>
    <xf numFmtId="0" fontId="7" fillId="0" borderId="0"/>
    <xf numFmtId="0" fontId="3" fillId="0" borderId="0"/>
    <xf numFmtId="165" fontId="8" fillId="0" borderId="0"/>
    <xf numFmtId="0" fontId="7" fillId="0" borderId="0"/>
    <xf numFmtId="0" fontId="2" fillId="0" borderId="0"/>
    <xf numFmtId="0" fontId="1" fillId="0" borderId="0"/>
  </cellStyleXfs>
  <cellXfs count="158">
    <xf numFmtId="0" fontId="0" fillId="0" borderId="0" xfId="0"/>
    <xf numFmtId="0" fontId="17" fillId="0" borderId="0" xfId="23" applyFont="1"/>
    <xf numFmtId="0" fontId="18" fillId="0" borderId="0" xfId="15" applyFont="1"/>
    <xf numFmtId="0" fontId="15" fillId="0" borderId="0" xfId="15" applyFont="1"/>
    <xf numFmtId="0" fontId="16" fillId="0" borderId="0" xfId="22" applyFont="1" applyAlignment="1" applyProtection="1">
      <alignment horizontal="center" vertical="center" wrapText="1"/>
      <protection locked="0"/>
    </xf>
    <xf numFmtId="0" fontId="0" fillId="0" borderId="0" xfId="0" applyAlignment="1">
      <alignment vertical="top"/>
    </xf>
    <xf numFmtId="0" fontId="0" fillId="0" borderId="0" xfId="0" applyAlignment="1">
      <alignment horizontal="center" vertical="center"/>
    </xf>
    <xf numFmtId="0" fontId="16" fillId="0" borderId="0" xfId="26" applyFont="1" applyAlignment="1">
      <alignment vertical="center" wrapText="1"/>
    </xf>
    <xf numFmtId="4" fontId="0" fillId="0" borderId="0" xfId="0" applyNumberFormat="1" applyAlignment="1">
      <alignment vertical="top"/>
    </xf>
    <xf numFmtId="0" fontId="0" fillId="0" borderId="0" xfId="0" applyAlignment="1">
      <alignment horizontal="justify" vertical="top" wrapText="1"/>
    </xf>
    <xf numFmtId="0" fontId="0" fillId="0" borderId="0" xfId="0" applyAlignment="1">
      <alignment horizontal="center" vertical="top"/>
    </xf>
    <xf numFmtId="0" fontId="0" fillId="0" borderId="0" xfId="0" applyAlignment="1">
      <alignment horizontal="center" vertical="top" wrapText="1"/>
    </xf>
    <xf numFmtId="0" fontId="19" fillId="0" borderId="0" xfId="0" applyFont="1" applyAlignment="1">
      <alignment horizontal="center" vertical="top" wrapText="1"/>
    </xf>
    <xf numFmtId="0" fontId="0" fillId="0" borderId="0" xfId="0" applyAlignment="1">
      <alignment vertical="top" wrapText="1"/>
    </xf>
    <xf numFmtId="0" fontId="19" fillId="0" borderId="0" xfId="0" applyFont="1" applyAlignment="1">
      <alignment vertical="top" wrapText="1"/>
    </xf>
    <xf numFmtId="0" fontId="19" fillId="0" borderId="0" xfId="0" applyFont="1" applyAlignment="1">
      <alignment horizontal="right" wrapText="1"/>
    </xf>
    <xf numFmtId="0" fontId="19" fillId="0" borderId="0" xfId="0" applyFont="1" applyAlignment="1">
      <alignment horizontal="left" wrapText="1" indent="1"/>
    </xf>
    <xf numFmtId="0" fontId="19" fillId="0" borderId="0" xfId="0" applyFont="1" applyAlignment="1">
      <alignment wrapText="1"/>
    </xf>
    <xf numFmtId="0" fontId="19" fillId="0" borderId="0" xfId="0" applyFont="1" applyAlignment="1">
      <alignment horizontal="left" vertical="top"/>
    </xf>
    <xf numFmtId="0" fontId="19" fillId="0" borderId="0" xfId="0" applyFont="1" applyAlignment="1">
      <alignment horizontal="center" vertical="top"/>
    </xf>
    <xf numFmtId="0" fontId="0" fillId="0" borderId="0" xfId="0" applyAlignment="1">
      <alignment horizontal="left" vertical="top"/>
    </xf>
    <xf numFmtId="40" fontId="22" fillId="0" borderId="0" xfId="7" applyNumberFormat="1" applyFont="1" applyAlignment="1">
      <alignment horizontal="center" vertical="top" wrapText="1"/>
    </xf>
    <xf numFmtId="40" fontId="24" fillId="0" borderId="0" xfId="14" applyNumberFormat="1" applyFont="1" applyFill="1" applyBorder="1" applyAlignment="1" applyProtection="1">
      <alignment horizontal="center" vertical="top"/>
    </xf>
    <xf numFmtId="0" fontId="22" fillId="0" borderId="0" xfId="0" applyFont="1" applyAlignment="1">
      <alignment horizontal="center"/>
    </xf>
    <xf numFmtId="0" fontId="22" fillId="0" borderId="0" xfId="0" applyFont="1" applyAlignment="1">
      <alignment horizontal="center" vertical="top" wrapText="1"/>
    </xf>
    <xf numFmtId="0" fontId="22" fillId="0" borderId="0" xfId="0" applyFont="1" applyAlignment="1">
      <alignment horizontal="justify" vertical="top" readingOrder="1"/>
    </xf>
    <xf numFmtId="0" fontId="24" fillId="0" borderId="0" xfId="0" applyFont="1" applyAlignment="1">
      <alignment wrapText="1"/>
    </xf>
    <xf numFmtId="0" fontId="24" fillId="0" borderId="0" xfId="0" applyFont="1"/>
    <xf numFmtId="0" fontId="22" fillId="0" borderId="0" xfId="0" applyFont="1" applyAlignment="1">
      <alignment vertical="top" wrapText="1"/>
    </xf>
    <xf numFmtId="165" fontId="22" fillId="0" borderId="0" xfId="1" applyFont="1" applyAlignment="1">
      <alignment horizontal="right" vertical="top"/>
    </xf>
    <xf numFmtId="0" fontId="22" fillId="0" borderId="0" xfId="0" applyFont="1" applyAlignment="1">
      <alignment vertical="top" readingOrder="1"/>
    </xf>
    <xf numFmtId="0" fontId="22" fillId="0" borderId="0" xfId="0" applyFont="1" applyAlignment="1">
      <alignment vertical="center" wrapText="1"/>
    </xf>
    <xf numFmtId="0" fontId="22" fillId="0" borderId="0" xfId="2" applyFont="1" applyAlignment="1">
      <alignment horizontal="center" vertical="center" wrapText="1"/>
    </xf>
    <xf numFmtId="0" fontId="22" fillId="0" borderId="0" xfId="2" applyFont="1" applyAlignment="1">
      <alignment horizontal="center" vertical="center" readingOrder="1"/>
    </xf>
    <xf numFmtId="3" fontId="22" fillId="0" borderId="0" xfId="2" applyNumberFormat="1" applyFont="1" applyAlignment="1">
      <alignment horizontal="center" vertical="center" wrapText="1"/>
    </xf>
    <xf numFmtId="43" fontId="22" fillId="0" borderId="0" xfId="3" applyFont="1" applyFill="1" applyBorder="1" applyAlignment="1" applyProtection="1">
      <alignment horizontal="center" vertical="center" wrapText="1"/>
    </xf>
    <xf numFmtId="43" fontId="22" fillId="4" borderId="0" xfId="3" applyFont="1" applyFill="1" applyBorder="1" applyAlignment="1" applyProtection="1">
      <alignment horizontal="center" vertical="center" wrapText="1"/>
    </xf>
    <xf numFmtId="43" fontId="22" fillId="0" borderId="2" xfId="3" applyFont="1" applyFill="1" applyBorder="1" applyAlignment="1" applyProtection="1">
      <alignment horizontal="center" vertical="center" wrapText="1"/>
    </xf>
    <xf numFmtId="43" fontId="22" fillId="0" borderId="0" xfId="3" applyFont="1" applyFill="1" applyBorder="1" applyAlignment="1" applyProtection="1">
      <alignment horizontal="center" vertical="center"/>
    </xf>
    <xf numFmtId="0" fontId="24" fillId="0" borderId="0" xfId="0" applyFont="1" applyAlignment="1" applyProtection="1">
      <alignment vertical="top" wrapText="1"/>
      <protection locked="0"/>
    </xf>
    <xf numFmtId="0" fontId="24" fillId="0" borderId="0" xfId="0" applyFont="1" applyAlignment="1">
      <alignment horizontal="center" vertical="center"/>
    </xf>
    <xf numFmtId="0" fontId="24" fillId="0" borderId="0" xfId="0" applyFont="1" applyAlignment="1">
      <alignment vertical="top"/>
    </xf>
    <xf numFmtId="0" fontId="24" fillId="0" borderId="0" xfId="0" applyFont="1" applyAlignment="1">
      <alignment horizontal="justify" vertical="top" readingOrder="1"/>
    </xf>
    <xf numFmtId="43" fontId="27" fillId="0" borderId="0" xfId="0" applyNumberFormat="1" applyFont="1" applyAlignment="1">
      <alignment horizontal="justify" vertical="top"/>
    </xf>
    <xf numFmtId="0" fontId="31" fillId="0" borderId="0" xfId="15" applyFont="1"/>
    <xf numFmtId="0" fontId="30" fillId="0" borderId="0" xfId="0" pivotButton="1" applyFont="1" applyAlignment="1">
      <alignment horizontal="center" vertical="center" wrapText="1"/>
    </xf>
    <xf numFmtId="0" fontId="30" fillId="0" borderId="0" xfId="0" applyFont="1" applyAlignment="1">
      <alignment horizontal="center" vertical="center"/>
    </xf>
    <xf numFmtId="0" fontId="30" fillId="0" borderId="0" xfId="0" applyFont="1" applyAlignment="1">
      <alignment horizontal="center" vertical="center" wrapText="1"/>
    </xf>
    <xf numFmtId="4" fontId="30" fillId="0" borderId="0" xfId="0" applyNumberFormat="1" applyFont="1" applyAlignment="1">
      <alignment vertical="center"/>
    </xf>
    <xf numFmtId="0" fontId="28" fillId="0" borderId="0" xfId="15" applyFont="1" applyAlignment="1">
      <alignment horizontal="center"/>
    </xf>
    <xf numFmtId="0" fontId="32" fillId="0" borderId="0" xfId="0" applyFont="1" applyAlignment="1">
      <alignment horizontal="justify" vertical="top" wrapText="1"/>
    </xf>
    <xf numFmtId="0" fontId="33" fillId="0" borderId="0" xfId="0" applyFont="1" applyAlignment="1">
      <alignment horizontal="justify" vertical="top" wrapText="1"/>
    </xf>
    <xf numFmtId="0" fontId="32" fillId="0" borderId="0" xfId="0" applyFont="1" applyAlignment="1">
      <alignment vertical="top"/>
    </xf>
    <xf numFmtId="0" fontId="33" fillId="0" borderId="0" xfId="0" applyFont="1" applyAlignment="1">
      <alignment horizontal="center" vertical="top"/>
    </xf>
    <xf numFmtId="4" fontId="33" fillId="0" borderId="0" xfId="0" applyNumberFormat="1" applyFont="1" applyAlignment="1">
      <alignment vertical="top"/>
    </xf>
    <xf numFmtId="0" fontId="33" fillId="0" borderId="0" xfId="0" applyFont="1" applyAlignment="1">
      <alignment horizontal="center" vertical="center"/>
    </xf>
    <xf numFmtId="0" fontId="32" fillId="0" borderId="0" xfId="0" applyFont="1" applyAlignment="1">
      <alignment horizontal="center" vertical="top" wrapText="1"/>
    </xf>
    <xf numFmtId="0" fontId="32" fillId="0" borderId="0" xfId="0" applyFont="1" applyAlignment="1">
      <alignment horizontal="left" vertical="top" wrapText="1"/>
    </xf>
    <xf numFmtId="0" fontId="32" fillId="0" borderId="0" xfId="0" applyFont="1" applyAlignment="1">
      <alignment horizontal="center" vertical="top"/>
    </xf>
    <xf numFmtId="0" fontId="35" fillId="0" borderId="0" xfId="0" applyFont="1" applyAlignment="1">
      <alignment horizontal="justify" vertical="top" wrapText="1"/>
    </xf>
    <xf numFmtId="0" fontId="0" fillId="0" borderId="0" xfId="0" applyAlignment="1">
      <alignment vertical="center"/>
    </xf>
    <xf numFmtId="0" fontId="0" fillId="0" borderId="0" xfId="0" pivotButton="1" applyAlignment="1">
      <alignment horizontal="center" vertical="center"/>
    </xf>
    <xf numFmtId="0" fontId="0" fillId="0" borderId="0" xfId="0" applyAlignment="1">
      <alignment horizontal="left" vertical="center"/>
    </xf>
    <xf numFmtId="165" fontId="38" fillId="0" borderId="0" xfId="33" applyFont="1" applyAlignment="1">
      <alignment horizontal="justify" vertical="top" wrapText="1"/>
    </xf>
    <xf numFmtId="165" fontId="39" fillId="0" borderId="0" xfId="33" applyFont="1" applyAlignment="1">
      <alignment horizontal="justify" vertical="top" wrapText="1"/>
    </xf>
    <xf numFmtId="165" fontId="40" fillId="0" borderId="0" xfId="33" applyFont="1" applyAlignment="1">
      <alignment horizontal="justify" vertical="top" wrapText="1"/>
    </xf>
    <xf numFmtId="0" fontId="36" fillId="0" borderId="3" xfId="0" applyFont="1" applyBorder="1" applyAlignment="1">
      <alignment horizontal="center"/>
    </xf>
    <xf numFmtId="166" fontId="32" fillId="0" borderId="3" xfId="0" applyNumberFormat="1" applyFont="1" applyBorder="1"/>
    <xf numFmtId="40" fontId="22" fillId="0" borderId="0" xfId="7" applyNumberFormat="1" applyFont="1" applyAlignment="1" applyProtection="1">
      <alignment horizontal="center" vertical="top" wrapText="1"/>
      <protection locked="0"/>
    </xf>
    <xf numFmtId="0" fontId="42" fillId="0" borderId="0" xfId="7" applyFont="1" applyAlignment="1">
      <alignment horizontal="center" vertical="top"/>
    </xf>
    <xf numFmtId="0" fontId="24" fillId="0" borderId="0" xfId="12" applyFont="1" applyAlignment="1">
      <alignment horizontal="justify" vertical="top"/>
    </xf>
    <xf numFmtId="0" fontId="21" fillId="0" borderId="15" xfId="7" applyFont="1" applyBorder="1" applyAlignment="1">
      <alignment horizontal="center" vertical="top"/>
    </xf>
    <xf numFmtId="0" fontId="42" fillId="0" borderId="15" xfId="7" applyFont="1" applyBorder="1" applyAlignment="1">
      <alignment horizontal="center" vertical="top"/>
    </xf>
    <xf numFmtId="165" fontId="43" fillId="0" borderId="15" xfId="33" applyFont="1" applyBorder="1" applyAlignment="1">
      <alignment horizontal="justify" vertical="top"/>
    </xf>
    <xf numFmtId="165" fontId="44" fillId="0" borderId="15" xfId="33" applyFont="1" applyBorder="1" applyAlignment="1">
      <alignment horizontal="justify" vertical="top"/>
    </xf>
    <xf numFmtId="0" fontId="44" fillId="0" borderId="15" xfId="7" applyFont="1" applyBorder="1" applyAlignment="1">
      <alignment horizontal="center" vertical="top"/>
    </xf>
    <xf numFmtId="0" fontId="44" fillId="0" borderId="15" xfId="7" applyFont="1" applyBorder="1" applyAlignment="1">
      <alignment horizontal="justify" vertical="top"/>
    </xf>
    <xf numFmtId="0" fontId="43" fillId="0" borderId="15" xfId="7" applyFont="1" applyBorder="1" applyAlignment="1">
      <alignment horizontal="justify" vertical="top"/>
    </xf>
    <xf numFmtId="0" fontId="24" fillId="0" borderId="15" xfId="12" applyFont="1" applyBorder="1" applyAlignment="1">
      <alignment horizontal="justify" vertical="top"/>
    </xf>
    <xf numFmtId="1" fontId="25" fillId="0" borderId="15" xfId="7" applyNumberFormat="1" applyFont="1" applyBorder="1" applyAlignment="1">
      <alignment horizontal="center" vertical="top" shrinkToFit="1"/>
    </xf>
    <xf numFmtId="0" fontId="23" fillId="0" borderId="15" xfId="12" applyFont="1" applyBorder="1" applyAlignment="1">
      <alignment horizontal="justify" vertical="top"/>
    </xf>
    <xf numFmtId="165" fontId="25" fillId="0" borderId="15" xfId="1" applyFont="1" applyBorder="1" applyAlignment="1">
      <alignment horizontal="center" vertical="top"/>
    </xf>
    <xf numFmtId="165" fontId="42" fillId="0" borderId="15" xfId="1" applyFont="1" applyBorder="1" applyAlignment="1">
      <alignment horizontal="center" vertical="top"/>
    </xf>
    <xf numFmtId="165" fontId="44" fillId="0" borderId="15" xfId="1" applyFont="1" applyBorder="1" applyAlignment="1">
      <alignment horizontal="center" vertical="top"/>
    </xf>
    <xf numFmtId="0" fontId="43" fillId="0" borderId="15" xfId="34" applyFont="1" applyBorder="1" applyAlignment="1">
      <alignment horizontal="justify" vertical="top"/>
    </xf>
    <xf numFmtId="0" fontId="25" fillId="0" borderId="15" xfId="7" applyFont="1" applyBorder="1" applyAlignment="1">
      <alignment horizontal="center" vertical="top"/>
    </xf>
    <xf numFmtId="165" fontId="44" fillId="0" borderId="15" xfId="1" applyFont="1" applyBorder="1" applyAlignment="1">
      <alignment horizontal="justify" vertical="top"/>
    </xf>
    <xf numFmtId="0" fontId="42" fillId="0" borderId="14" xfId="7" applyFont="1" applyBorder="1" applyAlignment="1">
      <alignment horizontal="center" vertical="top"/>
    </xf>
    <xf numFmtId="0" fontId="24" fillId="0" borderId="14" xfId="12" applyFont="1" applyBorder="1" applyAlignment="1">
      <alignment horizontal="justify" vertical="top"/>
    </xf>
    <xf numFmtId="0" fontId="44" fillId="0" borderId="14" xfId="7" applyFont="1" applyBorder="1" applyAlignment="1">
      <alignment horizontal="center" vertical="top"/>
    </xf>
    <xf numFmtId="1" fontId="25" fillId="0" borderId="14" xfId="7" applyNumberFormat="1" applyFont="1" applyBorder="1" applyAlignment="1">
      <alignment horizontal="center" vertical="top" shrinkToFit="1"/>
    </xf>
    <xf numFmtId="165" fontId="43" fillId="0" borderId="15" xfId="1" applyFont="1" applyBorder="1" applyAlignment="1">
      <alignment horizontal="justify" vertical="top"/>
    </xf>
    <xf numFmtId="0" fontId="22" fillId="0" borderId="15" xfId="7" applyFont="1" applyBorder="1" applyAlignment="1">
      <alignment horizontal="center" vertical="top" wrapText="1"/>
    </xf>
    <xf numFmtId="0" fontId="24" fillId="0" borderId="15" xfId="7" applyFont="1" applyBorder="1" applyAlignment="1">
      <alignment horizontal="center" vertical="center" wrapText="1"/>
    </xf>
    <xf numFmtId="0" fontId="24" fillId="0" borderId="15" xfId="7" applyFont="1" applyBorder="1" applyAlignment="1">
      <alignment horizontal="center" vertical="top" wrapText="1"/>
    </xf>
    <xf numFmtId="0" fontId="25" fillId="0" borderId="15" xfId="7" applyFont="1" applyBorder="1" applyAlignment="1">
      <alignment horizontal="center" vertical="top" wrapText="1"/>
    </xf>
    <xf numFmtId="1" fontId="24" fillId="0" borderId="15" xfId="7" applyNumberFormat="1" applyFont="1" applyBorder="1" applyAlignment="1">
      <alignment horizontal="center" vertical="top" shrinkToFit="1"/>
    </xf>
    <xf numFmtId="0" fontId="22" fillId="0" borderId="15" xfId="7" applyFont="1" applyBorder="1" applyAlignment="1">
      <alignment horizontal="center" vertical="top"/>
    </xf>
    <xf numFmtId="0" fontId="24" fillId="0" borderId="15" xfId="34" applyFont="1" applyBorder="1" applyAlignment="1">
      <alignment horizontal="justify" vertical="top" wrapText="1"/>
    </xf>
    <xf numFmtId="0" fontId="22" fillId="0" borderId="14" xfId="7" applyFont="1" applyBorder="1" applyAlignment="1">
      <alignment horizontal="center" vertical="top"/>
    </xf>
    <xf numFmtId="0" fontId="24" fillId="0" borderId="14" xfId="7" applyFont="1" applyBorder="1" applyAlignment="1">
      <alignment horizontal="center" vertical="top" wrapText="1"/>
    </xf>
    <xf numFmtId="1" fontId="24" fillId="0" borderId="14" xfId="7" applyNumberFormat="1" applyFont="1" applyBorder="1" applyAlignment="1">
      <alignment horizontal="center" vertical="top" shrinkToFit="1"/>
    </xf>
    <xf numFmtId="0" fontId="24" fillId="0" borderId="15" xfId="12" applyFont="1" applyBorder="1" applyAlignment="1">
      <alignment horizontal="justify" vertical="top" wrapText="1"/>
    </xf>
    <xf numFmtId="0" fontId="24" fillId="0" borderId="0" xfId="7" applyFont="1" applyAlignment="1">
      <alignment horizontal="center" vertical="top" wrapText="1"/>
    </xf>
    <xf numFmtId="1" fontId="24" fillId="0" borderId="0" xfId="7" applyNumberFormat="1" applyFont="1" applyAlignment="1">
      <alignment horizontal="center" vertical="top" shrinkToFit="1"/>
    </xf>
    <xf numFmtId="0" fontId="22" fillId="0" borderId="0" xfId="7" applyFont="1" applyAlignment="1">
      <alignment horizontal="center" vertical="top"/>
    </xf>
    <xf numFmtId="0" fontId="22" fillId="0" borderId="15" xfId="7" applyFont="1" applyBorder="1" applyAlignment="1">
      <alignment horizontal="justify" vertical="center" wrapText="1"/>
    </xf>
    <xf numFmtId="0" fontId="24" fillId="0" borderId="15" xfId="7" applyFont="1" applyBorder="1" applyAlignment="1">
      <alignment horizontal="justify" vertical="top" wrapText="1"/>
    </xf>
    <xf numFmtId="0" fontId="22" fillId="0" borderId="15" xfId="7" applyFont="1" applyBorder="1" applyAlignment="1">
      <alignment horizontal="justify" vertical="top" wrapText="1"/>
    </xf>
    <xf numFmtId="0" fontId="22" fillId="0" borderId="14" xfId="7" applyFont="1" applyBorder="1" applyAlignment="1">
      <alignment horizontal="justify" vertical="top" wrapText="1"/>
    </xf>
    <xf numFmtId="0" fontId="23" fillId="0" borderId="0" xfId="34" applyFont="1" applyAlignment="1">
      <alignment horizontal="justify" vertical="top" wrapText="1"/>
    </xf>
    <xf numFmtId="0" fontId="24" fillId="0" borderId="0" xfId="34" applyFont="1" applyAlignment="1">
      <alignment horizontal="justify" vertical="top" wrapText="1"/>
    </xf>
    <xf numFmtId="40" fontId="22" fillId="6" borderId="0" xfId="7" applyNumberFormat="1" applyFont="1" applyFill="1" applyAlignment="1" applyProtection="1">
      <alignment horizontal="center" vertical="top" wrapText="1"/>
      <protection locked="0"/>
    </xf>
    <xf numFmtId="0" fontId="30" fillId="0" borderId="0" xfId="0" pivotButton="1" applyFont="1" applyAlignment="1">
      <alignment horizontal="center" vertical="center"/>
    </xf>
    <xf numFmtId="0" fontId="30" fillId="0" borderId="13" xfId="0" applyFont="1" applyBorder="1" applyAlignment="1">
      <alignment horizontal="center" vertical="center"/>
    </xf>
    <xf numFmtId="40" fontId="24" fillId="0" borderId="0" xfId="7" applyNumberFormat="1" applyFont="1" applyAlignment="1">
      <alignment horizontal="center" vertical="top" wrapText="1"/>
    </xf>
    <xf numFmtId="0" fontId="22" fillId="0" borderId="0" xfId="0" applyFont="1" applyAlignment="1">
      <alignment horizontal="center" vertical="top"/>
    </xf>
    <xf numFmtId="165" fontId="45" fillId="0" borderId="0" xfId="33" applyFont="1" applyAlignment="1">
      <alignment horizontal="center" vertical="top" wrapText="1"/>
    </xf>
    <xf numFmtId="165" fontId="39" fillId="0" borderId="0" xfId="33" applyFont="1" applyAlignment="1">
      <alignment horizontal="center" vertical="top" wrapText="1"/>
    </xf>
    <xf numFmtId="0" fontId="37" fillId="0" borderId="0" xfId="36" applyFont="1" applyAlignment="1">
      <alignment horizontal="center" vertical="top"/>
    </xf>
    <xf numFmtId="0" fontId="41" fillId="0" borderId="0" xfId="36" applyFont="1" applyAlignment="1">
      <alignment horizontal="center" vertical="top"/>
    </xf>
    <xf numFmtId="0" fontId="37" fillId="0" borderId="0" xfId="36" applyFont="1" applyAlignment="1">
      <alignment horizontal="justify" vertical="top"/>
    </xf>
    <xf numFmtId="0" fontId="46" fillId="0" borderId="0" xfId="0" applyFont="1" applyAlignment="1">
      <alignment vertical="center" wrapText="1"/>
    </xf>
    <xf numFmtId="0" fontId="47" fillId="0" borderId="0" xfId="0" applyFont="1" applyAlignment="1">
      <alignment vertical="top"/>
    </xf>
    <xf numFmtId="0" fontId="48" fillId="0" borderId="0" xfId="0" applyFont="1" applyAlignment="1">
      <alignment vertical="center" wrapText="1"/>
    </xf>
    <xf numFmtId="0" fontId="47" fillId="0" borderId="0" xfId="0" applyFont="1" applyAlignment="1">
      <alignment vertical="center" wrapText="1"/>
    </xf>
    <xf numFmtId="0" fontId="47" fillId="0" borderId="0" xfId="0" applyFont="1" applyAlignment="1">
      <alignment vertical="top" wrapText="1"/>
    </xf>
    <xf numFmtId="0" fontId="22" fillId="0" borderId="0" xfId="0" applyFont="1" applyAlignment="1">
      <alignment horizontal="center" vertical="center" wrapText="1"/>
    </xf>
    <xf numFmtId="0" fontId="22" fillId="0" borderId="0" xfId="0" applyFont="1" applyAlignment="1">
      <alignment horizontal="center" vertical="top" readingOrder="1"/>
    </xf>
    <xf numFmtId="0" fontId="22" fillId="0" borderId="0" xfId="0" applyFont="1" applyAlignment="1">
      <alignment horizontal="center" wrapText="1"/>
    </xf>
    <xf numFmtId="0" fontId="24" fillId="0" borderId="0" xfId="7" applyFont="1" applyAlignment="1">
      <alignment horizontal="justify" vertical="top" wrapText="1"/>
    </xf>
    <xf numFmtId="0" fontId="44" fillId="0" borderId="0" xfId="7" applyFont="1" applyAlignment="1">
      <alignment horizontal="center" vertical="top"/>
    </xf>
    <xf numFmtId="1" fontId="25" fillId="0" borderId="0" xfId="7" applyNumberFormat="1" applyFont="1" applyAlignment="1">
      <alignment horizontal="center" vertical="top" shrinkToFit="1"/>
    </xf>
    <xf numFmtId="0" fontId="22" fillId="0" borderId="0" xfId="7" applyFont="1" applyAlignment="1">
      <alignment horizontal="center" vertical="top" wrapText="1"/>
    </xf>
    <xf numFmtId="0" fontId="24" fillId="0" borderId="0" xfId="12" quotePrefix="1" applyFont="1" applyAlignment="1">
      <alignment horizontal="justify" vertical="top" wrapText="1"/>
    </xf>
    <xf numFmtId="165" fontId="24" fillId="0" borderId="0" xfId="33" applyFont="1" applyAlignment="1">
      <alignment horizontal="justify" vertical="top" wrapText="1"/>
    </xf>
    <xf numFmtId="0" fontId="22" fillId="0" borderId="0" xfId="0" applyFont="1" applyAlignment="1">
      <alignment horizontal="center" vertical="center" wrapText="1"/>
    </xf>
    <xf numFmtId="0" fontId="34" fillId="5" borderId="10" xfId="0" applyFont="1" applyFill="1" applyBorder="1" applyAlignment="1">
      <alignment horizontal="center" vertical="center" wrapText="1"/>
    </xf>
    <xf numFmtId="0" fontId="34" fillId="5" borderId="11" xfId="0" applyFont="1" applyFill="1" applyBorder="1" applyAlignment="1">
      <alignment horizontal="center" vertical="center" wrapText="1"/>
    </xf>
    <xf numFmtId="0" fontId="34" fillId="5" borderId="12" xfId="0" applyFont="1" applyFill="1" applyBorder="1" applyAlignment="1">
      <alignment horizontal="center" vertical="center" wrapText="1"/>
    </xf>
    <xf numFmtId="0" fontId="34" fillId="5" borderId="4" xfId="0" applyFont="1" applyFill="1" applyBorder="1" applyAlignment="1">
      <alignment horizontal="center" vertical="center" wrapText="1"/>
    </xf>
    <xf numFmtId="0" fontId="34" fillId="5" borderId="5" xfId="0" applyFont="1" applyFill="1" applyBorder="1" applyAlignment="1">
      <alignment horizontal="center" vertical="center" wrapText="1"/>
    </xf>
    <xf numFmtId="0" fontId="34" fillId="5" borderId="6" xfId="0" applyFont="1" applyFill="1" applyBorder="1" applyAlignment="1">
      <alignment horizontal="center" vertical="center" wrapText="1"/>
    </xf>
    <xf numFmtId="0" fontId="34" fillId="5" borderId="7" xfId="0" applyFont="1" applyFill="1" applyBorder="1" applyAlignment="1">
      <alignment horizontal="center" vertical="center" wrapText="1"/>
    </xf>
    <xf numFmtId="0" fontId="34" fillId="5" borderId="8" xfId="0" applyFont="1" applyFill="1" applyBorder="1" applyAlignment="1">
      <alignment horizontal="center" vertical="center" wrapText="1"/>
    </xf>
    <xf numFmtId="0" fontId="34" fillId="5" borderId="9" xfId="0" applyFont="1" applyFill="1" applyBorder="1" applyAlignment="1">
      <alignment horizontal="center" vertical="center" wrapText="1"/>
    </xf>
    <xf numFmtId="0" fontId="29" fillId="0" borderId="0" xfId="26" applyFont="1" applyAlignment="1">
      <alignment horizontal="center" vertical="center" wrapText="1"/>
    </xf>
    <xf numFmtId="0" fontId="0" fillId="0" borderId="3" xfId="0" applyBorder="1" applyAlignment="1">
      <alignment horizontal="center"/>
    </xf>
    <xf numFmtId="0" fontId="16" fillId="0" borderId="0" xfId="22" applyFont="1" applyAlignment="1" applyProtection="1">
      <alignment horizontal="center" vertical="center" wrapText="1"/>
      <protection locked="0"/>
    </xf>
    <xf numFmtId="0" fontId="19" fillId="0" borderId="0" xfId="0" applyFont="1" applyAlignment="1">
      <alignment horizontal="center" vertical="center" wrapText="1"/>
    </xf>
    <xf numFmtId="0" fontId="32" fillId="0" borderId="0" xfId="0" applyFont="1" applyAlignment="1">
      <alignment horizontal="center" vertical="center" wrapText="1"/>
    </xf>
    <xf numFmtId="0" fontId="32" fillId="0" borderId="0" xfId="0" applyFont="1" applyAlignment="1">
      <alignment horizontal="right" vertical="top" wrapText="1"/>
    </xf>
    <xf numFmtId="0" fontId="29" fillId="0" borderId="0" xfId="0" applyFont="1" applyAlignment="1">
      <alignment horizontal="left" vertical="top" wrapText="1" indent="1"/>
    </xf>
    <xf numFmtId="4" fontId="30" fillId="0" borderId="0" xfId="0" applyNumberFormat="1" applyFont="1" applyAlignment="1">
      <alignment vertical="top"/>
    </xf>
    <xf numFmtId="0" fontId="0" fillId="0" borderId="0" xfId="0" applyFont="1" applyAlignment="1">
      <alignment horizontal="left" vertical="top"/>
    </xf>
    <xf numFmtId="4" fontId="0" fillId="0" borderId="0" xfId="0" applyNumberFormat="1" applyFont="1" applyAlignment="1">
      <alignment vertical="center"/>
    </xf>
    <xf numFmtId="0" fontId="33" fillId="0" borderId="0" xfId="0" applyNumberFormat="1" applyFont="1" applyAlignment="1">
      <alignment horizontal="center" vertical="top"/>
    </xf>
    <xf numFmtId="165" fontId="44" fillId="0" borderId="15" xfId="1" applyFont="1" applyBorder="1" applyAlignment="1">
      <alignment horizontal="justify" vertical="top" wrapText="1"/>
    </xf>
  </cellXfs>
  <cellStyles count="37">
    <cellStyle name="0,0_x000a__x000a_NA_x000a__x000a_" xfId="34" xr:uid="{00000000-0005-0000-0000-000000000000}"/>
    <cellStyle name="Comma 17 2" xfId="3" xr:uid="{00000000-0005-0000-0000-000001000000}"/>
    <cellStyle name="Comma 2" xfId="14" xr:uid="{00000000-0005-0000-0000-000002000000}"/>
    <cellStyle name="Comma 2 2 10 2 2" xfId="20" xr:uid="{00000000-0005-0000-0000-000003000000}"/>
    <cellStyle name="Comma 3" xfId="27" xr:uid="{00000000-0005-0000-0000-000004000000}"/>
    <cellStyle name="Comma 62 4 3" xfId="19" xr:uid="{00000000-0005-0000-0000-000005000000}"/>
    <cellStyle name="Comma 9" xfId="24" xr:uid="{00000000-0005-0000-0000-000006000000}"/>
    <cellStyle name="Normal" xfId="0" builtinId="0"/>
    <cellStyle name="Normal - Style1 2" xfId="8" xr:uid="{00000000-0005-0000-0000-000008000000}"/>
    <cellStyle name="Normal 11 3 4 3" xfId="15" xr:uid="{00000000-0005-0000-0000-000009000000}"/>
    <cellStyle name="Normal 11 3 4 3 2" xfId="17" xr:uid="{00000000-0005-0000-0000-00000A000000}"/>
    <cellStyle name="Normal 14" xfId="28" xr:uid="{00000000-0005-0000-0000-00000B000000}"/>
    <cellStyle name="Normal 15" xfId="6" xr:uid="{00000000-0005-0000-0000-00000C000000}"/>
    <cellStyle name="Normal 2" xfId="7" xr:uid="{00000000-0005-0000-0000-00000D000000}"/>
    <cellStyle name="Normal 2 2" xfId="16" xr:uid="{00000000-0005-0000-0000-00000E000000}"/>
    <cellStyle name="Normal 2 2 2" xfId="26" xr:uid="{00000000-0005-0000-0000-00000F000000}"/>
    <cellStyle name="Normal 2 3" xfId="13" xr:uid="{00000000-0005-0000-0000-000010000000}"/>
    <cellStyle name="Normal 2 4 3" xfId="31" xr:uid="{00000000-0005-0000-0000-000011000000}"/>
    <cellStyle name="Normal 2_Bill 11 - Civil" xfId="29" xr:uid="{00000000-0005-0000-0000-000012000000}"/>
    <cellStyle name="Normal 3" xfId="12" xr:uid="{00000000-0005-0000-0000-000013000000}"/>
    <cellStyle name="Normal 3 4 2 2 2" xfId="18" xr:uid="{00000000-0005-0000-0000-000014000000}"/>
    <cellStyle name="Normal 30 2 2" xfId="2" xr:uid="{00000000-0005-0000-0000-000015000000}"/>
    <cellStyle name="Normal 30 2 2 2" xfId="25" xr:uid="{00000000-0005-0000-0000-000016000000}"/>
    <cellStyle name="Normal 4" xfId="5" xr:uid="{00000000-0005-0000-0000-000017000000}"/>
    <cellStyle name="Normal 5" xfId="35" xr:uid="{00000000-0005-0000-0000-000018000000}"/>
    <cellStyle name="Normal 5 2" xfId="36" xr:uid="{6F0D0434-6F39-425C-854E-590D66152E60}"/>
    <cellStyle name="Normal 77" xfId="4" xr:uid="{00000000-0005-0000-0000-000019000000}"/>
    <cellStyle name="Normal 79 4" xfId="9" xr:uid="{00000000-0005-0000-0000-00001A000000}"/>
    <cellStyle name="Normal 79 4 3" xfId="11" xr:uid="{00000000-0005-0000-0000-00001B000000}"/>
    <cellStyle name="Normal 8" xfId="23" xr:uid="{00000000-0005-0000-0000-00001C000000}"/>
    <cellStyle name="Normal 80 2" xfId="10" xr:uid="{00000000-0005-0000-0000-00001D000000}"/>
    <cellStyle name="Normal 9" xfId="30" xr:uid="{00000000-0005-0000-0000-00001E000000}"/>
    <cellStyle name="Normal 9 3 3" xfId="32" xr:uid="{00000000-0005-0000-0000-00001F000000}"/>
    <cellStyle name="Normal_SEC-B" xfId="1" xr:uid="{00000000-0005-0000-0000-000020000000}"/>
    <cellStyle name="Normal_SEC-B 2" xfId="33" xr:uid="{00000000-0005-0000-0000-000021000000}"/>
    <cellStyle name="TABLE HEADER" xfId="21" xr:uid="{00000000-0005-0000-0000-000022000000}"/>
    <cellStyle name="Title" xfId="22" builtinId="15"/>
  </cellStyles>
  <dxfs count="1115">
    <dxf>
      <font>
        <b/>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i val="0"/>
        <strike val="0"/>
        <condense val="0"/>
        <extend val="0"/>
        <outline val="0"/>
        <shadow val="0"/>
        <u val="none"/>
        <vertAlign val="baseline"/>
        <sz val="12"/>
        <color auto="1"/>
        <name val="Calibri"/>
        <family val="2"/>
        <scheme val="minor"/>
      </font>
      <alignment horizontal="center" vertical="bottom" textRotation="0" wrapText="1" indent="0" justifyLastLine="0" shrinkToFit="0" readingOrder="0"/>
    </dxf>
    <dxf>
      <font>
        <b/>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0"/>
    </dxf>
    <dxf>
      <font>
        <b/>
        <i val="0"/>
        <strike val="0"/>
        <condense val="0"/>
        <extend val="0"/>
        <outline val="0"/>
        <shadow val="0"/>
        <u val="none"/>
        <vertAlign val="baseline"/>
        <sz val="12"/>
        <color auto="1"/>
        <name val="Calibri"/>
        <family val="2"/>
        <scheme val="minor"/>
      </font>
      <alignment horizontal="center" vertical="top" textRotation="0" wrapText="0" indent="0" justifyLastLine="0" shrinkToFit="0" readingOrder="1"/>
    </dxf>
    <dxf>
      <font>
        <b/>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12"/>
        <color auto="1"/>
        <name val="Calibri"/>
        <family val="2"/>
        <scheme val="minor"/>
      </font>
      <alignment horizontal="center" vertical="top" textRotation="0" wrapText="1" indent="0" justifyLastLine="0" shrinkToFit="0" readingOrder="0"/>
    </dxf>
    <dxf>
      <font>
        <b/>
      </font>
    </dxf>
    <dxf>
      <font>
        <sz val="11"/>
      </font>
    </dxf>
    <dxf>
      <font>
        <sz val="11"/>
      </font>
    </dxf>
    <dxf>
      <font>
        <sz val="11"/>
      </font>
    </dxf>
    <dxf>
      <font>
        <sz val="11"/>
      </font>
    </dxf>
    <dxf>
      <font>
        <sz val="11"/>
      </font>
    </dxf>
    <dxf>
      <font>
        <b/>
      </font>
    </dxf>
    <dxf>
      <font>
        <u/>
      </font>
    </dxf>
    <dxf>
      <font>
        <b/>
      </font>
    </dxf>
    <dxf>
      <border>
        <right style="thin">
          <color indexed="64"/>
        </right>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i val="0"/>
      </font>
    </dxf>
    <dxf>
      <font>
        <b/>
      </font>
    </dxf>
    <dxf>
      <font>
        <b/>
      </font>
    </dxf>
    <dxf>
      <font>
        <b/>
      </font>
    </dxf>
    <dxf>
      <font>
        <b/>
      </font>
    </dxf>
    <dxf>
      <font>
        <b/>
      </font>
    </dxf>
    <dxf>
      <font>
        <b/>
      </font>
    </dxf>
    <dxf>
      <font>
        <b/>
      </font>
    </dxf>
    <dxf>
      <font>
        <b/>
      </font>
    </dxf>
    <dxf>
      <font>
        <b/>
      </font>
    </dxf>
    <dxf>
      <font>
        <b/>
      </font>
    </dxf>
    <dxf>
      <font>
        <b/>
      </font>
    </dxf>
    <dxf>
      <font>
        <b/>
      </font>
    </dxf>
    <dxf>
      <font>
        <u/>
      </font>
    </dxf>
    <dxf>
      <font>
        <b/>
      </font>
    </dxf>
    <dxf>
      <font>
        <u/>
      </font>
    </dxf>
    <dxf>
      <font>
        <b/>
      </font>
    </dxf>
    <dxf>
      <font>
        <b/>
      </font>
    </dxf>
    <dxf>
      <font>
        <b/>
      </font>
    </dxf>
    <dxf>
      <font>
        <b/>
      </font>
    </dxf>
    <dxf>
      <font>
        <b/>
      </font>
    </dxf>
    <dxf>
      <font>
        <b/>
      </font>
    </dxf>
    <dxf>
      <font>
        <b/>
      </font>
    </dxf>
    <dxf>
      <font>
        <b/>
      </font>
    </dxf>
    <dxf>
      <font>
        <b/>
      </font>
    </dxf>
    <dxf>
      <font>
        <u/>
      </font>
    </dxf>
    <dxf>
      <font>
        <b/>
      </font>
    </dxf>
    <dxf>
      <font>
        <u/>
      </font>
    </dxf>
    <dxf>
      <font>
        <b/>
      </font>
    </dxf>
    <dxf>
      <font>
        <b/>
      </font>
    </dxf>
    <dxf>
      <font>
        <b/>
      </font>
    </dxf>
    <dxf>
      <font>
        <b/>
      </font>
    </dxf>
    <dxf>
      <font>
        <b/>
      </font>
    </dxf>
    <dxf>
      <font>
        <b/>
      </font>
    </dxf>
    <dxf>
      <font>
        <b/>
      </font>
    </dxf>
    <dxf>
      <font>
        <u/>
      </font>
    </dxf>
    <dxf>
      <font>
        <b/>
      </font>
    </dxf>
    <dxf>
      <font>
        <b/>
      </font>
    </dxf>
    <dxf>
      <font>
        <u/>
      </font>
    </dxf>
    <dxf>
      <font>
        <b/>
      </font>
    </dxf>
    <dxf>
      <font>
        <b/>
      </font>
    </dxf>
    <dxf>
      <font>
        <b/>
      </font>
    </dxf>
    <dxf>
      <font>
        <b/>
      </font>
    </dxf>
    <dxf>
      <font>
        <b/>
      </font>
    </dxf>
    <dxf>
      <font>
        <b/>
      </font>
    </dxf>
    <dxf>
      <font>
        <b/>
      </font>
    </dxf>
    <dxf>
      <font>
        <b/>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u/>
      </font>
    </dxf>
    <dxf>
      <font>
        <b/>
      </font>
    </dxf>
    <dxf>
      <font>
        <b/>
      </font>
    </dxf>
    <dxf>
      <font>
        <b/>
      </font>
    </dxf>
    <dxf>
      <font>
        <b/>
      </font>
    </dxf>
    <dxf>
      <font>
        <b/>
      </font>
    </dxf>
    <dxf>
      <font>
        <b/>
      </font>
    </dxf>
    <dxf>
      <font>
        <b/>
      </font>
    </dxf>
    <dxf>
      <font>
        <b/>
      </font>
    </dxf>
    <dxf>
      <font>
        <b/>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u/>
      </font>
    </dxf>
    <dxf>
      <font>
        <u/>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i/>
      </font>
    </dxf>
    <dxf>
      <font>
        <b/>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b/>
      </font>
    </dxf>
    <dxf>
      <font>
        <u/>
      </font>
    </dxf>
    <dxf>
      <font>
        <b/>
      </font>
    </dxf>
    <dxf>
      <font>
        <b/>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b val="0"/>
      </font>
    </dxf>
    <dxf>
      <font>
        <sz val="10.5"/>
      </font>
    </dxf>
    <dxf>
      <font>
        <sz val="10.5"/>
      </font>
    </dxf>
    <dxf>
      <font>
        <sz val="10.5"/>
      </font>
    </dxf>
    <dxf>
      <font>
        <sz val="10.5"/>
      </font>
    </dxf>
    <dxf>
      <font>
        <sz val="10.5"/>
      </font>
    </dxf>
    <dxf>
      <font>
        <sz val="10.5"/>
      </font>
    </dxf>
    <dxf>
      <font>
        <sz val="10.5"/>
      </font>
    </dxf>
    <dxf>
      <font>
        <b/>
      </font>
    </dxf>
    <dxf>
      <font>
        <sz val="10.5"/>
      </font>
    </dxf>
    <dxf>
      <font>
        <b/>
      </font>
    </dxf>
    <dxf>
      <font>
        <sz val="10.5"/>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alignment vertical="top"/>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b/>
      </font>
    </dxf>
    <dxf>
      <alignment horizontal="center"/>
    </dxf>
    <dxf>
      <font>
        <u/>
      </font>
    </dxf>
    <dxf>
      <font>
        <u/>
      </font>
    </dxf>
    <dxf>
      <font>
        <u/>
      </font>
    </dxf>
    <dxf>
      <font>
        <u/>
      </font>
    </dxf>
    <dxf>
      <font>
        <u/>
      </font>
    </dxf>
    <dxf>
      <font>
        <u/>
      </font>
    </dxf>
    <dxf>
      <font>
        <u/>
      </font>
    </dxf>
    <dxf>
      <font>
        <u/>
      </font>
    </dxf>
    <dxf>
      <font>
        <u/>
      </font>
    </dxf>
    <dxf>
      <font>
        <u/>
      </font>
    </dxf>
    <dxf>
      <alignment horizontal="center"/>
    </dxf>
    <dxf>
      <alignment vertical="top"/>
    </dxf>
    <dxf>
      <alignment vertical="top"/>
    </dxf>
    <dxf>
      <alignment horizontal="center"/>
    </dxf>
    <dxf>
      <alignment horizontal="center"/>
    </dxf>
    <dxf>
      <alignment horizontal="justify" vertical="top" wrapText="1"/>
    </dxf>
    <dxf>
      <alignment horizontal="center"/>
    </dxf>
    <dxf>
      <alignment horizontal="center"/>
    </dxf>
    <dxf>
      <alignment horizontal="center"/>
    </dxf>
    <dxf>
      <alignment horizontal="center"/>
    </dxf>
    <dxf>
      <font>
        <strike val="0"/>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b/>
      </font>
    </dxf>
    <dxf>
      <font>
        <b/>
      </font>
    </dxf>
    <dxf>
      <font>
        <b/>
      </font>
    </dxf>
    <dxf>
      <font>
        <b/>
      </font>
    </dxf>
    <dxf>
      <font>
        <b/>
      </font>
    </dxf>
    <dxf>
      <font>
        <b/>
      </font>
    </dxf>
    <dxf>
      <font>
        <b/>
      </font>
    </dxf>
    <dxf>
      <font>
        <u/>
      </font>
    </dxf>
    <dxf>
      <font>
        <b/>
      </font>
    </dxf>
    <dxf>
      <font>
        <sz val="11"/>
      </font>
    </dxf>
    <dxf>
      <font>
        <sz val="11"/>
      </font>
    </dxf>
    <dxf>
      <font>
        <sz val="11"/>
      </font>
    </dxf>
    <dxf>
      <font>
        <sz val="11"/>
      </font>
    </dxf>
    <dxf>
      <font>
        <sz val="11"/>
      </font>
    </dxf>
    <dxf>
      <font>
        <b/>
      </font>
    </dxf>
    <dxf>
      <font>
        <b/>
      </font>
    </dxf>
    <dxf>
      <font>
        <b/>
      </font>
    </dxf>
    <dxf>
      <font>
        <b/>
      </font>
    </dxf>
    <dxf>
      <font>
        <b/>
      </font>
    </dxf>
    <dxf>
      <font>
        <b/>
      </font>
    </dxf>
    <dxf>
      <font>
        <u/>
      </font>
    </dxf>
    <dxf>
      <font>
        <b/>
      </font>
    </dxf>
    <dxf>
      <font>
        <b/>
      </font>
    </dxf>
    <dxf>
      <font>
        <b/>
      </font>
    </dxf>
    <dxf>
      <font>
        <b/>
      </font>
    </dxf>
    <dxf>
      <font>
        <b/>
      </font>
    </dxf>
    <dxf>
      <font>
        <b/>
      </font>
    </dxf>
    <dxf>
      <font>
        <b/>
      </font>
    </dxf>
    <dxf>
      <font>
        <b/>
      </font>
    </dxf>
    <dxf>
      <font>
        <b/>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i/>
      </font>
    </dxf>
    <dxf>
      <font>
        <b/>
      </font>
    </dxf>
    <dxf>
      <font>
        <i/>
      </font>
    </dxf>
    <dxf>
      <font>
        <b/>
      </font>
    </dxf>
    <dxf>
      <font>
        <u/>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u/>
      </font>
    </dxf>
    <dxf>
      <font>
        <b/>
      </font>
    </dxf>
    <dxf>
      <font>
        <b/>
      </font>
    </dxf>
    <dxf>
      <font>
        <b/>
      </font>
    </dxf>
    <dxf>
      <font>
        <b/>
      </font>
    </dxf>
    <dxf>
      <font>
        <b/>
      </font>
    </dxf>
    <dxf>
      <font>
        <b/>
      </font>
    </dxf>
    <dxf>
      <font>
        <b/>
      </font>
    </dxf>
    <dxf>
      <font>
        <b/>
      </font>
    </dxf>
    <dxf>
      <font>
        <b/>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u/>
      </font>
    </dxf>
    <dxf>
      <font>
        <u/>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i/>
      </font>
    </dxf>
    <dxf>
      <font>
        <b/>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u/>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b/>
      </font>
    </dxf>
    <dxf>
      <font>
        <i/>
      </font>
    </dxf>
    <dxf>
      <font>
        <i/>
      </font>
    </dxf>
    <dxf>
      <font>
        <b/>
      </font>
    </dxf>
    <dxf>
      <font>
        <b/>
      </font>
    </dxf>
    <dxf>
      <font>
        <u/>
      </font>
    </dxf>
    <dxf>
      <font>
        <b/>
      </font>
    </dxf>
    <dxf>
      <font>
        <b/>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b val="0"/>
      </font>
    </dxf>
    <dxf>
      <font>
        <sz val="10.5"/>
      </font>
    </dxf>
    <dxf>
      <font>
        <sz val="10.5"/>
      </font>
    </dxf>
    <dxf>
      <font>
        <sz val="10.5"/>
      </font>
    </dxf>
    <dxf>
      <font>
        <sz val="10.5"/>
      </font>
    </dxf>
    <dxf>
      <font>
        <sz val="10.5"/>
      </font>
    </dxf>
    <dxf>
      <font>
        <sz val="10.5"/>
      </font>
    </dxf>
    <dxf>
      <font>
        <sz val="10.5"/>
      </font>
    </dxf>
    <dxf>
      <font>
        <b/>
      </font>
    </dxf>
    <dxf>
      <font>
        <sz val="10.5"/>
      </font>
    </dxf>
    <dxf>
      <font>
        <b/>
      </font>
    </dxf>
    <dxf>
      <font>
        <sz val="10.5"/>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alignment vertical="top"/>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b/>
      </font>
    </dxf>
    <dxf>
      <alignment horizontal="center"/>
    </dxf>
    <dxf>
      <font>
        <u/>
      </font>
    </dxf>
    <dxf>
      <font>
        <u/>
      </font>
    </dxf>
    <dxf>
      <font>
        <u/>
      </font>
    </dxf>
    <dxf>
      <font>
        <u/>
      </font>
    </dxf>
    <dxf>
      <font>
        <u/>
      </font>
    </dxf>
    <dxf>
      <font>
        <u/>
      </font>
    </dxf>
    <dxf>
      <font>
        <u/>
      </font>
    </dxf>
    <dxf>
      <font>
        <u/>
      </font>
    </dxf>
    <dxf>
      <font>
        <u/>
      </font>
    </dxf>
    <dxf>
      <font>
        <u/>
      </font>
    </dxf>
    <dxf>
      <alignment horizontal="center"/>
    </dxf>
    <dxf>
      <alignment vertical="top"/>
    </dxf>
    <dxf>
      <alignment vertical="top"/>
    </dxf>
    <dxf>
      <alignment horizontal="center"/>
    </dxf>
    <dxf>
      <alignment horizontal="center"/>
    </dxf>
    <dxf>
      <alignment horizontal="justify" vertical="top" wrapText="1"/>
    </dxf>
    <dxf>
      <alignment horizontal="center"/>
    </dxf>
    <dxf>
      <alignment horizontal="center"/>
    </dxf>
    <dxf>
      <alignment horizontal="center"/>
    </dxf>
    <dxf>
      <alignment horizontal="center"/>
    </dxf>
    <dxf>
      <font>
        <strike val="0"/>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b/>
      </font>
    </dxf>
    <dxf>
      <font>
        <b/>
      </font>
    </dxf>
    <dxf>
      <font>
        <b/>
      </font>
    </dxf>
    <dxf>
      <font>
        <b/>
      </font>
    </dxf>
    <dxf>
      <font>
        <b/>
      </font>
    </dxf>
    <dxf>
      <alignment horizontal="center"/>
    </dxf>
    <dxf>
      <alignment vertical="top"/>
    </dxf>
    <dxf>
      <font>
        <sz val="11"/>
      </font>
    </dxf>
    <dxf>
      <font>
        <sz val="11"/>
      </font>
    </dxf>
    <dxf>
      <font>
        <sz val="11"/>
      </font>
    </dxf>
    <dxf>
      <font>
        <sz val="11"/>
      </font>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left"/>
    </dxf>
    <dxf>
      <font>
        <b/>
      </font>
    </dxf>
    <dxf>
      <font>
        <b/>
      </font>
    </dxf>
    <dxf>
      <font>
        <b/>
      </font>
    </dxf>
    <dxf>
      <font>
        <b/>
      </font>
    </dxf>
    <dxf>
      <font>
        <b/>
      </font>
    </dxf>
    <dxf>
      <font>
        <b/>
      </font>
    </dxf>
    <dxf>
      <font>
        <b/>
      </font>
    </dxf>
    <dxf>
      <alignment horizontal="left"/>
    </dxf>
    <dxf>
      <alignment horizontal="left"/>
    </dxf>
    <dxf>
      <alignment horizontal="left"/>
    </dxf>
    <dxf>
      <font>
        <b/>
      </font>
    </dxf>
    <dxf>
      <font>
        <b/>
      </font>
    </dxf>
    <dxf>
      <font>
        <b/>
      </font>
    </dxf>
    <dxf>
      <font>
        <b/>
      </font>
    </dxf>
    <dxf>
      <font>
        <u/>
      </font>
    </dxf>
    <dxf>
      <font>
        <b/>
      </font>
    </dxf>
    <dxf>
      <font>
        <u val="none"/>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ont>
        <b val="0"/>
      </font>
    </dxf>
    <dxf>
      <font>
        <sz val="10.5"/>
      </font>
    </dxf>
    <dxf>
      <font>
        <sz val="10.5"/>
      </font>
    </dxf>
    <dxf>
      <font>
        <sz val="10.5"/>
      </font>
    </dxf>
    <dxf>
      <font>
        <sz val="10.5"/>
      </font>
    </dxf>
    <dxf>
      <font>
        <sz val="10.5"/>
      </font>
    </dxf>
    <dxf>
      <font>
        <sz val="10.5"/>
      </font>
    </dxf>
    <dxf>
      <font>
        <sz val="10.5"/>
      </font>
    </dxf>
    <dxf>
      <font>
        <b/>
      </font>
    </dxf>
    <dxf>
      <font>
        <sz val="10.5"/>
      </font>
    </dxf>
    <dxf>
      <font>
        <b/>
      </font>
    </dxf>
    <dxf>
      <font>
        <sz val="10.5"/>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alignment vertical="top"/>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u/>
      </font>
    </dxf>
    <dxf>
      <font>
        <b/>
      </font>
    </dxf>
    <dxf>
      <alignment horizontal="center"/>
    </dxf>
    <dxf>
      <font>
        <u/>
      </font>
    </dxf>
    <dxf>
      <font>
        <u/>
      </font>
    </dxf>
    <dxf>
      <font>
        <u/>
      </font>
    </dxf>
    <dxf>
      <font>
        <u/>
      </font>
    </dxf>
    <dxf>
      <font>
        <u/>
      </font>
    </dxf>
    <dxf>
      <font>
        <u/>
      </font>
    </dxf>
    <dxf>
      <font>
        <u/>
      </font>
    </dxf>
    <dxf>
      <font>
        <u/>
      </font>
    </dxf>
    <dxf>
      <font>
        <u/>
      </font>
    </dxf>
    <dxf>
      <font>
        <u/>
      </font>
    </dxf>
    <dxf>
      <alignment horizontal="center"/>
    </dxf>
    <dxf>
      <alignment vertical="top"/>
    </dxf>
    <dxf>
      <alignment vertical="top"/>
    </dxf>
    <dxf>
      <alignment horizontal="center"/>
    </dxf>
    <dxf>
      <alignment horizontal="center"/>
    </dxf>
    <dxf>
      <alignment horizontal="justify" vertical="top" wrapText="1"/>
    </dxf>
    <dxf>
      <alignment horizontal="center"/>
    </dxf>
    <dxf>
      <alignment horizontal="center"/>
    </dxf>
    <dxf>
      <alignment horizontal="center"/>
    </dxf>
    <dxf>
      <alignment horizontal="center"/>
    </dxf>
    <dxf>
      <font>
        <strike val="0"/>
        <color theme="0"/>
      </font>
    </dxf>
    <dxf>
      <font>
        <strike val="0"/>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color auto="1"/>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font>
        <color auto="1"/>
      </font>
    </dxf>
    <dxf>
      <alignment horizontal="left"/>
    </dxf>
    <dxf>
      <alignment wrapText="0"/>
    </dxf>
    <dxf>
      <font>
        <sz val="10"/>
      </font>
    </dxf>
    <dxf>
      <alignment wrapText="1"/>
    </dxf>
    <dxf>
      <font>
        <sz val="8"/>
      </font>
    </dxf>
    <dxf>
      <alignment horizontal="left"/>
    </dxf>
    <dxf>
      <font>
        <b/>
      </font>
    </dxf>
    <dxf>
      <alignment vertical="top"/>
    </dxf>
    <dxf>
      <alignment vertical="top"/>
    </dxf>
    <dxf>
      <alignment vertical="top"/>
    </dxf>
    <dxf>
      <alignment horizontal="left"/>
    </dxf>
    <dxf>
      <alignment horizontal="left"/>
    </dxf>
    <dxf>
      <alignment horizontal="left"/>
    </dxf>
    <dxf>
      <numFmt numFmtId="4" formatCode="#,##0.00"/>
    </dxf>
    <dxf>
      <alignment horizontal="center"/>
    </dxf>
    <dxf>
      <alignment horizontal="center"/>
    </dxf>
    <dxf>
      <alignment horizontal="center"/>
    </dxf>
    <dxf>
      <alignment horizontal="center"/>
    </dxf>
    <dxf>
      <alignment horizontal="center"/>
    </dxf>
    <dxf>
      <alignment horizontal="justify" vertical="top" wrapText="1"/>
    </dxf>
    <dxf>
      <alignment vertical="center"/>
    </dxf>
    <dxf>
      <alignment vertical="center"/>
    </dxf>
    <dxf>
      <alignment vertical="center"/>
    </dxf>
    <dxf>
      <alignment vertical="center"/>
    </dxf>
    <dxf>
      <alignment vertical="top"/>
    </dxf>
    <dxf>
      <alignment vertical="top"/>
    </dxf>
    <dxf>
      <font>
        <strike val="0"/>
        <color theme="0"/>
      </font>
    </dxf>
    <dxf>
      <font>
        <color auto="1"/>
      </font>
    </dxf>
    <dxf>
      <font>
        <sz val="11"/>
      </font>
    </dxf>
    <dxf>
      <font>
        <sz val="11"/>
      </font>
    </dxf>
    <dxf>
      <font>
        <sz val="11"/>
      </font>
    </dxf>
    <dxf>
      <font>
        <sz val="11"/>
      </font>
    </dxf>
    <dxf>
      <font>
        <sz val="11"/>
      </font>
    </dxf>
    <dxf>
      <font>
        <sz val="11"/>
      </font>
    </dxf>
    <dxf>
      <font>
        <name val="Arial"/>
      </font>
    </dxf>
    <dxf>
      <font>
        <name val="Arial"/>
      </font>
    </dxf>
    <dxf>
      <alignment vertical="center"/>
    </dxf>
    <dxf>
      <alignment vertical="center"/>
    </dxf>
    <dxf>
      <font>
        <color auto="1"/>
      </font>
    </dxf>
    <dxf>
      <alignment horizontal="left" relativeIndent="1"/>
    </dxf>
    <dxf>
      <alignment vertical="center"/>
    </dxf>
    <dxf>
      <alignment vertical="center"/>
    </dxf>
    <dxf>
      <font>
        <sz val="8"/>
      </font>
    </dxf>
    <dxf>
      <font>
        <sz val="8"/>
      </font>
    </dxf>
    <dxf>
      <font>
        <sz val="8"/>
      </font>
    </dxf>
    <dxf>
      <font>
        <sz val="8"/>
      </font>
    </dxf>
    <dxf>
      <font>
        <sz val="8"/>
      </font>
    </dxf>
    <dxf>
      <alignment horizontal="justify"/>
    </dxf>
    <dxf>
      <alignment wrapText="1"/>
    </dxf>
    <dxf>
      <alignment wrapText="1"/>
    </dxf>
    <dxf>
      <numFmt numFmtId="4" formatCode="#,##0.00"/>
    </dxf>
    <dxf>
      <font>
        <b/>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vertical="top"/>
    </dxf>
    <dxf>
      <alignment vertical="top"/>
    </dxf>
    <dxf>
      <alignment vertical="top"/>
    </dxf>
    <dxf>
      <alignment vertical="top"/>
    </dxf>
    <dxf>
      <alignment wrapText="1"/>
    </dxf>
    <dxf>
      <alignment wrapText="1"/>
    </dxf>
    <dxf>
      <font>
        <strike val="0"/>
        <color theme="0"/>
      </font>
    </dxf>
    <dxf>
      <font>
        <strike val="0"/>
        <outline val="0"/>
        <shadow val="0"/>
        <vertAlign val="baseline"/>
        <sz val="12"/>
        <name val="Calibri"/>
        <scheme val="minor"/>
      </font>
      <alignment horizontal="general" vertical="top" textRotation="0" wrapText="1" indent="0" justifyLastLine="0" shrinkToFit="0" readingOrder="0"/>
      <protection locked="0" hidden="0"/>
    </dxf>
    <dxf>
      <font>
        <strike val="0"/>
        <outline val="0"/>
        <shadow val="0"/>
        <u val="none"/>
        <vertAlign val="baseline"/>
        <sz val="12.5"/>
        <color theme="1" tint="0.499984740745262"/>
        <name val="Calibri"/>
        <scheme val="minor"/>
      </font>
      <numFmt numFmtId="35" formatCode="_(* #,##0.00_);_(* \(#,##0.00\);_(* &quot;-&quot;??_);_(@_)"/>
      <alignment horizontal="justify"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35" formatCode="_(* #,##0.00_);_(* \(#,##0.00\);_(* &quot;-&quot;??_);_(@_)"/>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0" formatCode="General"/>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35" formatCode="_(* #,##0.00_);_(* \(#,##0.00\);_(* &quot;-&quot;??_);_(@_)"/>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167" formatCode="#,##0.00;[Red]\-#,##0.00"/>
      <alignment horizontal="right"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167" formatCode="#,##0.00;[Red]\-#,##0.00"/>
      <fill>
        <patternFill patternType="none">
          <fgColor indexed="64"/>
          <bgColor indexed="65"/>
        </patternFill>
      </fill>
      <alignment horizontal="right" vertical="top" textRotation="0" indent="0" justifyLastLine="0" shrinkToFit="0" readingOrder="0"/>
    </dxf>
    <dxf>
      <font>
        <b val="0"/>
        <i val="0"/>
        <strike val="0"/>
        <condense val="0"/>
        <extend val="0"/>
        <outline val="0"/>
        <shadow val="0"/>
        <u val="none"/>
        <vertAlign val="baseline"/>
        <sz val="12"/>
        <color auto="1"/>
        <name val="Calibri"/>
        <scheme val="minor"/>
      </font>
      <numFmt numFmtId="4" formatCode="#,##0.00"/>
      <alignment horizontal="center"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4" formatCode="#,##0.00"/>
      <alignment horizontal="center" vertical="top" textRotation="0" wrapText="0" indent="0" justifyLastLine="0" shrinkToFit="0" readingOrder="0"/>
    </dxf>
    <dxf>
      <font>
        <b val="0"/>
        <i val="0"/>
        <strike val="0"/>
        <condense val="0"/>
        <extend val="0"/>
        <outline val="0"/>
        <shadow val="0"/>
        <u val="none"/>
        <vertAlign val="baseline"/>
        <sz val="12"/>
        <color auto="1"/>
        <name val="Calibri"/>
        <scheme val="minor"/>
      </font>
      <numFmt numFmtId="30" formatCode="@"/>
      <alignment horizontal="justify" vertical="top" textRotation="0" wrapText="1" indent="0" justifyLastLine="0" shrinkToFit="0" readingOrder="0"/>
    </dxf>
    <dxf>
      <font>
        <b/>
        <i val="0"/>
        <strike val="0"/>
        <condense val="0"/>
        <extend val="0"/>
        <outline val="0"/>
        <shadow val="0"/>
        <u val="none"/>
        <vertAlign val="baseline"/>
        <sz val="12"/>
        <color auto="1"/>
        <name val="Calibri"/>
        <scheme val="minor"/>
      </font>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2"/>
        <color auto="1"/>
        <name val="Calibri"/>
        <scheme val="minor"/>
      </font>
      <fill>
        <patternFill patternType="none">
          <fgColor indexed="64"/>
          <bgColor indexed="65"/>
        </patternFill>
      </fill>
      <alignment horizontal="center" vertical="top" textRotation="0" wrapText="1" indent="0" justifyLastLine="0" shrinkToFit="0" readingOrder="0"/>
      <protection locked="1" hidden="0"/>
    </dxf>
    <dxf>
      <font>
        <b/>
        <strike val="0"/>
        <outline val="0"/>
        <shadow val="0"/>
        <vertAlign val="baseline"/>
        <sz val="12"/>
        <name val="Calibri"/>
        <scheme val="minor"/>
      </font>
      <alignment horizontal="center" textRotation="0" indent="0" justifyLastLine="0" shrinkToFit="0"/>
    </dxf>
    <dxf>
      <font>
        <strike val="0"/>
        <outline val="0"/>
        <shadow val="0"/>
        <vertAlign val="baseline"/>
        <sz val="12"/>
        <name val="Calibri"/>
        <scheme val="minor"/>
      </font>
      <alignment vertical="top" textRotation="0" indent="0" justifyLastLine="0" shrinkToFit="0" readingOrder="0"/>
    </dxf>
    <dxf>
      <font>
        <b/>
        <i val="0"/>
        <strike val="0"/>
        <condense val="0"/>
        <extend val="0"/>
        <outline val="0"/>
        <shadow val="0"/>
        <u val="none"/>
        <vertAlign val="baseline"/>
        <sz val="12"/>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bottom/>
      </border>
      <protection locked="1" hidden="0"/>
    </dxf>
    <dxf>
      <font>
        <b/>
        <i val="0"/>
        <strike val="0"/>
      </font>
      <border>
        <left style="thin">
          <color auto="1"/>
        </left>
        <right style="thin">
          <color auto="1"/>
        </right>
        <top style="thin">
          <color auto="1"/>
        </top>
        <bottom style="thin">
          <color auto="1"/>
        </bottom>
        <vertical style="thin">
          <color auto="1"/>
        </vertical>
        <horizontal style="thin">
          <color auto="1"/>
        </horizontal>
      </border>
    </dxf>
    <dxf>
      <font>
        <b/>
        <i val="0"/>
        <strike val="0"/>
      </font>
      <border>
        <left style="thin">
          <color auto="1"/>
        </left>
        <right style="thin">
          <color auto="1"/>
        </right>
        <top style="thin">
          <color auto="1"/>
        </top>
        <bottom style="thin">
          <color auto="1"/>
        </bottom>
        <vertical style="thin">
          <color auto="1"/>
        </vertical>
        <horizontal style="thin">
          <color auto="1"/>
        </horizontal>
      </border>
    </dxf>
    <dxf>
      <border diagonalDown="1">
        <left style="thin">
          <color theme="1"/>
        </left>
        <right style="thin">
          <color theme="1"/>
        </right>
        <top style="thin">
          <color theme="1"/>
        </top>
        <bottom style="thin">
          <color theme="1"/>
        </bottom>
        <diagonal style="thin">
          <color theme="1"/>
        </diagonal>
        <vertical style="thin">
          <color theme="1"/>
        </vertical>
        <horizontal/>
      </border>
    </dxf>
  </dxfs>
  <tableStyles count="1" defaultTableStyle="TableStyleMedium2" defaultPivotStyle="PivotStyleLight16">
    <tableStyle name="PivotTable Style 1" table="0" count="3" xr9:uid="{00000000-0011-0000-FFFF-FFFF00000000}">
      <tableStyleElement type="wholeTable" dxfId="1114"/>
      <tableStyleElement type="headerRow" dxfId="1113"/>
      <tableStyleElement type="totalRow" dxfId="1112"/>
    </tableStyle>
  </tableStyles>
  <colors>
    <mruColors>
      <color rgb="FFFF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1.xml"/><Relationship Id="rId18" Type="http://schemas.microsoft.com/office/2007/relationships/slicerCache" Target="slicerCaches/slicerCache3.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6.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microsoft.com/office/2007/relationships/slicerCache" Target="slicerCaches/slicerCache10.xml"/><Relationship Id="rId33"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9.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8.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07/relationships/slicerCache" Target="slicerCaches/slicerCache7.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2581275</xdr:colOff>
      <xdr:row>27</xdr:row>
      <xdr:rowOff>57150</xdr:rowOff>
    </xdr:to>
    <xdr:pic>
      <xdr:nvPicPr>
        <xdr:cNvPr id="2" name="Picture 1">
          <a:extLst>
            <a:ext uri="{FF2B5EF4-FFF2-40B4-BE49-F238E27FC236}">
              <a16:creationId xmlns:a16="http://schemas.microsoft.com/office/drawing/2014/main" id="{BEFDA3DC-810E-4AA1-BEBB-A946FD596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502920"/>
          <a:ext cx="2581275" cy="40805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xdr:colOff>
      <xdr:row>29</xdr:row>
      <xdr:rowOff>0</xdr:rowOff>
    </xdr:from>
    <xdr:to>
      <xdr:col>1</xdr:col>
      <xdr:colOff>3132356</xdr:colOff>
      <xdr:row>56</xdr:row>
      <xdr:rowOff>128025</xdr:rowOff>
    </xdr:to>
    <xdr:pic>
      <xdr:nvPicPr>
        <xdr:cNvPr id="3" name="Picture 2">
          <a:extLst>
            <a:ext uri="{FF2B5EF4-FFF2-40B4-BE49-F238E27FC236}">
              <a16:creationId xmlns:a16="http://schemas.microsoft.com/office/drawing/2014/main" id="{BB0444EB-2921-4662-8A2C-774301B310F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5" y="4861560"/>
          <a:ext cx="3132351" cy="4654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xdr:colOff>
      <xdr:row>58</xdr:row>
      <xdr:rowOff>0</xdr:rowOff>
    </xdr:from>
    <xdr:to>
      <xdr:col>1</xdr:col>
      <xdr:colOff>3182473</xdr:colOff>
      <xdr:row>86</xdr:row>
      <xdr:rowOff>38100</xdr:rowOff>
    </xdr:to>
    <xdr:pic>
      <xdr:nvPicPr>
        <xdr:cNvPr id="4" name="Picture 3">
          <a:extLst>
            <a:ext uri="{FF2B5EF4-FFF2-40B4-BE49-F238E27FC236}">
              <a16:creationId xmlns:a16="http://schemas.microsoft.com/office/drawing/2014/main" id="{E3284C07-549C-471E-93E9-111BC7F2941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9104" y="9723120"/>
          <a:ext cx="3182469" cy="4732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xdr:colOff>
      <xdr:row>89</xdr:row>
      <xdr:rowOff>0</xdr:rowOff>
    </xdr:from>
    <xdr:to>
      <xdr:col>1</xdr:col>
      <xdr:colOff>3182473</xdr:colOff>
      <xdr:row>117</xdr:row>
      <xdr:rowOff>38100</xdr:rowOff>
    </xdr:to>
    <xdr:pic>
      <xdr:nvPicPr>
        <xdr:cNvPr id="5" name="Picture 4">
          <a:extLst>
            <a:ext uri="{FF2B5EF4-FFF2-40B4-BE49-F238E27FC236}">
              <a16:creationId xmlns:a16="http://schemas.microsoft.com/office/drawing/2014/main" id="{A708455D-A2F6-48EA-A8E4-E1E8EEA2597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19104" y="14919960"/>
          <a:ext cx="3182469" cy="4732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27213</xdr:colOff>
      <xdr:row>0</xdr:row>
      <xdr:rowOff>0</xdr:rowOff>
    </xdr:from>
    <xdr:to>
      <xdr:col>27</xdr:col>
      <xdr:colOff>9524</xdr:colOff>
      <xdr:row>110</xdr:row>
      <xdr:rowOff>0</xdr:rowOff>
    </xdr:to>
    <xdr:sp macro="" textlink="">
      <xdr:nvSpPr>
        <xdr:cNvPr id="2" name="TextBox 1">
          <a:extLst>
            <a:ext uri="{FF2B5EF4-FFF2-40B4-BE49-F238E27FC236}">
              <a16:creationId xmlns:a16="http://schemas.microsoft.com/office/drawing/2014/main" id="{01670603-65F8-46EC-B69B-34C2CAA09BB3}"/>
            </a:ext>
          </a:extLst>
        </xdr:cNvPr>
        <xdr:cNvSpPr txBox="1"/>
      </xdr:nvSpPr>
      <xdr:spPr>
        <a:xfrm>
          <a:off x="9847488" y="9525"/>
          <a:ext cx="6897461" cy="45223747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200" b="1">
              <a:solidFill>
                <a:schemeClr val="dk1"/>
              </a:solidFill>
              <a:effectLst/>
              <a:latin typeface="+mn-lt"/>
              <a:ea typeface="+mn-ea"/>
              <a:cs typeface="+mn-cs"/>
            </a:rPr>
            <a:t>INSTRUCTION TO TENDERER.</a:t>
          </a:r>
          <a:endParaRPr lang="en-MY" sz="1200">
            <a:effectLst/>
          </a:endParaRPr>
        </a:p>
        <a:p>
          <a:r>
            <a:rPr lang="en-MY" sz="1200">
              <a:solidFill>
                <a:schemeClr val="dk1"/>
              </a:solidFill>
              <a:effectLst/>
              <a:latin typeface="+mn-lt"/>
              <a:ea typeface="+mn-ea"/>
              <a:cs typeface="+mn-cs"/>
            </a:rPr>
            <a:t>- When opening this workbook, </a:t>
          </a:r>
          <a:r>
            <a:rPr lang="en-MY" sz="1200" b="1">
              <a:solidFill>
                <a:srgbClr val="0070C0"/>
              </a:solidFill>
              <a:effectLst/>
              <a:latin typeface="+mn-lt"/>
              <a:ea typeface="+mn-ea"/>
              <a:cs typeface="+mn-cs"/>
            </a:rPr>
            <a:t>enable</a:t>
          </a:r>
          <a:r>
            <a:rPr lang="en-MY" sz="1200" b="1" baseline="0">
              <a:solidFill>
                <a:srgbClr val="0070C0"/>
              </a:solidFill>
              <a:effectLst/>
              <a:latin typeface="+mn-lt"/>
              <a:ea typeface="+mn-ea"/>
              <a:cs typeface="+mn-cs"/>
            </a:rPr>
            <a:t> editing </a:t>
          </a:r>
          <a:r>
            <a:rPr lang="en-MY" sz="1200" baseline="0">
              <a:solidFill>
                <a:schemeClr val="dk1"/>
              </a:solidFill>
              <a:effectLst/>
              <a:latin typeface="+mn-lt"/>
              <a:ea typeface="+mn-ea"/>
              <a:cs typeface="+mn-cs"/>
            </a:rPr>
            <a:t>and </a:t>
          </a:r>
          <a:r>
            <a:rPr lang="en-MY" sz="1200" b="1" baseline="0">
              <a:solidFill>
                <a:srgbClr val="0070C0"/>
              </a:solidFill>
              <a:effectLst/>
              <a:latin typeface="+mn-lt"/>
              <a:ea typeface="+mn-ea"/>
              <a:cs typeface="+mn-cs"/>
            </a:rPr>
            <a:t>enable content</a:t>
          </a:r>
          <a:r>
            <a:rPr lang="en-MY" sz="1200" baseline="0">
              <a:solidFill>
                <a:schemeClr val="dk1"/>
              </a:solidFill>
              <a:effectLst/>
              <a:latin typeface="+mn-lt"/>
              <a:ea typeface="+mn-ea"/>
              <a:cs typeface="+mn-cs"/>
            </a:rPr>
            <a:t>.</a:t>
          </a:r>
          <a:endParaRPr lang="en-MY" sz="1200">
            <a:solidFill>
              <a:schemeClr val="dk1"/>
            </a:solidFill>
            <a:effectLst/>
            <a:latin typeface="+mn-lt"/>
            <a:ea typeface="+mn-ea"/>
            <a:cs typeface="+mn-cs"/>
          </a:endParaRPr>
        </a:p>
        <a:p>
          <a:r>
            <a:rPr lang="en-MY" sz="1200">
              <a:solidFill>
                <a:schemeClr val="dk1"/>
              </a:solidFill>
              <a:effectLst/>
              <a:latin typeface="+mn-lt"/>
              <a:ea typeface="+mn-ea"/>
              <a:cs typeface="+mn-cs"/>
            </a:rPr>
            <a:t>- This page is the</a:t>
          </a:r>
          <a:r>
            <a:rPr lang="en-MY" sz="1200" baseline="0">
              <a:solidFill>
                <a:schemeClr val="dk1"/>
              </a:solidFill>
              <a:effectLst/>
              <a:latin typeface="+mn-lt"/>
              <a:ea typeface="+mn-ea"/>
              <a:cs typeface="+mn-cs"/>
            </a:rPr>
            <a:t> tenderer response page. Tenderer shall fill in the Column </a:t>
          </a:r>
          <a:r>
            <a:rPr lang="en-MY" sz="1200" b="1" baseline="0">
              <a:solidFill>
                <a:srgbClr val="0070C0"/>
              </a:solidFill>
              <a:effectLst/>
              <a:latin typeface="+mn-lt"/>
              <a:ea typeface="+mn-ea"/>
              <a:cs typeface="+mn-cs"/>
            </a:rPr>
            <a:t>J "Tenderer's Response".</a:t>
          </a:r>
        </a:p>
        <a:p>
          <a:r>
            <a:rPr lang="en-MY" sz="1200" baseline="0">
              <a:solidFill>
                <a:schemeClr val="dk1"/>
              </a:solidFill>
              <a:effectLst/>
              <a:latin typeface="+mn-lt"/>
              <a:ea typeface="+mn-ea"/>
              <a:cs typeface="+mn-cs"/>
            </a:rPr>
            <a:t>The response shall be the rate for item with quantity and sum amount for item without quantity.</a:t>
          </a:r>
        </a:p>
        <a:p>
          <a:r>
            <a:rPr lang="en-MY" sz="1200" baseline="0">
              <a:solidFill>
                <a:schemeClr val="dk1"/>
              </a:solidFill>
              <a:effectLst/>
              <a:latin typeface="+mn-lt"/>
              <a:ea typeface="+mn-ea"/>
              <a:cs typeface="+mn-cs"/>
            </a:rPr>
            <a:t>Tenderer may use the "Filter" function to filter, sort and navigate through the BQ for ease of working.</a:t>
          </a:r>
        </a:p>
        <a:p>
          <a:r>
            <a:rPr lang="en-MY" sz="1200" b="1" baseline="0">
              <a:solidFill>
                <a:srgbClr val="0070C0"/>
              </a:solidFill>
              <a:effectLst/>
              <a:latin typeface="+mn-lt"/>
              <a:ea typeface="+mn-ea"/>
              <a:cs typeface="+mn-cs"/>
            </a:rPr>
            <a:t>Any response entered in this sheet will automatically update in the other sheets. </a:t>
          </a:r>
        </a:p>
        <a:p>
          <a:r>
            <a:rPr lang="en-MY" sz="1200" baseline="0">
              <a:solidFill>
                <a:schemeClr val="dk1"/>
              </a:solidFill>
              <a:effectLst/>
              <a:latin typeface="+mn-lt"/>
              <a:ea typeface="+mn-ea"/>
              <a:cs typeface="+mn-cs"/>
            </a:rPr>
            <a:t>Tenderer shall take note that only the response shell is allowed for editing. The other cells are locked.</a:t>
          </a:r>
        </a:p>
        <a:p>
          <a:endParaRPr lang="en-MY" sz="1200">
            <a:effectLst/>
          </a:endParaRPr>
        </a:p>
        <a:p>
          <a:endParaRPr lang="en-MY" sz="1200"/>
        </a:p>
        <a:p>
          <a:endParaRPr lang="en-MY" sz="1200"/>
        </a:p>
        <a:p>
          <a:endParaRPr lang="en-MY" sz="1200"/>
        </a:p>
      </xdr:txBody>
    </xdr:sp>
    <xdr:clientData/>
  </xdr:twoCellAnchor>
  <xdr:twoCellAnchor>
    <xdr:from>
      <xdr:col>16</xdr:col>
      <xdr:colOff>47624</xdr:colOff>
      <xdr:row>0</xdr:row>
      <xdr:rowOff>0</xdr:rowOff>
    </xdr:from>
    <xdr:to>
      <xdr:col>27</xdr:col>
      <xdr:colOff>19049</xdr:colOff>
      <xdr:row>110</xdr:row>
      <xdr:rowOff>9525</xdr:rowOff>
    </xdr:to>
    <xdr:sp macro="" textlink="">
      <xdr:nvSpPr>
        <xdr:cNvPr id="3" name="Rectangle 2">
          <a:extLst>
            <a:ext uri="{FF2B5EF4-FFF2-40B4-BE49-F238E27FC236}">
              <a16:creationId xmlns:a16="http://schemas.microsoft.com/office/drawing/2014/main" id="{922FDDFF-229F-419D-8904-FBC713982922}"/>
            </a:ext>
          </a:extLst>
        </xdr:cNvPr>
        <xdr:cNvSpPr/>
      </xdr:nvSpPr>
      <xdr:spPr>
        <a:xfrm>
          <a:off x="9848849" y="0"/>
          <a:ext cx="6886575" cy="104765475"/>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1245659</xdr:colOff>
      <xdr:row>0</xdr:row>
      <xdr:rowOff>160866</xdr:rowOff>
    </xdr:from>
    <xdr:to>
      <xdr:col>2</xdr:col>
      <xdr:colOff>177801</xdr:colOff>
      <xdr:row>4</xdr:row>
      <xdr:rowOff>217640</xdr:rowOff>
    </xdr:to>
    <xdr:pic>
      <xdr:nvPicPr>
        <xdr:cNvPr id="2" name="Picture 1">
          <a:extLst>
            <a:ext uri="{FF2B5EF4-FFF2-40B4-BE49-F238E27FC236}">
              <a16:creationId xmlns:a16="http://schemas.microsoft.com/office/drawing/2014/main" id="{2B5DEA79-9449-45EC-A672-60236F4657DF}"/>
            </a:ext>
          </a:extLst>
        </xdr:cNvPr>
        <xdr:cNvPicPr>
          <a:picLocks noChangeAspect="1"/>
        </xdr:cNvPicPr>
      </xdr:nvPicPr>
      <xdr:blipFill>
        <a:blip xmlns:r="http://schemas.openxmlformats.org/officeDocument/2006/relationships" r:embed="rId1"/>
        <a:stretch>
          <a:fillRect/>
        </a:stretch>
      </xdr:blipFill>
      <xdr:spPr>
        <a:xfrm>
          <a:off x="1304926" y="160866"/>
          <a:ext cx="3622675" cy="971174"/>
        </a:xfrm>
        <a:prstGeom prst="rect">
          <a:avLst/>
        </a:prstGeom>
      </xdr:spPr>
    </xdr:pic>
    <xdr:clientData/>
  </xdr:twoCellAnchor>
  <xdr:twoCellAnchor editAs="oneCell">
    <xdr:from>
      <xdr:col>1</xdr:col>
      <xdr:colOff>19050</xdr:colOff>
      <xdr:row>29</xdr:row>
      <xdr:rowOff>142875</xdr:rowOff>
    </xdr:from>
    <xdr:to>
      <xdr:col>2</xdr:col>
      <xdr:colOff>1066818</xdr:colOff>
      <xdr:row>38</xdr:row>
      <xdr:rowOff>180975</xdr:rowOff>
    </xdr:to>
    <xdr:pic>
      <xdr:nvPicPr>
        <xdr:cNvPr id="5" name="Picture 4">
          <a:extLst>
            <a:ext uri="{FF2B5EF4-FFF2-40B4-BE49-F238E27FC236}">
              <a16:creationId xmlns:a16="http://schemas.microsoft.com/office/drawing/2014/main" id="{54828DED-4920-4F8C-ACA4-6E2A8232B10F}"/>
            </a:ext>
          </a:extLst>
        </xdr:cNvPr>
        <xdr:cNvPicPr>
          <a:picLocks noChangeAspect="1"/>
        </xdr:cNvPicPr>
      </xdr:nvPicPr>
      <xdr:blipFill rotWithShape="1">
        <a:blip xmlns:r="http://schemas.openxmlformats.org/officeDocument/2006/relationships" r:embed="rId2"/>
        <a:srcRect t="44058"/>
        <a:stretch/>
      </xdr:blipFill>
      <xdr:spPr>
        <a:xfrm>
          <a:off x="76200" y="6810375"/>
          <a:ext cx="5600506" cy="1838325"/>
        </a:xfrm>
        <a:prstGeom prst="rect">
          <a:avLst/>
        </a:prstGeom>
      </xdr:spPr>
    </xdr:pic>
    <xdr:clientData/>
  </xdr:twoCellAnchor>
  <xdr:twoCellAnchor>
    <xdr:from>
      <xdr:col>5</xdr:col>
      <xdr:colOff>0</xdr:colOff>
      <xdr:row>0</xdr:row>
      <xdr:rowOff>0</xdr:rowOff>
    </xdr:from>
    <xdr:to>
      <xdr:col>12</xdr:col>
      <xdr:colOff>277500</xdr:colOff>
      <xdr:row>40</xdr:row>
      <xdr:rowOff>0</xdr:rowOff>
    </xdr:to>
    <xdr:sp macro="" textlink="">
      <xdr:nvSpPr>
        <xdr:cNvPr id="6" name="TextBox 5">
          <a:extLst>
            <a:ext uri="{FF2B5EF4-FFF2-40B4-BE49-F238E27FC236}">
              <a16:creationId xmlns:a16="http://schemas.microsoft.com/office/drawing/2014/main" id="{D01E469C-DD14-4E60-AF94-55F90140ED66}"/>
            </a:ext>
          </a:extLst>
        </xdr:cNvPr>
        <xdr:cNvSpPr txBox="1"/>
      </xdr:nvSpPr>
      <xdr:spPr>
        <a:xfrm>
          <a:off x="6265333" y="0"/>
          <a:ext cx="5188167" cy="89408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MY" sz="1100" b="1">
              <a:solidFill>
                <a:schemeClr val="dk1"/>
              </a:solidFill>
              <a:effectLst/>
              <a:latin typeface="+mn-lt"/>
              <a:ea typeface="+mn-ea"/>
              <a:cs typeface="+mn-cs"/>
            </a:rPr>
            <a:t>INSTRUCTION TO TENDERER.</a:t>
          </a:r>
          <a:endParaRPr lang="en-MY">
            <a:effectLst/>
          </a:endParaRPr>
        </a:p>
        <a:p>
          <a:r>
            <a:rPr lang="en-MY" sz="1100"/>
            <a:t>.From</a:t>
          </a:r>
          <a:r>
            <a:rPr lang="en-MY" sz="1100" baseline="0"/>
            <a:t> Row 1</a:t>
          </a:r>
          <a:endParaRPr lang="en-MY" sz="1100"/>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a:t>
          </a:r>
        </a:p>
        <a:p>
          <a:r>
            <a:rPr lang="en-MY" sz="1100"/>
            <a:t>This</a:t>
          </a:r>
          <a:r>
            <a:rPr lang="en-MY" sz="1100" baseline="0"/>
            <a:t> part does not require any editing by the tenderer.</a:t>
          </a:r>
        </a:p>
        <a:p>
          <a:r>
            <a:rPr lang="en-MY" sz="1100" baseline="0"/>
            <a:t>Price update in the "Tenderer's Response" column of sheet "2. BQ Normal" shall be</a:t>
          </a:r>
        </a:p>
        <a:p>
          <a:r>
            <a:rPr lang="en-MY" sz="1100" baseline="0"/>
            <a:t>automatically update to this page and all other pages. </a:t>
          </a:r>
        </a:p>
        <a:p>
          <a:r>
            <a:rPr lang="en-MY" sz="1100" baseline="0"/>
            <a:t>.</a:t>
          </a:r>
        </a:p>
        <a:p>
          <a:r>
            <a:rPr lang="en-MY" sz="1100" baseline="0"/>
            <a:t>.</a:t>
          </a:r>
        </a:p>
        <a:p>
          <a:r>
            <a:rPr lang="en-MY" sz="1100" baseline="0"/>
            <a:t>.</a:t>
          </a:r>
        </a:p>
        <a:p>
          <a:r>
            <a:rPr lang="en-MY" sz="1100" baseline="0"/>
            <a:t>.</a:t>
          </a:r>
        </a:p>
        <a:p>
          <a:r>
            <a:rPr lang="en-MY" sz="1100" baseline="0"/>
            <a:t>.Until Row 19.</a:t>
          </a:r>
        </a:p>
        <a:p>
          <a:r>
            <a:rPr lang="en-MY" sz="1100" baseline="0"/>
            <a:t>Row 20. The Grand Total is automatically updated.</a:t>
          </a:r>
        </a:p>
        <a:p>
          <a:r>
            <a:rPr lang="en-MY" sz="1100" baseline="0"/>
            <a:t>Row 21. The Contract Period shall not be changed.</a:t>
          </a:r>
        </a:p>
        <a:p>
          <a:r>
            <a:rPr lang="en-MY" sz="1100" baseline="0"/>
            <a:t>.</a:t>
          </a:r>
        </a:p>
        <a:p>
          <a:r>
            <a:rPr lang="en-MY" sz="1100" baseline="0"/>
            <a:t>.</a:t>
          </a:r>
        </a:p>
        <a:p>
          <a:r>
            <a:rPr lang="en-MY" sz="1100" baseline="0"/>
            <a:t>Row 24 - 28.</a:t>
          </a:r>
        </a:p>
        <a:p>
          <a:r>
            <a:rPr lang="en-MY" sz="1100" baseline="0"/>
            <a:t>Tenderer shall type the grand total value in text. </a:t>
          </a:r>
        </a:p>
        <a:p>
          <a:r>
            <a:rPr lang="en-MY" sz="1100" baseline="0"/>
            <a:t>.</a:t>
          </a:r>
        </a:p>
        <a:p>
          <a:r>
            <a:rPr lang="en-MY" sz="1100" baseline="0"/>
            <a:t>.</a:t>
          </a:r>
        </a:p>
        <a:p>
          <a:r>
            <a:rPr lang="en-MY" sz="1100" baseline="0"/>
            <a:t>.</a:t>
          </a:r>
        </a:p>
        <a:p>
          <a:r>
            <a:rPr lang="en-MY" sz="1100" baseline="0"/>
            <a:t>.</a:t>
          </a:r>
        </a:p>
        <a:p>
          <a:r>
            <a:rPr lang="en-MY" sz="1100" baseline="0"/>
            <a:t>.</a:t>
          </a:r>
        </a:p>
        <a:p>
          <a:r>
            <a:rPr lang="en-MY" sz="1100"/>
            <a:t>Row 30 - 40.</a:t>
          </a:r>
        </a:p>
        <a:p>
          <a:r>
            <a:rPr lang="en-MY" sz="1100"/>
            <a:t>This</a:t>
          </a:r>
          <a:r>
            <a:rPr lang="en-MY" sz="1100" baseline="0"/>
            <a:t> sheet shall be printed and the signature of Tenderer and Witness shall be on the printed copy of the sheet.</a:t>
          </a:r>
        </a:p>
        <a:p>
          <a:r>
            <a:rPr lang="en-MY" sz="1100" baseline="0"/>
            <a:t>.</a:t>
          </a:r>
        </a:p>
        <a:p>
          <a:r>
            <a:rPr lang="en-MY" sz="1100" baseline="0"/>
            <a:t>.</a:t>
          </a:r>
        </a:p>
        <a:p>
          <a:r>
            <a:rPr lang="en-MY" sz="1100" baseline="0"/>
            <a:t>.</a:t>
          </a:r>
        </a:p>
        <a:p>
          <a:r>
            <a:rPr lang="en-MY" sz="1100" baseline="0"/>
            <a:t>.</a:t>
          </a:r>
        </a:p>
        <a:p>
          <a:r>
            <a:rPr lang="en-MY" sz="1100" baseline="0"/>
            <a:t>.</a:t>
          </a:r>
        </a:p>
        <a:p>
          <a:r>
            <a:rPr lang="en-MY" sz="1100" baseline="0"/>
            <a:t>.</a:t>
          </a:r>
        </a:p>
        <a:p>
          <a:r>
            <a:rPr lang="en-MY" sz="1100" baseline="0"/>
            <a:t>.</a:t>
          </a:r>
        </a:p>
        <a:p>
          <a:r>
            <a:rPr lang="en-MY" sz="1100" baseline="0"/>
            <a:t>.</a:t>
          </a:r>
        </a:p>
        <a:p>
          <a:r>
            <a:rPr lang="en-MY" sz="1100" baseline="0"/>
            <a:t>End of Instruction.</a:t>
          </a:r>
          <a:endParaRPr lang="en-MY" sz="1100"/>
        </a:p>
      </xdr:txBody>
    </xdr:sp>
    <xdr:clientData/>
  </xdr:twoCellAnchor>
  <xdr:twoCellAnchor>
    <xdr:from>
      <xdr:col>13</xdr:col>
      <xdr:colOff>0</xdr:colOff>
      <xdr:row>0</xdr:row>
      <xdr:rowOff>0</xdr:rowOff>
    </xdr:from>
    <xdr:to>
      <xdr:col>31</xdr:col>
      <xdr:colOff>482600</xdr:colOff>
      <xdr:row>39</xdr:row>
      <xdr:rowOff>194732</xdr:rowOff>
    </xdr:to>
    <xdr:sp macro="" textlink="">
      <xdr:nvSpPr>
        <xdr:cNvPr id="3" name="Rectangle 2">
          <a:extLst>
            <a:ext uri="{FF2B5EF4-FFF2-40B4-BE49-F238E27FC236}">
              <a16:creationId xmlns:a16="http://schemas.microsoft.com/office/drawing/2014/main" id="{F612D1C8-84D8-4F3E-8FAC-8C555215B1D4}"/>
            </a:ext>
          </a:extLst>
        </xdr:cNvPr>
        <xdr:cNvSpPr/>
      </xdr:nvSpPr>
      <xdr:spPr>
        <a:xfrm>
          <a:off x="11777133" y="0"/>
          <a:ext cx="11455400" cy="7992532"/>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171449</xdr:colOff>
      <xdr:row>6</xdr:row>
      <xdr:rowOff>123825</xdr:rowOff>
    </xdr:from>
    <xdr:to>
      <xdr:col>10</xdr:col>
      <xdr:colOff>76200</xdr:colOff>
      <xdr:row>15</xdr:row>
      <xdr:rowOff>59267</xdr:rowOff>
    </xdr:to>
    <mc:AlternateContent xmlns:mc="http://schemas.openxmlformats.org/markup-compatibility/2006" xmlns:a14="http://schemas.microsoft.com/office/drawing/2010/main">
      <mc:Choice Requires="a14">
        <xdr:graphicFrame macro="">
          <xdr:nvGraphicFramePr>
            <xdr:cNvPr id="2" name="SECTION 20">
              <a:extLst>
                <a:ext uri="{FF2B5EF4-FFF2-40B4-BE49-F238E27FC236}">
                  <a16:creationId xmlns:a16="http://schemas.microsoft.com/office/drawing/2014/main" id="{430356B4-C2CA-4CFE-973F-C0DABF2AED17}"/>
                </a:ext>
              </a:extLst>
            </xdr:cNvPr>
            <xdr:cNvGraphicFramePr/>
          </xdr:nvGraphicFramePr>
          <xdr:xfrm>
            <a:off x="0" y="0"/>
            <a:ext cx="0" cy="0"/>
          </xdr:xfrm>
          <a:graphic>
            <a:graphicData uri="http://schemas.microsoft.com/office/drawing/2010/slicer">
              <sle:slicer xmlns:sle="http://schemas.microsoft.com/office/drawing/2010/slicer" name="SECTION 20"/>
            </a:graphicData>
          </a:graphic>
        </xdr:graphicFrame>
      </mc:Choice>
      <mc:Fallback xmlns="">
        <xdr:sp macro="" textlink="">
          <xdr:nvSpPr>
            <xdr:cNvPr id="0" name=""/>
            <xdr:cNvSpPr>
              <a:spLocks noTextEdit="1"/>
            </xdr:cNvSpPr>
          </xdr:nvSpPr>
          <xdr:spPr>
            <a:xfrm>
              <a:off x="6448424" y="1095374"/>
              <a:ext cx="2343151" cy="22479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0</xdr:row>
      <xdr:rowOff>2</xdr:rowOff>
    </xdr:from>
    <xdr:to>
      <xdr:col>19</xdr:col>
      <xdr:colOff>330609</xdr:colOff>
      <xdr:row>17</xdr:row>
      <xdr:rowOff>16934</xdr:rowOff>
    </xdr:to>
    <xdr:sp macro="" textlink="">
      <xdr:nvSpPr>
        <xdr:cNvPr id="3" name="TextBox 2">
          <a:extLst>
            <a:ext uri="{FF2B5EF4-FFF2-40B4-BE49-F238E27FC236}">
              <a16:creationId xmlns:a16="http://schemas.microsoft.com/office/drawing/2014/main" id="{683F7D93-7C27-4D08-8413-E7A9300D39AB}"/>
            </a:ext>
          </a:extLst>
        </xdr:cNvPr>
        <xdr:cNvSpPr txBox="1"/>
      </xdr:nvSpPr>
      <xdr:spPr>
        <a:xfrm>
          <a:off x="6443133" y="2"/>
          <a:ext cx="8475543" cy="310726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355599</xdr:colOff>
      <xdr:row>17</xdr:row>
      <xdr:rowOff>8467</xdr:rowOff>
    </xdr:to>
    <xdr:sp macro="" textlink="">
      <xdr:nvSpPr>
        <xdr:cNvPr id="4" name="Rectangle 3">
          <a:extLst>
            <a:ext uri="{FF2B5EF4-FFF2-40B4-BE49-F238E27FC236}">
              <a16:creationId xmlns:a16="http://schemas.microsoft.com/office/drawing/2014/main" id="{E4664731-AC89-47AC-8250-FE1BB49C1E53}"/>
            </a:ext>
          </a:extLst>
        </xdr:cNvPr>
        <xdr:cNvSpPr/>
      </xdr:nvSpPr>
      <xdr:spPr>
        <a:xfrm>
          <a:off x="0" y="0"/>
          <a:ext cx="14943666" cy="3098800"/>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171449</xdr:colOff>
      <xdr:row>6</xdr:row>
      <xdr:rowOff>123825</xdr:rowOff>
    </xdr:from>
    <xdr:to>
      <xdr:col>10</xdr:col>
      <xdr:colOff>76200</xdr:colOff>
      <xdr:row>13</xdr:row>
      <xdr:rowOff>59268</xdr:rowOff>
    </xdr:to>
    <mc:AlternateContent xmlns:mc="http://schemas.openxmlformats.org/markup-compatibility/2006" xmlns:a14="http://schemas.microsoft.com/office/drawing/2010/main">
      <mc:Choice Requires="a14">
        <xdr:graphicFrame macro="">
          <xdr:nvGraphicFramePr>
            <xdr:cNvPr id="2" name="SECTION 21">
              <a:extLst>
                <a:ext uri="{FF2B5EF4-FFF2-40B4-BE49-F238E27FC236}">
                  <a16:creationId xmlns:a16="http://schemas.microsoft.com/office/drawing/2014/main" id="{E237203A-6585-490D-B357-7F78728BA7A5}"/>
                </a:ext>
              </a:extLst>
            </xdr:cNvPr>
            <xdr:cNvGraphicFramePr/>
          </xdr:nvGraphicFramePr>
          <xdr:xfrm>
            <a:off x="0" y="0"/>
            <a:ext cx="0" cy="0"/>
          </xdr:xfrm>
          <a:graphic>
            <a:graphicData uri="http://schemas.microsoft.com/office/drawing/2010/slicer">
              <sle:slicer xmlns:sle="http://schemas.microsoft.com/office/drawing/2010/slicer" name="SECTION 21"/>
            </a:graphicData>
          </a:graphic>
        </xdr:graphicFrame>
      </mc:Choice>
      <mc:Fallback xmlns="">
        <xdr:sp macro="" textlink="">
          <xdr:nvSpPr>
            <xdr:cNvPr id="0" name=""/>
            <xdr:cNvSpPr>
              <a:spLocks noTextEdit="1"/>
            </xdr:cNvSpPr>
          </xdr:nvSpPr>
          <xdr:spPr>
            <a:xfrm>
              <a:off x="6614582" y="1351492"/>
              <a:ext cx="2410885" cy="1120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0</xdr:row>
      <xdr:rowOff>2</xdr:rowOff>
    </xdr:from>
    <xdr:to>
      <xdr:col>19</xdr:col>
      <xdr:colOff>330609</xdr:colOff>
      <xdr:row>14</xdr:row>
      <xdr:rowOff>8467</xdr:rowOff>
    </xdr:to>
    <xdr:sp macro="" textlink="">
      <xdr:nvSpPr>
        <xdr:cNvPr id="3" name="TextBox 2">
          <a:extLst>
            <a:ext uri="{FF2B5EF4-FFF2-40B4-BE49-F238E27FC236}">
              <a16:creationId xmlns:a16="http://schemas.microsoft.com/office/drawing/2014/main" id="{BB027114-C0E0-449A-AD7A-8EFD3BBC435C}"/>
            </a:ext>
          </a:extLst>
        </xdr:cNvPr>
        <xdr:cNvSpPr txBox="1"/>
      </xdr:nvSpPr>
      <xdr:spPr>
        <a:xfrm>
          <a:off x="6443133" y="2"/>
          <a:ext cx="8475543" cy="2590798"/>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304799</xdr:colOff>
      <xdr:row>14</xdr:row>
      <xdr:rowOff>16933</xdr:rowOff>
    </xdr:to>
    <xdr:sp macro="" textlink="">
      <xdr:nvSpPr>
        <xdr:cNvPr id="5" name="Rectangle 4">
          <a:extLst>
            <a:ext uri="{FF2B5EF4-FFF2-40B4-BE49-F238E27FC236}">
              <a16:creationId xmlns:a16="http://schemas.microsoft.com/office/drawing/2014/main" id="{085532C3-BDC1-4E8D-B9D4-360C86A63BF5}"/>
            </a:ext>
          </a:extLst>
        </xdr:cNvPr>
        <xdr:cNvSpPr/>
      </xdr:nvSpPr>
      <xdr:spPr>
        <a:xfrm>
          <a:off x="0" y="0"/>
          <a:ext cx="14892866" cy="2599266"/>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160018</xdr:colOff>
      <xdr:row>8</xdr:row>
      <xdr:rowOff>133348</xdr:rowOff>
    </xdr:from>
    <xdr:to>
      <xdr:col>14</xdr:col>
      <xdr:colOff>64769</xdr:colOff>
      <xdr:row>15</xdr:row>
      <xdr:rowOff>108584</xdr:rowOff>
    </xdr:to>
    <mc:AlternateContent xmlns:mc="http://schemas.openxmlformats.org/markup-compatibility/2006" xmlns:a14="http://schemas.microsoft.com/office/drawing/2010/main">
      <mc:Choice Requires="a14">
        <xdr:graphicFrame macro="">
          <xdr:nvGraphicFramePr>
            <xdr:cNvPr id="6" name="SECTION">
              <a:extLst>
                <a:ext uri="{FF2B5EF4-FFF2-40B4-BE49-F238E27FC236}">
                  <a16:creationId xmlns:a16="http://schemas.microsoft.com/office/drawing/2014/main" id="{65C30AA7-F961-2A8A-A2D1-C0E648C4F951}"/>
                </a:ext>
              </a:extLst>
            </xdr:cNvPr>
            <xdr:cNvGraphicFramePr/>
          </xdr:nvGraphicFramePr>
          <xdr:xfrm>
            <a:off x="0" y="0"/>
            <a:ext cx="0" cy="0"/>
          </xdr:xfrm>
          <a:graphic>
            <a:graphicData uri="http://schemas.microsoft.com/office/drawing/2010/slicer">
              <sle:slicer xmlns:sle="http://schemas.microsoft.com/office/drawing/2010/slicer" name="SECTION"/>
            </a:graphicData>
          </a:graphic>
        </xdr:graphicFrame>
      </mc:Choice>
      <mc:Fallback xmlns="">
        <xdr:sp macro="" textlink="">
          <xdr:nvSpPr>
            <xdr:cNvPr id="0" name=""/>
            <xdr:cNvSpPr>
              <a:spLocks noTextEdit="1"/>
            </xdr:cNvSpPr>
          </xdr:nvSpPr>
          <xdr:spPr>
            <a:xfrm>
              <a:off x="7170418" y="1459228"/>
              <a:ext cx="2404111" cy="1552576"/>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95249</xdr:colOff>
      <xdr:row>8</xdr:row>
      <xdr:rowOff>133348</xdr:rowOff>
    </xdr:from>
    <xdr:to>
      <xdr:col>22</xdr:col>
      <xdr:colOff>238125</xdr:colOff>
      <xdr:row>18</xdr:row>
      <xdr:rowOff>699345</xdr:rowOff>
    </xdr:to>
    <mc:AlternateContent xmlns:mc="http://schemas.openxmlformats.org/markup-compatibility/2006" xmlns:a14="http://schemas.microsoft.com/office/drawing/2010/main">
      <mc:Choice Requires="a14">
        <xdr:graphicFrame macro="">
          <xdr:nvGraphicFramePr>
            <xdr:cNvPr id="2" name="SUB-SECTION">
              <a:extLst>
                <a:ext uri="{FF2B5EF4-FFF2-40B4-BE49-F238E27FC236}">
                  <a16:creationId xmlns:a16="http://schemas.microsoft.com/office/drawing/2014/main" id="{9B9F4839-4542-C7D1-8DD1-AF5353EFF661}"/>
                </a:ext>
              </a:extLst>
            </xdr:cNvPr>
            <xdr:cNvGraphicFramePr/>
          </xdr:nvGraphicFramePr>
          <xdr:xfrm>
            <a:off x="0" y="0"/>
            <a:ext cx="0" cy="0"/>
          </xdr:xfrm>
          <a:graphic>
            <a:graphicData uri="http://schemas.microsoft.com/office/drawing/2010/slicer">
              <sle:slicer xmlns:sle="http://schemas.microsoft.com/office/drawing/2010/slicer" name="SUB-SECTION"/>
            </a:graphicData>
          </a:graphic>
        </xdr:graphicFrame>
      </mc:Choice>
      <mc:Fallback xmlns="">
        <xdr:sp macro="" textlink="">
          <xdr:nvSpPr>
            <xdr:cNvPr id="0" name=""/>
            <xdr:cNvSpPr>
              <a:spLocks noTextEdit="1"/>
            </xdr:cNvSpPr>
          </xdr:nvSpPr>
          <xdr:spPr>
            <a:xfrm>
              <a:off x="9143999" y="781048"/>
              <a:ext cx="5019676" cy="457200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7620</xdr:colOff>
      <xdr:row>0</xdr:row>
      <xdr:rowOff>1</xdr:rowOff>
    </xdr:from>
    <xdr:to>
      <xdr:col>22</xdr:col>
      <xdr:colOff>361315</xdr:colOff>
      <xdr:row>115</xdr:row>
      <xdr:rowOff>16934</xdr:rowOff>
    </xdr:to>
    <xdr:sp macro="" textlink="">
      <xdr:nvSpPr>
        <xdr:cNvPr id="4" name="TextBox 3">
          <a:extLst>
            <a:ext uri="{FF2B5EF4-FFF2-40B4-BE49-F238E27FC236}">
              <a16:creationId xmlns:a16="http://schemas.microsoft.com/office/drawing/2014/main" id="{3D9AFE10-B7A6-4652-9BEF-587994ED06D9}"/>
            </a:ext>
          </a:extLst>
        </xdr:cNvPr>
        <xdr:cNvSpPr txBox="1"/>
      </xdr:nvSpPr>
      <xdr:spPr>
        <a:xfrm>
          <a:off x="7458287" y="1"/>
          <a:ext cx="7872095" cy="46465066"/>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22</xdr:col>
      <xdr:colOff>372533</xdr:colOff>
      <xdr:row>115</xdr:row>
      <xdr:rowOff>16934</xdr:rowOff>
    </xdr:to>
    <xdr:sp macro="" textlink="">
      <xdr:nvSpPr>
        <xdr:cNvPr id="3" name="Rectangle 2">
          <a:extLst>
            <a:ext uri="{FF2B5EF4-FFF2-40B4-BE49-F238E27FC236}">
              <a16:creationId xmlns:a16="http://schemas.microsoft.com/office/drawing/2014/main" id="{B688FEE0-654A-492E-843A-02952FB02599}"/>
            </a:ext>
          </a:extLst>
        </xdr:cNvPr>
        <xdr:cNvSpPr/>
      </xdr:nvSpPr>
      <xdr:spPr>
        <a:xfrm>
          <a:off x="0" y="0"/>
          <a:ext cx="15341600" cy="46465067"/>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45720</xdr:colOff>
      <xdr:row>0</xdr:row>
      <xdr:rowOff>0</xdr:rowOff>
    </xdr:from>
    <xdr:to>
      <xdr:col>16</xdr:col>
      <xdr:colOff>602615</xdr:colOff>
      <xdr:row>48</xdr:row>
      <xdr:rowOff>0</xdr:rowOff>
    </xdr:to>
    <xdr:sp macro="" textlink="">
      <xdr:nvSpPr>
        <xdr:cNvPr id="2" name="TextBox 1">
          <a:extLst>
            <a:ext uri="{FF2B5EF4-FFF2-40B4-BE49-F238E27FC236}">
              <a16:creationId xmlns:a16="http://schemas.microsoft.com/office/drawing/2014/main" id="{6D14F008-599F-4812-92CD-522BBFB17B47}"/>
            </a:ext>
          </a:extLst>
        </xdr:cNvPr>
        <xdr:cNvSpPr txBox="1"/>
      </xdr:nvSpPr>
      <xdr:spPr>
        <a:xfrm>
          <a:off x="6057900" y="0"/>
          <a:ext cx="7872095" cy="173355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171449</xdr:colOff>
      <xdr:row>6</xdr:row>
      <xdr:rowOff>123825</xdr:rowOff>
    </xdr:from>
    <xdr:to>
      <xdr:col>10</xdr:col>
      <xdr:colOff>76200</xdr:colOff>
      <xdr:row>13</xdr:row>
      <xdr:rowOff>59268</xdr:rowOff>
    </xdr:to>
    <mc:AlternateContent xmlns:mc="http://schemas.openxmlformats.org/markup-compatibility/2006" xmlns:a14="http://schemas.microsoft.com/office/drawing/2010/main">
      <mc:Choice Requires="a14">
        <xdr:graphicFrame macro="">
          <xdr:nvGraphicFramePr>
            <xdr:cNvPr id="2" name="SECTION 22">
              <a:extLst>
                <a:ext uri="{FF2B5EF4-FFF2-40B4-BE49-F238E27FC236}">
                  <a16:creationId xmlns:a16="http://schemas.microsoft.com/office/drawing/2014/main" id="{16A025EF-A565-416E-9A69-B50A552C2FAC}"/>
                </a:ext>
              </a:extLst>
            </xdr:cNvPr>
            <xdr:cNvGraphicFramePr/>
          </xdr:nvGraphicFramePr>
          <xdr:xfrm>
            <a:off x="0" y="0"/>
            <a:ext cx="0" cy="0"/>
          </xdr:xfrm>
          <a:graphic>
            <a:graphicData uri="http://schemas.microsoft.com/office/drawing/2010/slicer">
              <sle:slicer xmlns:sle="http://schemas.microsoft.com/office/drawing/2010/slicer" name="SECTION 22"/>
            </a:graphicData>
          </a:graphic>
        </xdr:graphicFrame>
      </mc:Choice>
      <mc:Fallback xmlns="">
        <xdr:sp macro="" textlink="">
          <xdr:nvSpPr>
            <xdr:cNvPr id="0" name=""/>
            <xdr:cNvSpPr>
              <a:spLocks noTextEdit="1"/>
            </xdr:cNvSpPr>
          </xdr:nvSpPr>
          <xdr:spPr>
            <a:xfrm>
              <a:off x="6614582" y="1351492"/>
              <a:ext cx="2410885" cy="1120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0</xdr:row>
      <xdr:rowOff>2</xdr:rowOff>
    </xdr:from>
    <xdr:to>
      <xdr:col>19</xdr:col>
      <xdr:colOff>330609</xdr:colOff>
      <xdr:row>14</xdr:row>
      <xdr:rowOff>0</xdr:rowOff>
    </xdr:to>
    <xdr:sp macro="" textlink="">
      <xdr:nvSpPr>
        <xdr:cNvPr id="3" name="TextBox 2">
          <a:extLst>
            <a:ext uri="{FF2B5EF4-FFF2-40B4-BE49-F238E27FC236}">
              <a16:creationId xmlns:a16="http://schemas.microsoft.com/office/drawing/2014/main" id="{EE4AF46B-4F7E-4CAD-B1E4-5CDAEB684E8D}"/>
            </a:ext>
          </a:extLst>
        </xdr:cNvPr>
        <xdr:cNvSpPr txBox="1"/>
      </xdr:nvSpPr>
      <xdr:spPr>
        <a:xfrm>
          <a:off x="6443133" y="2"/>
          <a:ext cx="8475543" cy="25823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304799</xdr:colOff>
      <xdr:row>13</xdr:row>
      <xdr:rowOff>152398</xdr:rowOff>
    </xdr:to>
    <xdr:sp macro="" textlink="">
      <xdr:nvSpPr>
        <xdr:cNvPr id="5" name="Rectangle 4">
          <a:extLst>
            <a:ext uri="{FF2B5EF4-FFF2-40B4-BE49-F238E27FC236}">
              <a16:creationId xmlns:a16="http://schemas.microsoft.com/office/drawing/2014/main" id="{FF497409-C0B0-41C9-BF15-B5C193900202}"/>
            </a:ext>
          </a:extLst>
        </xdr:cNvPr>
        <xdr:cNvSpPr/>
      </xdr:nvSpPr>
      <xdr:spPr>
        <a:xfrm>
          <a:off x="0" y="0"/>
          <a:ext cx="14892866" cy="2565398"/>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171449</xdr:colOff>
      <xdr:row>8</xdr:row>
      <xdr:rowOff>123824</xdr:rowOff>
    </xdr:from>
    <xdr:to>
      <xdr:col>14</xdr:col>
      <xdr:colOff>76200</xdr:colOff>
      <xdr:row>10</xdr:row>
      <xdr:rowOff>1321646</xdr:rowOff>
    </xdr:to>
    <mc:AlternateContent xmlns:mc="http://schemas.openxmlformats.org/markup-compatibility/2006" xmlns:a14="http://schemas.microsoft.com/office/drawing/2010/main">
      <mc:Choice Requires="a14">
        <xdr:graphicFrame macro="">
          <xdr:nvGraphicFramePr>
            <xdr:cNvPr id="2" name="SECTION 1">
              <a:extLst>
                <a:ext uri="{FF2B5EF4-FFF2-40B4-BE49-F238E27FC236}">
                  <a16:creationId xmlns:a16="http://schemas.microsoft.com/office/drawing/2014/main" id="{486BDF86-71FF-4059-BD38-B924F4B68C3D}"/>
                </a:ext>
              </a:extLst>
            </xdr:cNvPr>
            <xdr:cNvGraphicFramePr/>
          </xdr:nvGraphicFramePr>
          <xdr:xfrm>
            <a:off x="0" y="0"/>
            <a:ext cx="0" cy="0"/>
          </xdr:xfrm>
          <a:graphic>
            <a:graphicData uri="http://schemas.microsoft.com/office/drawing/2010/slicer">
              <sle:slicer xmlns:sle="http://schemas.microsoft.com/office/drawing/2010/slicer" name="SECTION 1"/>
            </a:graphicData>
          </a:graphic>
        </xdr:graphicFrame>
      </mc:Choice>
      <mc:Fallback xmlns="">
        <xdr:sp macro="" textlink="">
          <xdr:nvSpPr>
            <xdr:cNvPr id="0" name=""/>
            <xdr:cNvSpPr>
              <a:spLocks noTextEdit="1"/>
            </xdr:cNvSpPr>
          </xdr:nvSpPr>
          <xdr:spPr>
            <a:xfrm>
              <a:off x="7273289" y="1320164"/>
              <a:ext cx="2404111" cy="1552576"/>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171449</xdr:colOff>
      <xdr:row>8</xdr:row>
      <xdr:rowOff>107948</xdr:rowOff>
    </xdr:from>
    <xdr:to>
      <xdr:col>22</xdr:col>
      <xdr:colOff>314325</xdr:colOff>
      <xdr:row>10</xdr:row>
      <xdr:rowOff>3152445</xdr:rowOff>
    </xdr:to>
    <mc:AlternateContent xmlns:mc="http://schemas.openxmlformats.org/markup-compatibility/2006" xmlns:a14="http://schemas.microsoft.com/office/drawing/2010/main">
      <mc:Choice Requires="a14">
        <xdr:graphicFrame macro="">
          <xdr:nvGraphicFramePr>
            <xdr:cNvPr id="3" name="SUB-SECTION 1">
              <a:extLst>
                <a:ext uri="{FF2B5EF4-FFF2-40B4-BE49-F238E27FC236}">
                  <a16:creationId xmlns:a16="http://schemas.microsoft.com/office/drawing/2014/main" id="{4E38B466-1588-4BBE-952F-60164C7991B2}"/>
                </a:ext>
              </a:extLst>
            </xdr:cNvPr>
            <xdr:cNvGraphicFramePr/>
          </xdr:nvGraphicFramePr>
          <xdr:xfrm>
            <a:off x="0" y="0"/>
            <a:ext cx="0" cy="0"/>
          </xdr:xfrm>
          <a:graphic>
            <a:graphicData uri="http://schemas.microsoft.com/office/drawing/2010/slicer">
              <sle:slicer xmlns:sle="http://schemas.microsoft.com/office/drawing/2010/slicer" name="SUB-SECTION 1"/>
            </a:graphicData>
          </a:graphic>
        </xdr:graphicFrame>
      </mc:Choice>
      <mc:Fallback xmlns="">
        <xdr:sp macro="" textlink="">
          <xdr:nvSpPr>
            <xdr:cNvPr id="0" name=""/>
            <xdr:cNvSpPr>
              <a:spLocks noTextEdit="1"/>
            </xdr:cNvSpPr>
          </xdr:nvSpPr>
          <xdr:spPr>
            <a:xfrm>
              <a:off x="10187516" y="1488015"/>
              <a:ext cx="5155142" cy="42176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15240</xdr:colOff>
      <xdr:row>0</xdr:row>
      <xdr:rowOff>0</xdr:rowOff>
    </xdr:from>
    <xdr:to>
      <xdr:col>22</xdr:col>
      <xdr:colOff>348615</xdr:colOff>
      <xdr:row>105</xdr:row>
      <xdr:rowOff>0</xdr:rowOff>
    </xdr:to>
    <xdr:sp macro="" textlink="">
      <xdr:nvSpPr>
        <xdr:cNvPr id="4" name="TextBox 3">
          <a:extLst>
            <a:ext uri="{FF2B5EF4-FFF2-40B4-BE49-F238E27FC236}">
              <a16:creationId xmlns:a16="http://schemas.microsoft.com/office/drawing/2014/main" id="{ECB50F22-17D2-494C-9ECF-931082E4DA73}"/>
            </a:ext>
          </a:extLst>
        </xdr:cNvPr>
        <xdr:cNvSpPr txBox="1"/>
      </xdr:nvSpPr>
      <xdr:spPr>
        <a:xfrm>
          <a:off x="7465907" y="0"/>
          <a:ext cx="7851775" cy="495554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22</xdr:col>
      <xdr:colOff>372533</xdr:colOff>
      <xdr:row>105</xdr:row>
      <xdr:rowOff>16933</xdr:rowOff>
    </xdr:to>
    <xdr:sp macro="" textlink="">
      <xdr:nvSpPr>
        <xdr:cNvPr id="5" name="Rectangle 4">
          <a:extLst>
            <a:ext uri="{FF2B5EF4-FFF2-40B4-BE49-F238E27FC236}">
              <a16:creationId xmlns:a16="http://schemas.microsoft.com/office/drawing/2014/main" id="{C8C60629-395E-4252-98EC-0E9D4ADD9664}"/>
            </a:ext>
          </a:extLst>
        </xdr:cNvPr>
        <xdr:cNvSpPr/>
      </xdr:nvSpPr>
      <xdr:spPr>
        <a:xfrm>
          <a:off x="0" y="0"/>
          <a:ext cx="15341600" cy="49572333"/>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171449</xdr:colOff>
      <xdr:row>6</xdr:row>
      <xdr:rowOff>123825</xdr:rowOff>
    </xdr:from>
    <xdr:to>
      <xdr:col>10</xdr:col>
      <xdr:colOff>76200</xdr:colOff>
      <xdr:row>13</xdr:row>
      <xdr:rowOff>59268</xdr:rowOff>
    </xdr:to>
    <mc:AlternateContent xmlns:mc="http://schemas.openxmlformats.org/markup-compatibility/2006" xmlns:a14="http://schemas.microsoft.com/office/drawing/2010/main">
      <mc:Choice Requires="a14">
        <xdr:graphicFrame macro="">
          <xdr:nvGraphicFramePr>
            <xdr:cNvPr id="2" name="SECTION 23">
              <a:extLst>
                <a:ext uri="{FF2B5EF4-FFF2-40B4-BE49-F238E27FC236}">
                  <a16:creationId xmlns:a16="http://schemas.microsoft.com/office/drawing/2014/main" id="{21D7E5ED-4630-4FEC-930B-F135AB9BC809}"/>
                </a:ext>
              </a:extLst>
            </xdr:cNvPr>
            <xdr:cNvGraphicFramePr/>
          </xdr:nvGraphicFramePr>
          <xdr:xfrm>
            <a:off x="0" y="0"/>
            <a:ext cx="0" cy="0"/>
          </xdr:xfrm>
          <a:graphic>
            <a:graphicData uri="http://schemas.microsoft.com/office/drawing/2010/slicer">
              <sle:slicer xmlns:sle="http://schemas.microsoft.com/office/drawing/2010/slicer" name="SECTION 23"/>
            </a:graphicData>
          </a:graphic>
        </xdr:graphicFrame>
      </mc:Choice>
      <mc:Fallback xmlns="">
        <xdr:sp macro="" textlink="">
          <xdr:nvSpPr>
            <xdr:cNvPr id="0" name=""/>
            <xdr:cNvSpPr>
              <a:spLocks noTextEdit="1"/>
            </xdr:cNvSpPr>
          </xdr:nvSpPr>
          <xdr:spPr>
            <a:xfrm>
              <a:off x="6614582" y="1351492"/>
              <a:ext cx="2410885" cy="1120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0</xdr:row>
      <xdr:rowOff>2</xdr:rowOff>
    </xdr:from>
    <xdr:to>
      <xdr:col>19</xdr:col>
      <xdr:colOff>330609</xdr:colOff>
      <xdr:row>14</xdr:row>
      <xdr:rowOff>0</xdr:rowOff>
    </xdr:to>
    <xdr:sp macro="" textlink="">
      <xdr:nvSpPr>
        <xdr:cNvPr id="3" name="TextBox 2">
          <a:extLst>
            <a:ext uri="{FF2B5EF4-FFF2-40B4-BE49-F238E27FC236}">
              <a16:creationId xmlns:a16="http://schemas.microsoft.com/office/drawing/2014/main" id="{6D1BA2DA-A60B-43A6-8285-A560C3F88573}"/>
            </a:ext>
          </a:extLst>
        </xdr:cNvPr>
        <xdr:cNvSpPr txBox="1"/>
      </xdr:nvSpPr>
      <xdr:spPr>
        <a:xfrm>
          <a:off x="6443133" y="2"/>
          <a:ext cx="8475543" cy="25823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19</xdr:col>
      <xdr:colOff>304799</xdr:colOff>
      <xdr:row>14</xdr:row>
      <xdr:rowOff>0</xdr:rowOff>
    </xdr:to>
    <xdr:sp macro="" textlink="">
      <xdr:nvSpPr>
        <xdr:cNvPr id="4" name="Rectangle 3">
          <a:extLst>
            <a:ext uri="{FF2B5EF4-FFF2-40B4-BE49-F238E27FC236}">
              <a16:creationId xmlns:a16="http://schemas.microsoft.com/office/drawing/2014/main" id="{450E39B6-C898-4662-A0F2-1617CA49C1AD}"/>
            </a:ext>
          </a:extLst>
        </xdr:cNvPr>
        <xdr:cNvSpPr/>
      </xdr:nvSpPr>
      <xdr:spPr>
        <a:xfrm>
          <a:off x="0" y="0"/>
          <a:ext cx="14892866" cy="2582333"/>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10</xdr:col>
      <xdr:colOff>171449</xdr:colOff>
      <xdr:row>8</xdr:row>
      <xdr:rowOff>123824</xdr:rowOff>
    </xdr:from>
    <xdr:to>
      <xdr:col>14</xdr:col>
      <xdr:colOff>76200</xdr:colOff>
      <xdr:row>10</xdr:row>
      <xdr:rowOff>699106</xdr:rowOff>
    </xdr:to>
    <mc:AlternateContent xmlns:mc="http://schemas.openxmlformats.org/markup-compatibility/2006" xmlns:a14="http://schemas.microsoft.com/office/drawing/2010/main">
      <mc:Choice Requires="a14">
        <xdr:graphicFrame macro="">
          <xdr:nvGraphicFramePr>
            <xdr:cNvPr id="2" name="SECTION 6">
              <a:extLst>
                <a:ext uri="{FF2B5EF4-FFF2-40B4-BE49-F238E27FC236}">
                  <a16:creationId xmlns:a16="http://schemas.microsoft.com/office/drawing/2014/main" id="{B1343E22-5D3A-4014-AD7A-73C268B5CDD7}"/>
                </a:ext>
              </a:extLst>
            </xdr:cNvPr>
            <xdr:cNvGraphicFramePr/>
          </xdr:nvGraphicFramePr>
          <xdr:xfrm>
            <a:off x="0" y="0"/>
            <a:ext cx="0" cy="0"/>
          </xdr:xfrm>
          <a:graphic>
            <a:graphicData uri="http://schemas.microsoft.com/office/drawing/2010/slicer">
              <sle:slicer xmlns:sle="http://schemas.microsoft.com/office/drawing/2010/slicer" name="SECTION 6"/>
            </a:graphicData>
          </a:graphic>
        </xdr:graphicFrame>
      </mc:Choice>
      <mc:Fallback xmlns="">
        <xdr:sp macro="" textlink="">
          <xdr:nvSpPr>
            <xdr:cNvPr id="0" name=""/>
            <xdr:cNvSpPr>
              <a:spLocks noTextEdit="1"/>
            </xdr:cNvSpPr>
          </xdr:nvSpPr>
          <xdr:spPr>
            <a:xfrm>
              <a:off x="7681382" y="1334557"/>
              <a:ext cx="2410885" cy="15557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247649</xdr:colOff>
      <xdr:row>10</xdr:row>
      <xdr:rowOff>14815</xdr:rowOff>
    </xdr:from>
    <xdr:to>
      <xdr:col>22</xdr:col>
      <xdr:colOff>390525</xdr:colOff>
      <xdr:row>10</xdr:row>
      <xdr:rowOff>698501</xdr:rowOff>
    </xdr:to>
    <mc:AlternateContent xmlns:mc="http://schemas.openxmlformats.org/markup-compatibility/2006" xmlns:a14="http://schemas.microsoft.com/office/drawing/2010/main">
      <mc:Choice Requires="a14">
        <xdr:graphicFrame macro="">
          <xdr:nvGraphicFramePr>
            <xdr:cNvPr id="3" name="SUB-SECTION 5">
              <a:extLst>
                <a:ext uri="{FF2B5EF4-FFF2-40B4-BE49-F238E27FC236}">
                  <a16:creationId xmlns:a16="http://schemas.microsoft.com/office/drawing/2014/main" id="{539889B6-B228-480D-AB78-DD411AF170EA}"/>
                </a:ext>
              </a:extLst>
            </xdr:cNvPr>
            <xdr:cNvGraphicFramePr/>
          </xdr:nvGraphicFramePr>
          <xdr:xfrm>
            <a:off x="0" y="0"/>
            <a:ext cx="0" cy="0"/>
          </xdr:xfrm>
          <a:graphic>
            <a:graphicData uri="http://schemas.microsoft.com/office/drawing/2010/slicer">
              <sle:slicer xmlns:sle="http://schemas.microsoft.com/office/drawing/2010/slicer" name="SUB-SECTION 5"/>
            </a:graphicData>
          </a:graphic>
        </xdr:graphicFrame>
      </mc:Choice>
      <mc:Fallback xmlns="">
        <xdr:sp macro="" textlink="">
          <xdr:nvSpPr>
            <xdr:cNvPr id="0" name=""/>
            <xdr:cNvSpPr>
              <a:spLocks noTextEdit="1"/>
            </xdr:cNvSpPr>
          </xdr:nvSpPr>
          <xdr:spPr>
            <a:xfrm>
              <a:off x="10263716" y="1750482"/>
              <a:ext cx="5155142" cy="2948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8467</xdr:colOff>
      <xdr:row>0</xdr:row>
      <xdr:rowOff>0</xdr:rowOff>
    </xdr:from>
    <xdr:to>
      <xdr:col>22</xdr:col>
      <xdr:colOff>404390</xdr:colOff>
      <xdr:row>15</xdr:row>
      <xdr:rowOff>0</xdr:rowOff>
    </xdr:to>
    <xdr:sp macro="" textlink="">
      <xdr:nvSpPr>
        <xdr:cNvPr id="5" name="TextBox 4">
          <a:extLst>
            <a:ext uri="{FF2B5EF4-FFF2-40B4-BE49-F238E27FC236}">
              <a16:creationId xmlns:a16="http://schemas.microsoft.com/office/drawing/2014/main" id="{279CE51D-D3DE-4104-B429-1D1E2B2663AE}"/>
            </a:ext>
          </a:extLst>
        </xdr:cNvPr>
        <xdr:cNvSpPr txBox="1"/>
      </xdr:nvSpPr>
      <xdr:spPr>
        <a:xfrm>
          <a:off x="7518400" y="0"/>
          <a:ext cx="7914323" cy="47244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MY" sz="1100" b="1" u="sng">
              <a:solidFill>
                <a:schemeClr val="dk1"/>
              </a:solidFill>
              <a:effectLst/>
              <a:latin typeface="+mn-lt"/>
              <a:ea typeface="+mn-ea"/>
              <a:cs typeface="+mn-cs"/>
            </a:rPr>
            <a:t>INSTRUCTION TO TENDERER.</a:t>
          </a:r>
          <a:endParaRPr lang="en-MY" u="sng">
            <a:effectLst/>
          </a:endParaRPr>
        </a:p>
        <a:p>
          <a:pPr algn="ctr"/>
          <a:r>
            <a:rPr lang="en-MY" sz="1100" b="1">
              <a:solidFill>
                <a:schemeClr val="dk1"/>
              </a:solidFill>
              <a:effectLst/>
              <a:latin typeface="+mn-lt"/>
              <a:ea typeface="+mn-ea"/>
              <a:cs typeface="+mn-cs"/>
            </a:rPr>
            <a:t>!!This</a:t>
          </a:r>
          <a:r>
            <a:rPr lang="en-MY" sz="1100" b="1" baseline="0">
              <a:solidFill>
                <a:schemeClr val="dk1"/>
              </a:solidFill>
              <a:effectLst/>
              <a:latin typeface="+mn-lt"/>
              <a:ea typeface="+mn-ea"/>
              <a:cs typeface="+mn-cs"/>
            </a:rPr>
            <a:t> page does not require any editing by the tenderer. Price update in the "Tenderer's Response" column of sheet "2. BQ Normal" shall be automatically update to this page and all other pages.!!</a:t>
          </a:r>
          <a:endParaRPr lang="en-MY"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MY" sz="1100" b="1" u="sng">
              <a:solidFill>
                <a:schemeClr val="dk1"/>
              </a:solidFill>
              <a:effectLst/>
              <a:latin typeface="+mn-lt"/>
              <a:ea typeface="+mn-ea"/>
              <a:cs typeface="+mn-cs"/>
            </a:rPr>
            <a:t>HOW</a:t>
          </a:r>
          <a:r>
            <a:rPr lang="en-MY" sz="1100" b="1" u="sng" baseline="0">
              <a:solidFill>
                <a:schemeClr val="dk1"/>
              </a:solidFill>
              <a:effectLst/>
              <a:latin typeface="+mn-lt"/>
              <a:ea typeface="+mn-ea"/>
              <a:cs typeface="+mn-cs"/>
            </a:rPr>
            <a:t> TO PRINT.</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After the submitted prices are confirmed, this page shall be printed, stamped and signed.</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 setting and page break shall not be edited eventhough some text may be carried over to the following pages.</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The printing shall be done by sheet to preserve the page number of the sheets. </a:t>
          </a:r>
        </a:p>
        <a:p>
          <a:pPr marL="0" marR="0" lvl="0" indent="0" defTabSz="914400" eaLnBrk="1" fontAlgn="auto" latinLnBrk="0" hangingPunct="1">
            <a:lnSpc>
              <a:spcPct val="100000"/>
            </a:lnSpc>
            <a:spcBef>
              <a:spcPts val="0"/>
            </a:spcBef>
            <a:spcAft>
              <a:spcPts val="0"/>
            </a:spcAft>
            <a:buClrTx/>
            <a:buSzTx/>
            <a:buFontTx/>
            <a:buNone/>
            <a:tabLst/>
            <a:defRPr/>
          </a:pPr>
          <a:r>
            <a:rPr lang="en-MY" sz="1100" b="0" baseline="0">
              <a:solidFill>
                <a:schemeClr val="dk1"/>
              </a:solidFill>
              <a:effectLst/>
              <a:latin typeface="+mn-lt"/>
              <a:ea typeface="+mn-ea"/>
              <a:cs typeface="+mn-cs"/>
            </a:rPr>
            <a:t>- </a:t>
          </a:r>
          <a:r>
            <a:rPr lang="en-MY" sz="1100" b="1" baseline="0">
              <a:solidFill>
                <a:schemeClr val="dk1"/>
              </a:solidFill>
              <a:effectLst/>
              <a:latin typeface="+mn-lt"/>
              <a:ea typeface="+mn-ea"/>
              <a:cs typeface="+mn-cs"/>
            </a:rPr>
            <a:t>!!Never "Print Entire Workbook".!!</a:t>
          </a:r>
        </a:p>
        <a:p>
          <a:pPr marL="0" marR="0" lvl="0" indent="0" defTabSz="914400" eaLnBrk="1" fontAlgn="auto" latinLnBrk="0" hangingPunct="1">
            <a:lnSpc>
              <a:spcPct val="100000"/>
            </a:lnSpc>
            <a:spcBef>
              <a:spcPts val="0"/>
            </a:spcBef>
            <a:spcAft>
              <a:spcPts val="0"/>
            </a:spcAft>
            <a:buClrTx/>
            <a:buSzTx/>
            <a:buFontTx/>
            <a:buNone/>
            <a:tabLst/>
            <a:defRPr/>
          </a:pPr>
          <a:endParaRPr lang="en-MY" b="0">
            <a:effectLst/>
          </a:endParaRPr>
        </a:p>
        <a:p>
          <a:endParaRPr lang="en-MY" sz="1100"/>
        </a:p>
      </xdr:txBody>
    </xdr:sp>
    <xdr:clientData/>
  </xdr:twoCellAnchor>
  <xdr:twoCellAnchor>
    <xdr:from>
      <xdr:col>0</xdr:col>
      <xdr:colOff>0</xdr:colOff>
      <xdr:row>0</xdr:row>
      <xdr:rowOff>0</xdr:rowOff>
    </xdr:from>
    <xdr:to>
      <xdr:col>22</xdr:col>
      <xdr:colOff>397933</xdr:colOff>
      <xdr:row>15</xdr:row>
      <xdr:rowOff>8467</xdr:rowOff>
    </xdr:to>
    <xdr:sp macro="" textlink="">
      <xdr:nvSpPr>
        <xdr:cNvPr id="6" name="Rectangle 5">
          <a:extLst>
            <a:ext uri="{FF2B5EF4-FFF2-40B4-BE49-F238E27FC236}">
              <a16:creationId xmlns:a16="http://schemas.microsoft.com/office/drawing/2014/main" id="{C024E82C-5B0E-47F5-974E-A82D6377FFEB}"/>
            </a:ext>
          </a:extLst>
        </xdr:cNvPr>
        <xdr:cNvSpPr/>
      </xdr:nvSpPr>
      <xdr:spPr>
        <a:xfrm>
          <a:off x="0" y="0"/>
          <a:ext cx="15367000" cy="4030134"/>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fg10\af%20group\AZFAR\PROJECT\PAF125\ESTIMATE\Est_Ver.6\PAF125_MECH_BQ_Og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fg10\af%20group\Desktop%20Folder\Project%20Azfar\PAF103\PAF103_EST_MECH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F125_AC_A"/>
      <sheetName val="PAF125_MV_B"/>
      <sheetName val="PAF125_SP_C"/>
      <sheetName val="PAF125_FP_D"/>
      <sheetName val="PAF125_L_F"/>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p"/>
      <sheetName val="BQ.A"/>
      <sheetName val="BQ.B"/>
      <sheetName val="BQ.C"/>
      <sheetName val="BQ.D"/>
      <sheetName val="BQ.E"/>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KHAIRUL ANWAR BIN ABDUL HALIK" refreshedDate="45027.459453009258" createdVersion="7" refreshedVersion="8" minRefreshableVersion="3" recordCount="104" xr:uid="{00000000-000A-0000-FFFF-FFFF51000000}">
  <cacheSource type="worksheet">
    <worksheetSource name="Table13"/>
  </cacheSource>
  <cacheFields count="13">
    <cacheField name="RN" numFmtId="0">
      <sharedItems containsSemiMixedTypes="0" containsString="0" containsNumber="1" minValue="1" maxValue="577" count="58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517" u="1"/>
        <n v="482" u="1"/>
        <n v="417" u="1"/>
        <n v="352" u="1"/>
        <n v="287" u="1"/>
        <n v="239" u="1"/>
        <n v="174" u="1"/>
        <n v="518" u="1"/>
        <n v="450" u="1"/>
        <n v="385" u="1"/>
        <n v="320" u="1"/>
        <n v="223" u="1"/>
        <n v="158" u="1"/>
        <n v="519" u="1"/>
        <n v="483" u="1"/>
        <n v="418" u="1"/>
        <n v="353" u="1"/>
        <n v="288" u="1"/>
        <n v="207" u="1"/>
        <n v="142" u="1"/>
        <n v="520" u="1"/>
        <n v="451" u="1"/>
        <n v="386" u="1"/>
        <n v="321" u="1"/>
        <n v="256" u="1"/>
        <n v="191" u="1"/>
        <n v="521" u="1"/>
        <n v="127" u="1"/>
        <n v="484" u="1"/>
        <n v="419" u="1"/>
        <n v="354" u="1"/>
        <n v="289" u="1"/>
        <n v="240" u="1"/>
        <n v="175" u="1"/>
        <n v="522" u="1"/>
        <n v="119" u="1"/>
        <n v="452" u="1"/>
        <n v="387" u="1"/>
        <n v="322" u="1"/>
        <n v="257" u="1"/>
        <n v="224" u="1"/>
        <n v="159" u="1"/>
        <n v="523" u="1"/>
        <n v="485" u="1"/>
        <n v="111" u="1"/>
        <n v="420" u="1"/>
        <n v="355" u="1"/>
        <n v="290" u="1"/>
        <n v="208" u="1"/>
        <n v="143" u="1"/>
        <n v="524" u="1"/>
        <n v="453" u="1"/>
        <n v="388" u="1"/>
        <n v="323" u="1"/>
        <n v="258" u="1"/>
        <n v="192" u="1"/>
        <n v="525" u="1"/>
        <n v="486" u="1"/>
        <n v="421" u="1"/>
        <n v="356" u="1"/>
        <n v="291" u="1"/>
        <n v="241" u="1"/>
        <n v="176" u="1"/>
        <n v="526" u="1"/>
        <n v="454" u="1"/>
        <n v="389" u="1"/>
        <n v="324" u="1"/>
        <n v="259" u="1"/>
        <n v="225" u="1"/>
        <n v="160" u="1"/>
        <n v="527" u="1"/>
        <n v="487" u="1"/>
        <n v="422" u="1"/>
        <n v="357" u="1"/>
        <n v="292" u="1"/>
        <n v="209" u="1"/>
        <n v="144" u="1"/>
        <n v="528" u="1"/>
        <n v="455" u="1"/>
        <n v="390" u="1"/>
        <n v="325" u="1"/>
        <n v="260" u="1"/>
        <n v="193" u="1"/>
        <n v="529" u="1"/>
        <n v="128" u="1"/>
        <n v="488" u="1"/>
        <n v="423" u="1"/>
        <n v="358" u="1"/>
        <n v="293" u="1"/>
        <n v="242" u="1"/>
        <n v="177" u="1"/>
        <n v="530" u="1"/>
        <n v="120" u="1"/>
        <n v="456" u="1"/>
        <n v="391" u="1"/>
        <n v="326" u="1"/>
        <n v="261" u="1"/>
        <n v="226" u="1"/>
        <n v="161" u="1"/>
        <n v="531" u="1"/>
        <n v="489" u="1"/>
        <n v="112" u="1"/>
        <n v="424" u="1"/>
        <n v="359" u="1"/>
        <n v="294" u="1"/>
        <n v="210" u="1"/>
        <n v="145" u="1"/>
        <n v="532" u="1"/>
        <n v="457" u="1"/>
        <n v="392" u="1"/>
        <n v="327" u="1"/>
        <n v="262" u="1"/>
        <n v="194" u="1"/>
        <n v="533" u="1"/>
        <n v="129" u="1"/>
        <n v="490" u="1"/>
        <n v="425" u="1"/>
        <n v="360" u="1"/>
        <n v="295" u="1"/>
        <n v="243" u="1"/>
        <n v="178" u="1"/>
        <n v="534" u="1"/>
        <n v="458" u="1"/>
        <n v="393" u="1"/>
        <n v="328" u="1"/>
        <n v="263" u="1"/>
        <n v="224.1" u="1"/>
        <n v="227" u="1"/>
        <n v="162" u="1"/>
        <n v="535" u="1"/>
        <n v="491" u="1"/>
        <n v="426" u="1"/>
        <n v="361" u="1"/>
        <n v="296" u="1"/>
        <n v="211" u="1"/>
        <n v="146" u="1"/>
        <n v="536" u="1"/>
        <n v="459" u="1"/>
        <n v="394" u="1"/>
        <n v="329" u="1"/>
        <n v="264" u="1"/>
        <n v="195" u="1"/>
        <n v="537" u="1"/>
        <n v="130" u="1"/>
        <n v="492" u="1"/>
        <n v="427" u="1"/>
        <n v="362" u="1"/>
        <n v="297" u="1"/>
        <n v="244" u="1"/>
        <n v="179" u="1"/>
        <n v="538" u="1"/>
        <n v="121" u="1"/>
        <n v="460" u="1"/>
        <n v="395" u="1"/>
        <n v="330" u="1"/>
        <n v="265" u="1"/>
        <n v="228" u="1"/>
        <n v="163" u="1"/>
        <n v="539" u="1"/>
        <n v="493" u="1"/>
        <n v="113" u="1"/>
        <n v="428" u="1"/>
        <n v="363" u="1"/>
        <n v="298" u="1"/>
        <n v="212" u="1"/>
        <n v="147" u="1"/>
        <n v="540" u="1"/>
        <n v="461" u="1"/>
        <n v="105" u="1"/>
        <n v="396" u="1"/>
        <n v="331" u="1"/>
        <n v="266" u="1"/>
        <n v="196" u="1"/>
        <n v="541" u="1"/>
        <n v="131" u="1"/>
        <n v="494" u="1"/>
        <n v="429" u="1"/>
        <n v="364" u="1"/>
        <n v="299" u="1"/>
        <n v="245" u="1"/>
        <n v="180" u="1"/>
        <n v="542" u="1"/>
        <n v="462" u="1"/>
        <n v="397" u="1"/>
        <n v="332" u="1"/>
        <n v="267" u="1"/>
        <n v="229" u="1"/>
        <n v="164" u="1"/>
        <n v="543" u="1"/>
        <n v="495" u="1"/>
        <n v="430" u="1"/>
        <n v="365" u="1"/>
        <n v="300" u="1"/>
        <n v="213" u="1"/>
        <n v="148" u="1"/>
        <n v="544" u="1"/>
        <n v="463" u="1"/>
        <n v="398" u="1"/>
        <n v="333" u="1"/>
        <n v="268" u="1"/>
        <n v="197" u="1"/>
        <n v="545" u="1"/>
        <n v="132" u="1"/>
        <n v="496" u="1"/>
        <n v="431" u="1"/>
        <n v="366" u="1"/>
        <n v="301" u="1"/>
        <n v="246" u="1"/>
        <n v="181" u="1"/>
        <n v="546" u="1"/>
        <n v="122" u="1"/>
        <n v="464" u="1"/>
        <n v="399" u="1"/>
        <n v="334" u="1"/>
        <n v="224.2" u="1"/>
        <n v="269" u="1"/>
        <n v="230" u="1"/>
        <n v="165" u="1"/>
        <n v="547" u="1"/>
        <n v="497" u="1"/>
        <n v="114" u="1"/>
        <n v="432" u="1"/>
        <n v="367" u="1"/>
        <n v="302" u="1"/>
        <n v="214" u="1"/>
        <n v="149" u="1"/>
        <n v="548" u="1"/>
        <n v="465" u="1"/>
        <n v="106" u="1"/>
        <n v="400" u="1"/>
        <n v="335" u="1"/>
        <n v="270" u="1"/>
        <n v="198" u="1"/>
        <n v="549" u="1"/>
        <n v="133" u="1"/>
        <n v="498" u="1"/>
        <n v="433" u="1"/>
        <n v="368" u="1"/>
        <n v="303" u="1"/>
        <n v="247" u="1"/>
        <n v="182" u="1"/>
        <n v="550" u="1"/>
        <n v="466" u="1"/>
        <n v="401" u="1"/>
        <n v="336" u="1"/>
        <n v="271" u="1"/>
        <n v="231" u="1"/>
        <n v="166" u="1"/>
        <n v="551" u="1"/>
        <n v="499" u="1"/>
        <n v="434" u="1"/>
        <n v="369" u="1"/>
        <n v="304" u="1"/>
        <n v="215" u="1"/>
        <n v="150" u="1"/>
        <n v="552" u="1"/>
        <n v="467" u="1"/>
        <n v="402" u="1"/>
        <n v="337" u="1"/>
        <n v="272" u="1"/>
        <n v="199" u="1"/>
        <n v="553" u="1"/>
        <n v="134" u="1"/>
        <n v="500" u="1"/>
        <n v="435" u="1"/>
        <n v="370" u="1"/>
        <n v="305" u="1"/>
        <n v="248" u="1"/>
        <n v="183" u="1"/>
        <n v="554" u="1"/>
        <n v="123" u="1"/>
        <n v="468" u="1"/>
        <n v="403" u="1"/>
        <n v="338" u="1"/>
        <n v="273" u="1"/>
        <n v="232" u="1"/>
        <n v="167" u="1"/>
        <n v="555" u="1"/>
        <n v="501" u="1"/>
        <n v="115" u="1"/>
        <n v="436" u="1"/>
        <n v="371" u="1"/>
        <n v="306" u="1"/>
        <n v="216" u="1"/>
        <n v="151" u="1"/>
        <n v="556" u="1"/>
        <n v="469" u="1"/>
        <n v="107" u="1"/>
        <n v="404" u="1"/>
        <n v="339" u="1"/>
        <n v="274" u="1"/>
        <n v="200" u="1"/>
        <n v="557" u="1"/>
        <n v="135" u="1"/>
        <n v="502" u="1"/>
        <n v="437" u="1"/>
        <n v="372" u="1"/>
        <n v="307" u="1"/>
        <n v="249" u="1"/>
        <n v="184" u="1"/>
        <n v="558" u="1"/>
        <n v="470" u="1"/>
        <n v="405" u="1"/>
        <n v="224.3" u="1"/>
        <n v="340" u="1"/>
        <n v="275" u="1"/>
        <n v="233" u="1"/>
        <n v="168" u="1"/>
        <n v="559" u="1"/>
        <n v="503" u="1"/>
        <n v="438" u="1"/>
        <n v="373" u="1"/>
        <n v="308" u="1"/>
        <n v="217" u="1"/>
        <n v="152" u="1"/>
        <n v="560" u="1"/>
        <n v="471" u="1"/>
        <n v="406" u="1"/>
        <n v="341" u="1"/>
        <n v="276" u="1"/>
        <n v="201" u="1"/>
        <n v="561" u="1"/>
        <n v="136" u="1"/>
        <n v="504" u="1"/>
        <n v="439" u="1"/>
        <n v="374" u="1"/>
        <n v="309" u="1"/>
        <n v="250" u="1"/>
        <n v="185" u="1"/>
        <n v="562" u="1"/>
        <n v="124" u="1"/>
        <n v="472" u="1"/>
        <n v="407" u="1"/>
        <n v="342" u="1"/>
        <n v="277" u="1"/>
        <n v="234" u="1"/>
        <n v="169" u="1"/>
        <n v="563" u="1"/>
        <n v="505" u="1"/>
        <n v="116" u="1"/>
        <n v="440" u="1"/>
        <n v="375" u="1"/>
        <n v="310" u="1"/>
        <n v="218" u="1"/>
        <n v="153" u="1"/>
        <n v="564" u="1"/>
        <n v="473" u="1"/>
        <n v="108" u="1"/>
        <n v="408" u="1"/>
        <n v="343" u="1"/>
        <n v="278" u="1"/>
        <n v="202" u="1"/>
        <n v="565" u="1"/>
        <n v="137" u="1"/>
        <n v="506" u="1"/>
        <n v="441" u="1"/>
        <n v="376" u="1"/>
        <n v="311" u="1"/>
        <n v="251" u="1"/>
        <n v="186" u="1"/>
        <n v="566" u="1"/>
        <n v="474" u="1"/>
        <n v="409" u="1"/>
        <n v="344" u="1"/>
        <n v="279" u="1"/>
        <n v="235" u="1"/>
        <n v="170" u="1"/>
        <n v="567" u="1"/>
        <n v="507" u="1"/>
        <n v="442" u="1"/>
        <n v="377" u="1"/>
        <n v="312" u="1"/>
        <n v="219" u="1"/>
        <n v="154" u="1"/>
        <n v="568" u="1"/>
        <n v="475" u="1"/>
        <n v="410" u="1"/>
        <n v="345" u="1"/>
        <n v="280" u="1"/>
        <n v="203" u="1"/>
        <n v="569" u="1"/>
        <n v="138" u="1"/>
        <n v="508" u="1"/>
        <n v="443" u="1"/>
        <n v="378" u="1"/>
        <n v="313" u="1"/>
        <n v="252" u="1"/>
        <n v="187" u="1"/>
        <n v="570" u="1"/>
        <n v="125" u="1"/>
        <n v="476" u="1"/>
        <n v="411" u="1"/>
        <n v="346" u="1"/>
        <n v="281" u="1"/>
        <n v="236" u="1"/>
        <n v="171" u="1"/>
        <n v="571" u="1"/>
        <n v="509" u="1"/>
        <n v="117" u="1"/>
        <n v="444" u="1"/>
        <n v="379" u="1"/>
        <n v="314" u="1"/>
        <n v="220" u="1"/>
        <n v="155" u="1"/>
        <n v="572" u="1"/>
        <n v="477" u="1"/>
        <n v="109" u="1"/>
        <n v="412" u="1"/>
        <n v="347" u="1"/>
        <n v="282" u="1"/>
        <n v="204" u="1"/>
        <n v="573" u="1"/>
        <n v="139" u="1"/>
        <n v="510" u="1"/>
        <n v="445" u="1"/>
        <n v="380" u="1"/>
        <n v="315" u="1"/>
        <n v="253" u="1"/>
        <n v="188" u="1"/>
        <n v="574" u="1"/>
        <n v="478" u="1"/>
        <n v="413" u="1"/>
        <n v="348" u="1"/>
        <n v="283" u="1"/>
        <n v="237" u="1"/>
        <n v="172" u="1"/>
        <n v="575" u="1"/>
        <n v="511" u="1"/>
        <n v="446" u="1"/>
        <n v="381" u="1"/>
        <n v="316" u="1"/>
        <n v="221" u="1"/>
        <n v="156" u="1"/>
        <n v="576" u="1"/>
        <n v="479" u="1"/>
        <n v="414" u="1"/>
        <n v="349" u="1"/>
        <n v="284" u="1"/>
        <n v="205" u="1"/>
        <n v="577" u="1"/>
        <n v="140" u="1"/>
        <n v="512" u="1"/>
        <n v="447" u="1"/>
        <n v="382" u="1"/>
        <n v="317" u="1"/>
        <n v="254" u="1"/>
        <n v="224.4" u="1"/>
        <n v="189" u="1"/>
        <n v="513" u="1"/>
        <n v="126" u="1"/>
        <n v="480" u="1"/>
        <n v="415" u="1"/>
        <n v="350" u="1"/>
        <n v="285" u="1"/>
        <n v="238" u="1"/>
        <n v="173" u="1"/>
        <n v="514" u="1"/>
        <n v="118" u="1"/>
        <n v="448" u="1"/>
        <n v="383" u="1"/>
        <n v="318" u="1"/>
        <n v="222" u="1"/>
        <n v="157" u="1"/>
        <n v="515" u="1"/>
        <n v="481" u="1"/>
        <n v="110" u="1"/>
        <n v="416" u="1"/>
        <n v="351" u="1"/>
        <n v="286" u="1"/>
        <n v="206" u="1"/>
        <n v="141" u="1"/>
        <n v="516" u="1"/>
        <n v="449" u="1"/>
        <n v="384" u="1"/>
        <n v="319" u="1"/>
        <n v="255" u="1"/>
        <n v="190" u="1"/>
      </sharedItems>
    </cacheField>
    <cacheField name="NO" numFmtId="0">
      <sharedItems containsBlank="1" count="1124">
        <m/>
        <s v="A.001"/>
        <s v="A.002"/>
        <s v="A.003"/>
        <s v="A.004"/>
        <s v="A.005"/>
        <s v="A.006"/>
        <s v="A.007"/>
        <s v="A.008"/>
        <s v="A.009"/>
        <s v="A.010"/>
        <s v="A.011"/>
        <s v="A.012"/>
        <s v="A.013"/>
        <s v="A.014"/>
        <s v="A.015"/>
        <s v="A.016"/>
        <s v="A.017"/>
        <s v="A.018"/>
        <s v="A.019"/>
        <s v="A.020"/>
        <s v="A.021"/>
        <s v="A.022"/>
        <s v="A.023"/>
        <s v="A.024"/>
        <s v="A.025"/>
        <s v="A.026"/>
        <s v="A.027"/>
        <s v="A.028"/>
        <s v="A.029"/>
        <s v="A.030"/>
        <s v="A.031"/>
        <s v="A.032"/>
        <s v="A.033"/>
        <s v="A.034"/>
        <s v="A.035"/>
        <s v="A.036"/>
        <s v="B.001"/>
        <s v="B.002"/>
        <s v="B.003"/>
        <s v="B.004"/>
        <s v="B.005"/>
        <s v="B.006"/>
        <s v="B.007"/>
        <s v="B.008"/>
        <s v="B.009"/>
        <s v="B.010"/>
        <s v="B.011"/>
        <s v="B.012"/>
        <s v="B.013"/>
        <s v="B.014"/>
        <s v="B.015"/>
        <s v="B.016"/>
        <s v="B.017"/>
        <s v="B.018"/>
        <s v="B.019"/>
        <s v="B.020"/>
        <s v="B.021"/>
        <s v="B.022"/>
        <s v="B.023"/>
        <s v="B.024"/>
        <s v="B.025"/>
        <s v="B.026"/>
        <s v="B.027"/>
        <s v="B.028"/>
        <s v="B.029"/>
        <s v="B.030"/>
        <s v="B.031"/>
        <s v="B.032"/>
        <s v="B.033"/>
        <s v="B.034"/>
        <s v="C.001"/>
        <s v="B1.079" u="1"/>
        <s v="B1.067" u="1"/>
        <s v="B1.055" u="1"/>
        <s v="B3.054" u="1"/>
        <s v="C204" u="1"/>
        <s v="B004" u="1"/>
        <s v="B1.043" u="1"/>
        <s v="B3.042" u="1"/>
        <s v="C5.030" u="1"/>
        <s v="B014" u="1"/>
        <s v="B1.031" u="1"/>
        <s v="B3.030" u="1"/>
        <s v="B024" u="1"/>
        <s v="B034" u="1"/>
        <s v="B044" u="1"/>
        <s v="B054" u="1"/>
        <s v="B064" u="1"/>
        <s v="B074" u="1"/>
        <s v="B084" u="1"/>
        <s v="B094" u="1"/>
        <s v="B1.089" u="1"/>
        <s v="B1.077" u="1"/>
        <s v="B1.065" u="1"/>
        <s v="D004" u="1"/>
        <s v="B1.053" u="1"/>
        <s v="B3.052" u="1"/>
        <s v="D014" u="1"/>
        <s v="B1.041" u="1"/>
        <s v="B3.040" u="1"/>
        <s v="B1.087" u="1"/>
        <s v="B1.075" u="1"/>
        <s v="B1.063" u="1"/>
        <s v="C205" u="1"/>
        <s v="B005" u="1"/>
        <s v="B1.051" u="1"/>
        <s v="B3.050" u="1"/>
        <s v="B015" u="1"/>
        <s v="B025" u="1"/>
        <s v="B035" u="1"/>
        <s v="B045" u="1"/>
        <s v="B055" u="1"/>
        <s v="B065" u="1"/>
        <s v="B075" u="1"/>
        <s v="B085" u="1"/>
        <s v="B095" u="1"/>
        <s v="B1.085" u="1"/>
        <s v="B1.073" u="1"/>
        <s v="D005" u="1"/>
        <s v="B1.061" u="1"/>
        <s v="B3.060" u="1"/>
        <s v="D015" u="1"/>
        <s v="B1.095" u="1"/>
        <s v="B1.083" u="1"/>
        <s v="B1.071" u="1"/>
        <s v="C206" u="1"/>
        <s v="B006" u="1"/>
        <s v="B016" u="1"/>
        <s v="B026" u="1"/>
        <s v="B036" u="1"/>
        <s v="B046" u="1"/>
        <s v="B056" u="1"/>
        <s v="B066" u="1"/>
        <s v="B076" u="1"/>
        <s v="B086" u="1"/>
        <s v="B096" u="1"/>
        <s v="B1.093" u="1"/>
        <s v="B1.081" u="1"/>
        <s v="D006" u="1"/>
        <s v="D016" u="1"/>
        <s v="B1.091" u="1"/>
        <s v="C207" u="1"/>
        <s v="B007" u="1"/>
        <s v="B017" u="1"/>
        <s v="B027" u="1"/>
        <s v="B037" u="1"/>
        <s v="B047" u="1"/>
        <s v="B057" u="1"/>
        <s v="B067" u="1"/>
        <s v="B077" u="1"/>
        <s v="B097" u="1"/>
        <s v="D007" u="1"/>
        <s v="D017" u="1"/>
        <s v="B100" u="1"/>
        <s v="B110" u="1"/>
        <s v="C208" u="1"/>
        <s v="B008" u="1"/>
        <s v="B018" u="1"/>
        <s v="B028" u="1"/>
        <s v="B038" u="1"/>
        <s v="B048" u="1"/>
        <s v="B058" u="1"/>
        <s v="B068" u="1"/>
        <s v="B078" u="1"/>
        <s v="B501" u="1"/>
        <s v="A301" u="1"/>
        <s v="B088" u="1"/>
        <s v="C4.009" u="1"/>
        <s v="C6.008" u="1"/>
        <s v="C8.007" u="1"/>
        <s v="B2.009" u="1"/>
        <s v="B4.008" u="1"/>
        <s v="B098" u="1"/>
        <s v="A2.008" u="1"/>
        <s v="D008" u="1"/>
        <s v="D018" u="1"/>
        <s v="C301" u="1"/>
        <s v="D.001" u="1"/>
        <s v="C6.018" u="1"/>
        <s v="B101" u="1"/>
        <s v="B2.019" u="1"/>
        <s v="B4.018" u="1"/>
        <s v="A2.018" u="1"/>
        <s v="C2.008" u="1"/>
        <s v="C4.007" u="1"/>
        <s v="C6.006" u="1"/>
        <s v="C8.005" u="1"/>
        <s v="B2.007" u="1"/>
        <s v="B4.006" u="1"/>
        <s v="A2.006" u="1"/>
        <s v="A4.005" u="1"/>
        <s v="C209" u="1"/>
        <s v="B009" u="1"/>
        <s v="B019" u="1"/>
        <s v="B029" u="1"/>
        <s v="B039" u="1"/>
        <s v="B049" u="1"/>
        <s v="B059" u="1"/>
        <s v="B069" u="1"/>
        <s v="B079" u="1"/>
        <s v="D.002" u="1"/>
        <s v="C6.028" u="1"/>
        <s v="D101" u="1"/>
        <s v="B2.029" u="1"/>
        <s v="B4.028" u="1"/>
        <s v="B089" u="1"/>
        <s v="D.010" u="1"/>
        <s v="C2.018" u="1"/>
        <s v="C6.016" u="1"/>
        <s v="B2.017" u="1"/>
        <s v="B2.109" u="1"/>
        <s v="B4.016" u="1"/>
        <s v="B4.108" u="1"/>
        <s v="B099" u="1"/>
        <s v="A2.016" u="1"/>
        <s v="C2.006" u="1"/>
        <s v="C4.005" u="1"/>
        <s v="C6.004" u="1"/>
        <s v="C8.003" u="1"/>
        <s v="B2.005" u="1"/>
        <s v="B4.004" u="1"/>
        <s v="A2.004" u="1"/>
        <s v="A4.003" u="1"/>
        <s v="D009" u="1"/>
        <s v="D.003" u="1"/>
        <s v="C6.038" u="1"/>
        <s v="B2.039" u="1"/>
        <s v="B4.038" u="1"/>
        <s v="D.011" u="1"/>
        <s v="C2.028" u="1"/>
        <s v="C6.026" u="1"/>
        <s v="B102" u="1"/>
        <s v="B2.027" u="1"/>
        <s v="B2.119" u="1"/>
        <s v="B4.026" u="1"/>
        <s v="C2.016" u="1"/>
        <s v="C6.014" u="1"/>
        <s v="B2.015" u="1"/>
        <s v="B2.107" u="1"/>
        <s v="B4.014" u="1"/>
        <s v="B4.106" u="1"/>
        <s v="A2.014" u="1"/>
        <s v="C2.004" u="1"/>
        <s v="C4.003" u="1"/>
        <s v="C6.002" u="1"/>
        <s v="C8.001" u="1"/>
        <s v="B2.003" u="1"/>
        <s v="B4.002" u="1"/>
        <s v="A2.002" u="1"/>
        <s v="A4.001" u="1"/>
        <s v="D.004" u="1"/>
        <s v="C6.048" u="1"/>
        <s v="B2.049" u="1"/>
        <s v="B4.048" u="1"/>
        <s v="D.012" u="1"/>
        <s v="C2.038" u="1"/>
        <s v="C6.036" u="1"/>
        <s v="D102" u="1"/>
        <s v="B2.037" u="1"/>
        <s v="B2.129" u="1"/>
        <s v="B4.036" u="1"/>
        <s v="C2.026" u="1"/>
        <s v="C6.024" u="1"/>
        <s v="B2.025" u="1"/>
        <s v="B2.117" u="1"/>
        <s v="B4.024" u="1"/>
        <s v="C2.014" u="1"/>
        <s v="C6.012" u="1"/>
        <s v="B2.013" u="1"/>
        <s v="B2.105" u="1"/>
        <s v="B4.012" u="1"/>
        <s v="B4.104" u="1"/>
        <s v="A2.012" u="1"/>
        <s v="C2.002" u="1"/>
        <s v="C4.001" u="1"/>
        <s v="B2.001" u="1"/>
        <s v="D.005" u="1"/>
        <s v="C6.058" u="1"/>
        <s v="B2.059" u="1"/>
        <s v="B4.058" u="1"/>
        <s v="D.013" u="1"/>
        <s v="C6.046" u="1"/>
        <s v="B2.047" u="1"/>
        <s v="B2.139" u="1"/>
        <s v="B4.046" u="1"/>
        <s v="C2.036" u="1"/>
        <s v="C6.034" u="1"/>
        <s v="B103" u="1"/>
        <s v="B2.035" u="1"/>
        <s v="B2.127" u="1"/>
        <s v="B4.034" u="1"/>
        <s v="C2.024" u="1"/>
        <s v="C6.022" u="1"/>
        <s v="B2.023" u="1"/>
        <s v="B2.115" u="1"/>
        <s v="B4.022" u="1"/>
        <s v="C2.012" u="1"/>
        <s v="C6.010" u="1"/>
        <s v="B2.011" u="1"/>
        <s v="B2.103" u="1"/>
        <s v="B4.010" u="1"/>
        <s v="B4.102" u="1"/>
        <s v="A2.010" u="1"/>
        <s v="D.006" u="1"/>
        <s v="C6.068" u="1"/>
        <s v="B2.069" u="1"/>
        <s v="B4.068" u="1"/>
        <s v="C6.056" u="1"/>
        <s v="B2.057" u="1"/>
        <s v="B2.149" u="1"/>
        <s v="B4.056" u="1"/>
        <s v="C2.046" u="1"/>
        <s v="C6.044" u="1"/>
        <s v="D103" u="1"/>
        <s v="B2.045" u="1"/>
        <s v="B2.137" u="1"/>
        <s v="B4.044" u="1"/>
        <s v="C2.034" u="1"/>
        <s v="C6.032" u="1"/>
        <s v="B2.033" u="1"/>
        <s v="B2.125" u="1"/>
        <s v="B4.032" u="1"/>
        <s v="C2.022" u="1"/>
        <s v="C6.020" u="1"/>
        <s v="B2.021" u="1"/>
        <s v="B2.113" u="1"/>
        <s v="B4.020" u="1"/>
        <s v="B4.112" u="1"/>
        <s v="C2.010" u="1"/>
        <s v="B2.101" u="1"/>
        <s v="B4.100" u="1"/>
        <s v="D.007" u="1"/>
        <s v="C6.078" u="1"/>
        <s v="B2.079" u="1"/>
        <s v="B4.078" u="1"/>
        <s v="C6.066" u="1"/>
        <s v="B2.067" u="1"/>
        <s v="B2.159" u="1"/>
        <s v="B4.066" u="1"/>
        <s v="C6.054" u="1"/>
        <s v="B2.055" u="1"/>
        <s v="B2.147" u="1"/>
        <s v="B4.054" u="1"/>
        <s v="C2.044" u="1"/>
        <s v="C6.042" u="1"/>
        <s v="B104" u="1"/>
        <s v="B2.043" u="1"/>
        <s v="B2.135" u="1"/>
        <s v="B4.042" u="1"/>
        <s v="C2.032" u="1"/>
        <s v="C6.030" u="1"/>
        <s v="B2.031" u="1"/>
        <s v="B2.123" u="1"/>
        <s v="B4.030" u="1"/>
        <s v="C2.020" u="1"/>
        <s v="B2.111" u="1"/>
        <s v="B4.110" u="1"/>
        <s v="D.008" u="1"/>
        <s v="B2.089" u="1"/>
        <s v="B4.088" u="1"/>
        <s v="C6.076" u="1"/>
        <s v="B2.077" u="1"/>
        <s v="B2.169" u="1"/>
        <s v="B4.076" u="1"/>
        <s v="C6.064" u="1"/>
        <s v="B2.065" u="1"/>
        <s v="B2.157" u="1"/>
        <s v="B4.064" u="1"/>
        <s v="C6.052" u="1"/>
        <s v="D104" u="1"/>
        <s v="B2.053" u="1"/>
        <s v="B2.145" u="1"/>
        <s v="B4.052" u="1"/>
        <s v="C2.042" u="1"/>
        <s v="C6.040" u="1"/>
        <s v="B2.041" u="1"/>
        <s v="B2.133" u="1"/>
        <s v="B4.040" u="1"/>
        <s v="C2.030" u="1"/>
        <s v="B2.121" u="1"/>
        <s v="D.009" u="1"/>
        <s v="B2.099" u="1"/>
        <s v="B4.098" u="1"/>
        <s v="C6.086" u="1"/>
        <s v="B2.087" u="1"/>
        <s v="B4.086" u="1"/>
        <s v="C6.074" u="1"/>
        <s v="B2.075" u="1"/>
        <s v="B2.167" u="1"/>
        <s v="B4.074" u="1"/>
        <s v="C6.062" u="1"/>
        <s v="B2.063" u="1"/>
        <s v="B2.155" u="1"/>
        <s v="B4.062" u="1"/>
        <s v="C6.050" u="1"/>
        <s v="B105" u="1"/>
        <s v="B2.051" u="1"/>
        <s v="B2.143" u="1"/>
        <s v="B4.050" u="1"/>
        <s v="C2.040" u="1"/>
        <s v="B2.131" u="1"/>
        <s v="B2.097" u="1"/>
        <s v="B4.096" u="1"/>
        <s v="C6.084" u="1"/>
        <s v="B2.085" u="1"/>
        <s v="B2.177" u="1"/>
        <s v="B4.084" u="1"/>
        <s v="C6.072" u="1"/>
        <s v="B2.073" u="1"/>
        <s v="B2.165" u="1"/>
        <s v="B4.072" u="1"/>
        <s v="C6.060" u="1"/>
        <s v="B2.061" u="1"/>
        <s v="B2.153" u="1"/>
        <s v="B4.060" u="1"/>
        <s v="B2.141" u="1"/>
        <s v="B2.095" u="1"/>
        <s v="B4.094" u="1"/>
        <s v="C6.082" u="1"/>
        <s v="B2.083" u="1"/>
        <s v="B2.175" u="1"/>
        <s v="B4.082" u="1"/>
        <s v="C6.070" u="1"/>
        <s v="B2.071" u="1"/>
        <s v="B2.163" u="1"/>
        <s v="B4.070" u="1"/>
        <s v="B106" u="1"/>
        <s v="B2.151" u="1"/>
        <s v="B2.093" u="1"/>
        <s v="B4.092" u="1"/>
        <s v="C6.080" u="1"/>
        <s v="B2.081" u="1"/>
        <s v="B2.173" u="1"/>
        <s v="B4.080" u="1"/>
        <s v="B2.161" u="1"/>
        <s v="B2.091" u="1"/>
        <s v="B4.090" u="1"/>
        <s v="B2.171" u="1"/>
        <s v="B107" u="1"/>
        <s v="A010" u="1"/>
        <s v="A020" u="1"/>
        <s v="A030" u="1"/>
        <s v="A040" u="1"/>
        <s v="A050" u="1"/>
        <s v="B108" u="1"/>
        <s v="C5.009" u="1"/>
        <s v="C7.008" u="1"/>
        <s v="B3.009" u="1"/>
        <s v="C010" u="1"/>
        <s v="A1.009" u="1"/>
        <s v="A3.008" u="1"/>
        <s v="C020" u="1"/>
        <s v="C030" u="1"/>
        <s v="C040" u="1"/>
        <s v="C5.019" u="1"/>
        <s v="B201" u="1"/>
        <s v="B3.019" u="1"/>
        <s v="A001" u="1"/>
        <s v="C1.009" u="1"/>
        <s v="C3.008" u="1"/>
        <s v="C5.007" u="1"/>
        <s v="C7.006" u="1"/>
        <s v="B1.008" u="1"/>
        <s v="B3.007" u="1"/>
        <s v="A011" u="1"/>
        <s v="A1.007" u="1"/>
        <s v="A3.006" u="1"/>
        <s v="A021" u="1"/>
        <s v="A031" u="1"/>
        <s v="A041" u="1"/>
        <s v="A051" u="1"/>
        <s v="B109" u="1"/>
        <s v="C5.029" u="1"/>
        <s v="D201" u="1"/>
        <s v="B3.029" u="1"/>
        <s v="C001" u="1"/>
        <s v="C1.019" u="1"/>
        <s v="C5.017" u="1"/>
        <s v="B1.018" u="1"/>
        <s v="B3.017" u="1"/>
        <s v="C011" u="1"/>
        <s v="A1.017" u="1"/>
        <s v="C1.007" u="1"/>
        <s v="C3.006" u="1"/>
        <s v="C5.005" u="1"/>
        <s v="C7.004" u="1"/>
        <s v="B1.006" u="1"/>
        <s v="B3.005" u="1"/>
        <s v="C021" u="1"/>
        <s v="A1.005" u="1"/>
        <s v="A3.004" u="1"/>
        <s v="C031" u="1"/>
        <s v="C041" u="1"/>
        <s v="B3.039" u="1"/>
        <s v="E001" u="1"/>
        <s v="C5.027" u="1"/>
        <s v="B202" u="1"/>
        <s v="B1.028" u="1"/>
        <s v="B3.027" u="1"/>
        <s v="A002" u="1"/>
        <s v="C1.017" u="1"/>
        <s v="C5.015" u="1"/>
        <s v="B1.016" u="1"/>
        <s v="B3.015" u="1"/>
        <s v="D1.006" u="1"/>
        <s v="A012" u="1"/>
        <s v="A1.015" u="1"/>
        <s v="C1.005" u="1"/>
        <s v="C3.004" u="1"/>
        <s v="C5.003" u="1"/>
        <s v="C7.002" u="1"/>
        <s v="B1.004" u="1"/>
        <s v="B3.003" u="1"/>
        <s v="A022" u="1"/>
        <s v="A1.003" u="1"/>
        <s v="A3.002" u="1"/>
        <s v="A032" u="1"/>
        <s v="A042" u="1"/>
        <s v="A052" u="1"/>
        <s v="B3.049" u="1"/>
        <s v="D202" u="1"/>
        <s v="B1.038" u="1"/>
        <s v="B3.037" u="1"/>
        <s v="C002" u="1"/>
        <s v="C5.025" u="1"/>
        <s v="B1.026" u="1"/>
        <s v="B3.025" u="1"/>
        <s v="C012" u="1"/>
        <s v="C1.015" u="1"/>
        <s v="C5.013" u="1"/>
        <s v="B1.014" u="1"/>
        <s v="B3.013" u="1"/>
        <s v="D1.004" u="1"/>
        <s v="C022" u="1"/>
        <s v="A1.013" u="1"/>
        <s v="C1.003" u="1"/>
        <s v="C3.002" u="1"/>
        <s v="C5.001" u="1"/>
        <s v="B1.002" u="1"/>
        <s v="B3.001" u="1"/>
        <s v="C032" u="1"/>
        <s v="A1.001" u="1"/>
        <s v="C042" u="1"/>
        <s v="B3.059" u="1"/>
        <s v="B1.048" u="1"/>
        <s v="B3.047" u="1"/>
        <s v="E002" u="1"/>
        <s v="C5.035" u="1"/>
        <s v="B203" u="1"/>
        <s v="B1.036" u="1"/>
        <s v="B3.035" u="1"/>
        <s v="A003" u="1"/>
        <s v="C5.023" u="1"/>
        <s v="B1.024" u="1"/>
        <s v="B3.023" u="1"/>
        <s v="A013" u="1"/>
        <s v="C1.013" u="1"/>
        <s v="C3.012" u="1"/>
        <s v="C5.011" u="1"/>
        <s v="C7.010" u="1"/>
        <s v="B1.012" u="1"/>
        <s v="B3.011" u="1"/>
        <s v="D1.002" u="1"/>
        <s v="A023" u="1"/>
        <s v="A1.011" u="1"/>
        <s v="A3.010" u="1"/>
        <s v="C1.001" u="1"/>
        <s v="A033" u="1"/>
        <s v="A043" u="1"/>
        <s v="A053" u="1"/>
        <s v="B1.058" u="1"/>
        <s v="B3.057" u="1"/>
        <s v="D203" u="1"/>
        <s v="B1.046" u="1"/>
        <s v="B3.045" u="1"/>
        <s v="C003" u="1"/>
        <s v="C5.033" u="1"/>
        <s v="B1.034" u="1"/>
        <s v="B3.033" u="1"/>
        <s v="C013" u="1"/>
        <s v="C5.021" u="1"/>
        <s v="B1.022" u="1"/>
        <s v="B3.021" u="1"/>
        <s v="C023" u="1"/>
        <s v="C1.011" u="1"/>
        <s v="C3.010" u="1"/>
        <s v="B1.010" u="1"/>
        <s v="C033" u="1"/>
        <s v="C043" u="1"/>
        <s v="B1.068" u="1"/>
        <s v="B1.056" u="1"/>
        <s v="B3.055" u="1"/>
        <s v="E003" u="1"/>
        <s v="B204" u="1"/>
        <s v="B1.044" u="1"/>
        <s v="B3.043" u="1"/>
        <s v="A004" u="1"/>
        <s v="C5.031" u="1"/>
        <s v="B1.032" u="1"/>
        <s v="B3.031" u="1"/>
        <s v="A014" u="1"/>
        <s v="B1.020" u="1"/>
        <s v="A024" u="1"/>
        <s v="A034" u="1"/>
        <s v="A044" u="1"/>
        <s v="A054" u="1"/>
        <s v="B1.078" u="1"/>
        <s v="B1.066" u="1"/>
        <s v="D204" u="1"/>
        <s v="B1.054" u="1"/>
        <s v="B3.053" u="1"/>
        <s v="C004" u="1"/>
        <s v="B1.042" u="1"/>
        <s v="B3.041" u="1"/>
        <s v="C014" u="1"/>
        <s v="B1.030" u="1"/>
        <s v="C024" u="1"/>
        <s v="C034" u="1"/>
        <s v="C044" u="1"/>
        <s v="B1.088" u="1"/>
        <s v="B1.076" u="1"/>
        <s v="B1.064" u="1"/>
        <s v="E004" u="1"/>
        <s v="B205" u="1"/>
        <s v="B1.052" u="1"/>
        <s v="B3.051" u="1"/>
        <s v="A005" u="1"/>
        <s v="B1.040" u="1"/>
        <s v="A015" u="1"/>
        <s v="A025" u="1"/>
        <s v="A035" u="1"/>
        <s v="A045" u="1"/>
        <s v="A055" u="1"/>
        <s v="B1.086" u="1"/>
        <s v="B1.074" u="1"/>
        <s v="B1.062" u="1"/>
        <s v="C005" u="1"/>
        <s v="B1.050" u="1"/>
        <s v="C015" u="1"/>
        <s v="C025" u="1"/>
        <s v="C035" u="1"/>
        <s v="C045" u="1"/>
        <s v="B1.096" u="1"/>
        <s v="B1.084" u="1"/>
        <s v="B1.072" u="1"/>
        <s v="B206" u="1"/>
        <s v="B1.060" u="1"/>
        <s v="A006" u="1"/>
        <s v="A016" u="1"/>
        <s v="A026" u="1"/>
        <s v="A036" u="1"/>
        <s v="A046" u="1"/>
        <s v="A056" u="1"/>
        <s v="B1.094" u="1"/>
        <s v="B1.082" u="1"/>
        <s v="B1.070" u="1"/>
        <s v="C006" u="1"/>
        <s v="C016" u="1"/>
        <s v="C026" u="1"/>
        <s v="C036" u="1"/>
        <s v="C046" u="1"/>
        <s v="B1.092" u="1"/>
        <s v="B1.080" u="1"/>
        <s v="B207" u="1"/>
        <s v="A007" u="1"/>
        <s v="A017" u="1"/>
        <s v="A027" u="1"/>
        <s v="A037" u="1"/>
        <s v="A047" u="1"/>
        <s v="A057" u="1"/>
        <s v="B1.090" u="1"/>
        <s v="C007" u="1"/>
        <s v="C017" u="1"/>
        <s v="C027" u="1"/>
        <s v="C037" u="1"/>
        <s v="C047" u="1"/>
        <s v="B208" u="1"/>
        <s v="A008" u="1"/>
        <s v="A018" u="1"/>
        <s v="A028" u="1"/>
        <s v="A038" u="1"/>
        <s v="A048" u="1"/>
        <s v="A058" u="1"/>
        <s v="C6.009" u="1"/>
        <s v="C8.008" u="1"/>
        <s v="D310" u="1"/>
        <s v="B4.009" u="1"/>
        <s v="A2.009" u="1"/>
        <s v="C008" u="1"/>
        <s v="C018" u="1"/>
        <s v="C028" u="1"/>
        <s v="C038" u="1"/>
        <s v="C048" u="1"/>
        <s v="C6.019" u="1"/>
        <s v="B301" u="1"/>
        <s v="B4.019" u="1"/>
        <s v="A101" u="1"/>
        <s v="C2.009" u="1"/>
        <s v="C4.008" u="1"/>
        <s v="C6.007" u="1"/>
        <s v="C8.006" u="1"/>
        <s v="B2.008" u="1"/>
        <s v="B4.007" u="1"/>
        <s v="A2.007" u="1"/>
        <s v="A009" u="1"/>
        <s v="A019" u="1"/>
        <s v="A029" u="1"/>
        <s v="A039" u="1"/>
        <s v="A049" u="1"/>
        <s v="A059" u="1"/>
        <s v="C6.029" u="1"/>
        <s v="D301" u="1"/>
        <s v="C.002" u="1"/>
        <s v="E.001" u="1"/>
        <s v="B4.029" u="1"/>
        <s v="C101" u="1"/>
        <s v="C2.019" u="1"/>
        <s v="C6.017" u="1"/>
        <s v="B2.018" u="1"/>
        <s v="B4.017" u="1"/>
        <s v="B4.109" u="1"/>
        <s v="A2.017" u="1"/>
        <s v="C2.007" u="1"/>
        <s v="C4.006" u="1"/>
        <s v="C6.005" u="1"/>
        <s v="C8.004" u="1"/>
        <s v="B2.006" u="1"/>
        <s v="B4.005" u="1"/>
        <s v="A2.005" u="1"/>
        <s v="A4.004" u="1"/>
        <s v="x" u="1"/>
        <s v="C009" u="1"/>
        <s v="C019" u="1"/>
        <s v="C029" u="1"/>
        <s v="C039" u="1"/>
        <s v="C049" u="1"/>
        <s v="C6.039" u="1"/>
        <s v="C.003" u="1"/>
        <s v="E.002" u="1"/>
        <s v="B4.039" u="1"/>
        <s v="C2.029" u="1"/>
        <s v="C6.027" u="1"/>
        <s v="B302" u="1"/>
        <s v="B2.028" u="1"/>
        <s v="B4.027" u="1"/>
        <s v="A102" u="1"/>
        <s v="C2.017" u="1"/>
        <s v="C6.015" u="1"/>
        <s v="B2.016" u="1"/>
        <s v="B2.108" u="1"/>
        <s v="B4.015" u="1"/>
        <s v="B4.107" u="1"/>
        <s v="A2.015" u="1"/>
        <s v="C2.005" u="1"/>
        <s v="C4.004" u="1"/>
        <s v="C6.003" u="1"/>
        <s v="C8.002" u="1"/>
        <s v="B2.004" u="1"/>
        <s v="B4.003" u="1"/>
        <s v="A2.003" u="1"/>
        <s v="A4.002" u="1"/>
        <s v="C6.049" u="1"/>
        <s v="C.004" u="1"/>
        <s v="E.003" u="1"/>
        <s v="B4.049" u="1"/>
        <s v="C2.039" u="1"/>
        <s v="C6.037" u="1"/>
        <s v="D302" u="1"/>
        <s v="B2.038" u="1"/>
        <s v="B4.037" u="1"/>
        <s v="C102" u="1"/>
        <s v="C2.027" u="1"/>
        <s v="C6.025" u="1"/>
        <s v="B2.026" u="1"/>
        <s v="B2.118" u="1"/>
        <s v="B4.025" u="1"/>
        <s v="C2.015" u="1"/>
        <s v="C6.013" u="1"/>
        <s v="B2.014" u="1"/>
        <s v="B2.106" u="1"/>
        <s v="B4.013" u="1"/>
        <s v="B4.105" u="1"/>
        <s v="A2.013" u="1"/>
        <s v="C2.003" u="1"/>
        <s v="C4.002" u="1"/>
        <s v="C6.001" u="1"/>
        <s v="B2.002" u="1"/>
        <s v="B4.001" u="1"/>
        <s v="A2.001" u="1"/>
        <s v="C6.059" u="1"/>
        <s v="E.004" u="1"/>
        <s v="B4.059" u="1"/>
        <s v="C6.047" u="1"/>
        <s v="B2.048" u="1"/>
        <s v="B4.047" u="1"/>
        <s v="C2.037" u="1"/>
        <s v="C6.035" u="1"/>
        <s v="B303" u="1"/>
        <s v="B2.036" u="1"/>
        <s v="B2.128" u="1"/>
        <s v="B4.035" u="1"/>
        <s v="A103" u="1"/>
        <s v="C2.025" u="1"/>
        <s v="C6.023" u="1"/>
        <s v="B2.024" u="1"/>
        <s v="B2.116" u="1"/>
        <s v="B4.023" u="1"/>
        <s v="C2.013" u="1"/>
        <s v="C6.011" u="1"/>
        <s v="B2.012" u="1"/>
        <s v="B2.104" u="1"/>
        <s v="B4.011" u="1"/>
        <s v="B4.103" u="1"/>
        <s v="A2.011" u="1"/>
        <s v="C2.001" u="1"/>
        <s v="C6.069" u="1"/>
        <s v="B4.069" u="1"/>
        <s v="C6.057" u="1"/>
        <s v="B2.058" u="1"/>
        <s v="B4.057" u="1"/>
        <s v="C6.045" u="1"/>
        <s v="D303" u="1"/>
        <s v="B2.046" u="1"/>
        <s v="B2.138" u="1"/>
        <s v="B4.045" u="1"/>
        <s v="C103" u="1"/>
        <s v="C2.035" u="1"/>
        <s v="C6.033" u="1"/>
        <s v="B2.034" u="1"/>
        <s v="B2.126" u="1"/>
        <s v="B4.033" u="1"/>
        <s v="C2.023" u="1"/>
        <s v="C6.021" u="1"/>
        <s v="B2.022" u="1"/>
        <s v="B2.114" u="1"/>
        <s v="B4.021" u="1"/>
        <s v="B4.113" u="1"/>
        <s v="C2.011" u="1"/>
        <s v="B2.010" u="1"/>
        <s v="B2.102" u="1"/>
        <s v="B4.101" u="1"/>
        <s v="C6.079" u="1"/>
        <s v="B4.079" u="1"/>
        <s v="C6.067" u="1"/>
        <s v="B2.068" u="1"/>
        <s v="B4.067" u="1"/>
        <s v="C6.055" u="1"/>
        <s v="B2.056" u="1"/>
        <s v="B2.148" u="1"/>
        <s v="B4.055" u="1"/>
        <s v="C2.045" u="1"/>
        <s v="C6.043" u="1"/>
        <s v="B304" u="1"/>
        <s v="B2.044" u="1"/>
        <s v="B2.136" u="1"/>
        <s v="B4.043" u="1"/>
        <s v="A104" u="1"/>
        <s v="C2.033" u="1"/>
        <s v="C6.031" u="1"/>
        <s v="A.040" u="1"/>
        <s v="B2.032" u="1"/>
        <s v="B2.124" u="1"/>
        <s v="B4.031" u="1"/>
        <s v="C2.021" u="1"/>
        <s v="B2.020" u="1"/>
        <s v="B2.112" u="1"/>
        <s v="B4.111" u="1"/>
        <s v="B2.100" u="1"/>
        <s v="B4.089" u="1"/>
        <s v="C6.077" u="1"/>
        <s v="B2.078" u="1"/>
        <s v="B4.077" u="1"/>
        <s v="C6.065" u="1"/>
        <s v="B2.066" u="1"/>
        <s v="B2.158" u="1"/>
        <s v="B4.065" u="1"/>
        <s v="C6.053" u="1"/>
        <s v="D304" u="1"/>
        <s v="B2.054" u="1"/>
        <s v="B2.146" u="1"/>
        <s v="B4.053" u="1"/>
        <s v="C104" u="1"/>
        <s v="C2.043" u="1"/>
        <s v="C6.041" u="1"/>
        <s v="A.041" u="1"/>
        <s v="B2.042" u="1"/>
        <s v="B2.134" u="1"/>
        <s v="B4.041" u="1"/>
        <s v="C2.031" u="1"/>
        <s v="B2.030" u="1"/>
        <s v="B2.122" u="1"/>
        <s v="B2.110" u="1"/>
        <s v="B4.099" u="1"/>
        <s v="B2.088" u="1"/>
        <s v="B4.087" u="1"/>
        <s v="C6.075" u="1"/>
        <s v="B2.076" u="1"/>
        <s v="B2.168" u="1"/>
        <s v="B4.075" u="1"/>
        <s v="C6.063" u="1"/>
        <s v="B2.064" u="1"/>
        <s v="B2.156" u="1"/>
        <s v="B4.063" u="1"/>
        <s v="C6.051" u="1"/>
        <s v="A.042" u="1"/>
        <s v="B2.052" u="1"/>
        <s v="B2.144" u="1"/>
        <s v="B4.051" u="1"/>
        <s v="A105" u="1"/>
        <s v="C2.041" u="1"/>
        <s v="B2.040" u="1"/>
        <s v="B2.132" u="1"/>
        <s v="B2.120" u="1"/>
        <s v="B2.098" u="1"/>
        <s v="B4.097" u="1"/>
        <s v="C6.085" u="1"/>
        <s v="B2.086" u="1"/>
        <s v="B4.085" u="1"/>
        <s v="C6.073" u="1"/>
        <s v="B2.074" u="1"/>
        <s v="B2.166" u="1"/>
        <s v="B4.073" u="1"/>
        <s v="C6.061" u="1"/>
        <s v="B2.062" u="1"/>
        <s v="B2.154" u="1"/>
        <s v="B4.061" u="1"/>
        <s v="C105" u="1"/>
        <s v="B2.050" u="1"/>
        <s v="B2.142" u="1"/>
        <s v="C115" u="1"/>
        <s v="B2.130" u="1"/>
        <s v="B2.096" u="1"/>
        <s v="B4.095" u="1"/>
        <s v="C6.083" u="1"/>
        <s v="B2.084" u="1"/>
        <s v="B2.176" u="1"/>
        <s v="B4.083" u="1"/>
        <s v="C6.071" u="1"/>
        <s v="B2.072" u="1"/>
        <s v="B2.164" u="1"/>
        <s v="B4.071" u="1"/>
        <s v="B2.060" u="1"/>
        <s v="B2.152" u="1"/>
        <s v="B2.140" u="1"/>
        <s v="A.037" u="1"/>
        <s v="B2.094" u="1"/>
        <s v="B4.093" u="1"/>
        <s v="C6.081" u="1"/>
        <s v="B2.082" u="1"/>
        <s v="B2.174" u="1"/>
        <s v="B4.081" u="1"/>
        <s v="B2.070" u="1"/>
        <s v="B2.162" u="1"/>
        <s v="B2.150" u="1"/>
        <s v="C116" u="1"/>
        <s v="A40" u="1"/>
        <s v="A.038" u="1"/>
        <s v="B2.092" u="1"/>
        <s v="B4.091" u="1"/>
        <s v="B2.080" u="1"/>
        <s v="B2.172" u="1"/>
        <s v="B2.160" u="1"/>
        <s v="-" u="1"/>
        <s v="A.039" u="1"/>
        <s v="B2.090" u="1"/>
        <s v="B2.170" u="1"/>
        <s v="C117" u="1"/>
        <s v="C7.009" u="1"/>
        <s v="C210" u="1"/>
        <s v="A3.009" u="1"/>
        <s v="B010" u="1"/>
        <s v="B020" u="1"/>
        <s v="B030" u="1"/>
        <s v="B040" u="1"/>
        <s v="B050" u="1"/>
        <s v="B060" u="1"/>
        <s v="B070" u="1"/>
        <s v="B080" u="1"/>
        <s v="B090" u="1"/>
        <s v="B401" u="1"/>
        <s v="A201" u="1"/>
        <s v="C3.009" u="1"/>
        <s v="C5.008" u="1"/>
        <s v="C7.007" u="1"/>
        <s v="D010" u="1"/>
        <s v="B1.009" u="1"/>
        <s v="B3.008" u="1"/>
        <s v="A1.008" u="1"/>
        <s v="A3.007" u="1"/>
        <s v="D401" u="1"/>
        <s v="C201" u="1"/>
        <s v="C5.018" u="1"/>
        <s v="B001" u="1"/>
        <s v="B1.019" u="1"/>
        <s v="B3.018" u="1"/>
        <s v="A1.018" u="1"/>
        <s v="C1.008" u="1"/>
        <s v="C3.007" u="1"/>
        <s v="C5.006" u="1"/>
        <s v="C7.005" u="1"/>
        <s v="B011" u="1"/>
        <s v="B1.007" u="1"/>
        <s v="B3.006" u="1"/>
        <s v="A1.006" u="1"/>
        <s v="A3.005" u="1"/>
        <s v="B021" u="1"/>
        <s v="B031" u="1"/>
        <s v="B041" u="1"/>
        <s v="B051" u="1"/>
        <s v="B061" u="1"/>
        <s v="B071" u="1"/>
        <s v="B081" u="1"/>
        <s v="B091" u="1"/>
        <s v="C5.028" u="1"/>
        <s v="D001" u="1"/>
        <s v="B1.029" u="1"/>
        <s v="B3.028" u="1"/>
        <s v="A202" u="1"/>
        <s v="C1.018" u="1"/>
        <s v="C5.016" u="1"/>
        <s v="D011" u="1"/>
        <s v="B1.017" u="1"/>
        <s v="B3.016" u="1"/>
        <s v="A1.016" u="1"/>
        <s v="C1.006" u="1"/>
        <s v="C3.005" u="1"/>
        <s v="C5.004" u="1"/>
        <s v="C7.003" u="1"/>
        <s v="B1.005" u="1"/>
        <s v="B3.004" u="1"/>
        <s v="A1.004" u="1"/>
        <s v="A3.003" u="1"/>
        <s v="B1.039" u="1"/>
        <s v="B3.038" u="1"/>
        <s v="C202" u="1"/>
        <s v="C5.026" u="1"/>
        <s v="B002" u="1"/>
        <s v="B1.027" u="1"/>
        <s v="B3.026" u="1"/>
        <s v="C1.016" u="1"/>
        <s v="C5.014" u="1"/>
        <s v="B012" u="1"/>
        <s v="B1.015" u="1"/>
        <s v="B3.014" u="1"/>
        <s v="D1.005" u="1"/>
        <s v="A1.014" u="1"/>
        <s v="C1.004" u="1"/>
        <s v="C3.003" u="1"/>
        <s v="C5.002" u="1"/>
        <s v="C7.001" u="1"/>
        <s v="B022" u="1"/>
        <s v="B1.003" u="1"/>
        <s v="B3.002" u="1"/>
        <s v="A1.002" u="1"/>
        <s v="A3.001" u="1"/>
        <s v="B032" u="1"/>
        <s v="B042" u="1"/>
        <s v="B052" u="1"/>
        <s v="B062" u="1"/>
        <s v="B072" u="1"/>
        <s v="B082" u="1"/>
        <s v="B092" u="1"/>
        <s v="B1.049" u="1"/>
        <s v="B3.048" u="1"/>
        <s v="D002" u="1"/>
        <s v="B1.037" u="1"/>
        <s v="B3.036" u="1"/>
        <s v="C5.024" u="1"/>
        <s v="D012" u="1"/>
        <s v="B1.025" u="1"/>
        <s v="B3.024" u="1"/>
        <s v="C1.014" u="1"/>
        <s v="C5.012" u="1"/>
        <s v="B1.013" u="1"/>
        <s v="B3.012" u="1"/>
        <s v="D1.003" u="1"/>
        <s v="A1.012" u="1"/>
        <s v="A3.011" u="1"/>
        <s v="C1.002" u="1"/>
        <s v="C3.001" u="1"/>
        <s v="B1.001" u="1"/>
        <s v="B1.059" u="1"/>
        <s v="B3.058" u="1"/>
        <s v="B1.047" u="1"/>
        <s v="B3.046" u="1"/>
        <s v="C203" u="1"/>
        <s v="C5.034" u="1"/>
        <s v="B003" u="1"/>
        <s v="B1.035" u="1"/>
        <s v="B3.034" u="1"/>
        <s v="C5.022" u="1"/>
        <s v="B013" u="1"/>
        <s v="B1.023" u="1"/>
        <s v="B3.022" u="1"/>
        <s v="C1.012" u="1"/>
        <s v="C3.011" u="1"/>
        <s v="C5.010" u="1"/>
        <s v="B023" u="1"/>
        <s v="B1.011" u="1"/>
        <s v="B3.010" u="1"/>
        <s v="D1.001" u="1"/>
        <s v="A1.010" u="1"/>
        <s v="B033" u="1"/>
        <s v="B043" u="1"/>
        <s v="B053" u="1"/>
        <s v="B063" u="1"/>
        <s v="B073" u="1"/>
        <s v="B083" u="1"/>
        <s v="B093" u="1"/>
        <s v="B1.069" u="1"/>
        <s v="B1.057" u="1"/>
        <s v="B3.056" u="1"/>
        <s v="D003" u="1"/>
        <s v="B1.045" u="1"/>
        <s v="B3.044" u="1"/>
        <s v="C5.032" u="1"/>
        <s v="D013" u="1"/>
        <s v="B1.033" u="1"/>
        <s v="B3.032" u="1"/>
        <s v="C5.020" u="1"/>
        <s v="B1.021" u="1"/>
        <s v="B3.020" u="1"/>
        <s v="C1.010" u="1"/>
      </sharedItems>
    </cacheField>
    <cacheField name="DESCRIPTION" numFmtId="0">
      <sharedItems containsBlank="1" count="1505" longText="1">
        <s v="A: GENERAL &amp; PRELIMINARIES"/>
        <s v="PERFORMANCE BOND"/>
        <s v="Allow costs for the Performance Bond. (This cost will be deducted upon opting for the performance guarantee sum)."/>
        <s v="INSURANCES"/>
        <s v="Allow cost for the Contractor's All Risk and Third Party/ Public Liability Insurance. (Note : Insurance shall cover the total contract sum and throughout the construction period including the Defect Liability  Period)."/>
        <s v="Allow cost for the Workmen's Compensation Insurance. (Note : Insurance shall cover throughout the construction period including the Defect Liability Period)"/>
        <s v="CIDB LEVY"/>
        <s v="Allow cost for the Construction Industry Development Board (CIDB) Levy."/>
        <s v="SOCSO CONTRIBUTION"/>
        <s v="Allow cost for contribution to SOCSO."/>
        <s v="MOBILIZATION AND DEMOBILIZATION"/>
        <s v="Allow cost for mobilisation of Contractor's plant including transport to Site and removal on completion of the Works."/>
        <s v="CONTRACTOR'S SITE OFFICE"/>
        <s v="Provide and maintain temporary site office, workmen accommodation, temporary buildings, temporary water supply, temporary electricity, temporary sanitation and stores to be used by the Contractor and subsequent removal on completion of the Works for the whole sites."/>
        <s v="Provide and maintain temporary cabin storage (standard size 20 foot) to be used by the Contractor and subsequent removal on completion of the Works for the whole sites."/>
        <s v="PROJECT SIGNBOARD"/>
        <s v="Provide and maintain for one (1) nos of project signboards as per C.A. requirement and to be removed upon completion of the project ."/>
        <s v="SITE REQUIREMENT"/>
        <s v="Allow cost to maintain the works being kept clear of water in all situation including but not limited to the dewatering of the trenches and during the testing and commissioning of the pipe lines."/>
        <s v="Provide and maintain the temporary and existing access roads to the Site for the duration of the Contract.  Rate to include the reinstatement to the original condition on the completions of the Works."/>
        <s v="Allow cost to maintain the cleanliness of the working area including the ongoing housekeeping, water spraying to reduce the dust mainly on the main road, etc to the requirement of the Authorities. Clearing up the Site as directed during the progress and upon completion of the Works."/>
        <s v="Allow for Dilapidated Survey and Report including the provision of all necessary equipment, materials, licensed surveyor and labour as specified."/>
        <s v="Allow for all setting out of work inclusive of licensed surveyor and labour as specified."/>
        <s v="SITE AGENT"/>
        <s v="Provide full time, qualified and experienced engineer as the Site Agent to the approval of the C.A."/>
        <s v="EQUIPMENT FOR USE BY THE C.A / ENGINEER"/>
        <s v="Provide C.A's temporary  &amp; maintain site office to be used during construction period, temporary water supply, temporary electricity, temporary sanitation, telephone system &amp; internet services and rental &amp; maintain of the internet services complying to C.A requirements. The location of the site office subjected to C.A approval."/>
        <s v="Provide One (1) sets of the smart phone (maximum of RM1,500/unit) for the use of C.A or his authorized representatives and pay for the bills (to the maximum of RM250.00 per month per user) and provision for all the charges and deposit required by the telecommunication companies, taxes etc. and maintain them in good working condition throughout the Contract period and to be reverted to the Contractor after the issuance of the Certificate of Making Good Defects (CMGD)."/>
        <s v="Allow cost for liaison with Authorities for permit application and working within road / existing utilities reserve to meet the requirement of Road / Utilities Authorities (Jabatan Hutan, MBAJ, TNB, LUAS, CGSO etc.). All related cost including application fees and mandatory charges shall be borne by Contractor."/>
        <s v="To provide materials, tools and skilful personnel to conduct training on the equipment/works/system under this contract for C.A Personnel's. The training shall include technical and practical training consisting of class theory, physical on-site operation and maintenance training inclusive trouble shooting of the equipment and complete system. The work shall include training program and schedule."/>
        <s v="PROGRAMMES, DRAWINGS AND DOCUMENTS"/>
        <s v="Provide, prepare and submit the As-Built Drawings as per requirement of C.A. All as-built drawings shall be certified and duty stamped by PE prior to submission. It shall be in Two (2) Sets of A1 size paper, Three (3) Sets of A3 size paper with hard cover binding and Four (4) sets in CD/DVD for drawings in AutoCAD 2010 softcopy format (dwg) and pdf format."/>
        <s v="Supply 4 sets of Final Operations and Maintenance (O&amp;M) (The hard copy O&amp;M shall in hardcover binding and to follow Air Selangor Template and soft copy O&amp;M shall be in CD)."/>
        <s v="Provide, prepare and submit four (4) sets of official documentation for submission &amp; approval in hardcopy (hard cover binded with glossy coloured cover) and one (1) set of softcopy (pdf) in CD/DVD for shop drawings, calculation, catalogues, method statements, test procedures, test certificates, factory inspection reports, site test reports, work programme (ghant chart),  etc. c/w PE certification as per requirement of C.A."/>
        <s v="Provide four (4) sets colour copies of monthly progress report and monthly Health &amp; Safety Report printed in suitably bound album for the duration of contract."/>
        <s v="Allow cost for the preparation of contract documentation, binding in hardcover and stamping comprising of One (1) No. of Original, One (1) No. of Duplicate and Five (5) Nos. of Copy."/>
        <s v="HEALTH AND SAFETY PRECAUTIONS"/>
        <s v="Note: The Contractor shall refer to Appendix A for further details and explanations."/>
        <s v="Generals"/>
        <s v="Niosh Safety Passport Courses"/>
        <s v="Working at Height"/>
        <s v="Excavation c/w shoring (If required)"/>
        <s v="Provide Personal Protective Equipment (PPE) for C.A.'s site office which include three (3) safety boots, and three (3) safety helmets."/>
        <s v="The Contractor shall provide and maintain all necessary Personal Protective Equipment (PPE) inclusive safety helmets, rubber boots, safety shoes etc. for all site staffs and workers to be worn at all time throughout the construction period."/>
        <s v="To provide full time, qualified and experienced Site Safety Supervisor as required by the Department of Safety and Health (DOSH) to the approval of the C.A. for each location required in this package."/>
        <s v="TESTING &amp; COMMISSIONING (T&amp;C)"/>
        <s v="Testing and Commissioning upon completion of the works."/>
        <s v="FACTORY ACCEPTANCE TEST (FAT)"/>
        <s v="Factory Acceptance Test at the manufacturer before deliver to site and witness by CA representative and consultant feeder pillar."/>
        <s v="Factory Acceptance Test at the manufacturer before deliver to site and witness by CA representative and consultant for switchboard"/>
        <s v="Factory Acceptance Test at the manufacturer before deliver to site and witness by CA representative and consultant for lighting pole and etc."/>
        <s v="HALF YEARLY SERVICE DURING DLP"/>
        <s v="Provide and maintain the works during Defect Liability Period (24months) and inspection half yearly service inclusive replacement of defect parts."/>
        <s v="B: ELECTRICAL WORKS"/>
        <s v="Notes:_x000a_a)   The rate for all items here in shall be inclusive of supply, delivery and installation of complete item, setting to work, testing &amp; commissioning where required. Also where replaced indicated it shall include dismantling of the existing._x000a_b)   Please include submission of product catalogue and detail technical specification and other necessary item._x000a_c)   The rate also shall include preparation and submission of shop drawings for C.A approval before commencement  of the works._x000a_d)  All quantities given are PROVISIONAL. The actual quantities installed shall be measured on site after completion and prices adjusted accordingly."/>
        <s v="DISMANTLING WORKS"/>
        <s v="Allow provision to disconnect and dismantle of existing poles, lanterns and cables at the Dam area and deliver to the approved CA storage. Rate shall include materials, equipment, labour and skills required for welding, hacking, cutting and making good of all existing structure upon completion. "/>
        <s v="Terminate/dismantle the existing DB/SL and deliver to the approved CA storage."/>
        <s v="SUB-MAIN BOARD/ DISTRIBUTION BOARD"/>
        <s v="Fabricate, supply, deliver, install and testing &amp; commissioning of the following in accordance to the drawings and specification"/>
        <s v="Inspection of existing MSB c/w modification/upgrading inclusive of supply and install new 63A TPN MCCB for the new feeder pillar (FP/1) and (DB/SL)"/>
        <s v="63A TPN metalclad new distribution board  (DB/SL) c/w 63A TPN MCCB, 32A MCB, RCCB, SPD, timer (24hours spring reserve), cable termination and all other accessories"/>
        <s v="FEEDER PILLAR"/>
        <s v="63A TPN metalclad epoxy Feeder Pillar (IP56) electro-galvanized sheet steel with minimum thickness of 2mm inclusive of MCCBs, RCCBs, SPD, Timer with 24 hours spring reserve, switch socket outlet, 1 x 18W corrosive resistant fluorescent fitting, copper busbar and others accessories  painted with paint as C.A. requirement."/>
        <s v="Heat shrinkable termination for all cables &quot;IN&quot; and &quot;OUT&quot; as per drawing and specification. "/>
        <s v="Concrete plinth complete with sufficient opening for incoming/outgoing cabling"/>
        <s v="Supply and install of complete solid earthing system (≤ 5 ohm) using 25mm x 3mm copper tape, 5/8&quot;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
        <s v="MAIN/SUB-MAIN CABLING WORKS"/>
        <s v="Contractor shall fabricate, supply, deliver, cable pulling, testing and commissioning including cable termination, support or excavation, trenching, sand bedding, cable protection cover (orange) &amp; backfilling, compaction, markers, draw wire, disposal of surplus material and making good of site surface."/>
        <s v="4C x 35mm² XLPE/SWA/PVC Copper Cable direct buried underground c/w termination &amp; accessories from MSB to new F/P (Compound Lighting)"/>
        <s v=" 4C x 25mm² XLPE/PVC Copper Cable laying on tray/trunking from existing MSB to DB/SL c/w termination and cable accessories"/>
        <s v="100mm (W) cable tray c/w bracket support &amp; accessories (to DB/SL)"/>
        <s v="4C x 25mm² XLPE/SWA/PVC Copper Cable direct buried underground from new F/P to lighting poles c/w termination and cable accessories at services box"/>
        <s v="4C x 16mm² PVC/SWA/PVC Copper Cable direct buried underground from new F/P to lighting poles c/w termination and cable accessories at services box"/>
        <s v="4C x 10mm² PVC/SWA/PVC Copper Cable on tray from new F/P &amp; DB/SL to lighting poles c/w termination at and cable accessories services box "/>
        <s v="4C x 10mm² PVC/SWA/PVC Copper Cable on tray from new DB/SL to lighting poles c/w termination and cable accessories at services box (Bridge Draw Off)"/>
        <s v="100mm (W) cable tray c/w bracket support &amp; accessories (at Bridge Draw Off)"/>
        <s v="100mm dia. GI pipe Class B for road crossing inclusive excavation, backfill, compaction and make good the surface as per existing"/>
        <s v="LIGHTING POLE"/>
        <s v="Fabricate, Supply, Deliver and Install the following as per  client requirement, specification and drawings"/>
        <s v="10m height mid hinged column (fordable) hot-dipped galvanised lighting pole (flanged mounted type) c/w bracket for floodlights, mounting board, flush top hinged service door , door stiffener, junction box IP54 c/w terminal block loop-in and loop-out box connection cables, heat shrinkable termination and holder, fuses and internal wiring using 2.5mm2 PVC/PVC and pole numbering sticker.    "/>
        <s v="8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At Main Road)"/>
        <s v="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At Dam Road)"/>
        <s v="3m height hot-dipped galvanised lighting pole (flanged mounted type) c/w short arm bracket for luminaire, mounting board, flush top hinged service door , door stiffener, junction box IP54 c/w terminal block loop-in and loop-out box connection cables, heat shrinkable termination and holder, fuses and internal wiring using 2.5mm2 PVC/PVC and pole numbering sticker. (To Gauge House)    "/>
        <s v="2m height hot-dipped galvanised lighting pole (flanged mounted type) c/w short arm bracket for luminaire, mounting board, flush top hinged service door , door stiffener, junction box IP54 c/w terminal block loop-in and loop-out box connection cables, heat shrinkable termination and holder, fuses and internal wiring using 2.5mm2 PVC/PVC and pole numbering sticker. (Draw-Off bridge)    "/>
        <s v="Precast concrete footing c/w anchor bolt for mounting of flange mounted column."/>
        <s v="External surge protection 20kA at junction box lighting pole"/>
        <s v="STREET/COMPOUND LANTERN"/>
        <s v="Fabricate, supply, deliver, install and testing &amp; commissioning of the following as per specification &amp; requirement"/>
        <s v="Street lighting luminaire 50W NW LED, asymmetric medium, IP 66 c/w clear &amp; hardened glass protector, die-cast aluminium housing and corrosion resistant polyester powder painted, surge protection device, built-in driver with pf&gt;0.95 and termination. (Bridge Draw Off and Gauge House)"/>
        <s v="Street lighting luminaire 150W NW LED, asymmetric medium, IP 66 c/w clear &amp; hardened glass protector, die-cast aluminium housing and corrosion resistant polyester powder painted, surge protection device, built-in driver with pf&gt;0.95 and termination."/>
        <s v="Floodlight 200W NW LED, asymmetric medium, IP 66 c/w smooth reflector &amp; thermal hardened glass diffuser, die-cast aluminium housing and corrosion resistant polyester powder painted, surge protection device, built-in driver with pf&gt;0.95, bracket support and termination. (mounting at Bridge)"/>
        <s v="Floodlight 200W NW LED, asymmetric medium, IP 66 c/w smooth reflector &amp; thermal hardened glass diffuser, die-cast aluminium housing and corrosion resistant polyester powder painted, surge protection device, built-in driver with pf&gt;0.95, bracket support and termination. (mounting at 10m (H) pole)"/>
        <s v="20A 3phase Isolator On/Off light switch &amp; weatherproof IP65"/>
        <s v="Weatherproof Junction box IP65 c/w accessories"/>
        <s v="SPARE PARTS"/>
        <s v="150NW LED street light lantern (IP66)"/>
        <s v="50NW LED street light lantern (IP66)"/>
        <s v="Surge Protection Device 20kA for pole lighting"/>
        <s v="200W NW Floodlight (IP66)"/>
        <s v="C: PROVISIONAL SUM"/>
        <s v="Notes:-_x000a_All provision sums are to be expended at the discretion and direction of C.A or deducted in whole or in part if not required"/>
        <s v="To provide provision sum of Ringgit Malaysia Fifteen Thousand Only (RM15,000) for underground Utility Detection Mapping to be carried out at Sg Langat Dam"/>
        <s v="Provide full time, qualified and experienced Site Safety Supervisor as required by Department of Occupational Safety and Health (DOSH) to the approval of the C.A." u="1"/>
        <m u="1"/>
        <s v="ENGINE INSTRUMENT / ALARM PANEL NO.1" u="1"/>
        <s v="MAINTENANCE PLATFORM" u="1"/>
        <s v="Fabricate, supply, deliver, install and testing &amp; commissioning of the following in accordance to the drawings and specification_x000a_" u="1"/>
        <s v="Upgrading and Modification Works" u="1"/>
        <s v="To make good any damage during construction stage including hacked wall, floor area, reinstatement of chamber, damage road / surface / equipment / system, to the satisfaction of C.A / C.A.R" u="1"/>
        <s v="Existing Store" u="1"/>
        <s v="Cabling from existing Intake Station Subswitchboard Panel to overhead crane using 2.5 sq. mm/4C PVC/SWA/PVC cable inclusive of cable trunking, supports etc" u="1"/>
        <s v="Supply, deliver, install, testing and commissioning Individual remote start/stop/emergency stop pushbutton stations pole mounted c/w control cabling and earthing as per Specifications and Drawings for Treated Water Pump (For Pump Asset ID : 100856302181)" u="1"/>
        <s v="Grade: C25" u="1"/>
        <s v="Surge analysis and assessment on pumping system complete with report and submission of the reports shall endorsed by qualified Professional Engineer (P.E)" u="1"/>
        <s v="General arrangement, construction, installation, layout and other detailed mechanical drawings. " u="1"/>
        <s v="Spot turfing to flat areas" u="1"/>
        <s v="Roof concrete slab c/w plastering, painting and others related works." u="1"/>
        <s v="600 mm DN plain and flanged ended mild steel pipe, 1825mm long with puddle flange from flange end.  Detail of puddle flange shall be as shown in Drawing." u="1"/>
        <s v="600 mm DN plain and flanged ended mild steel pipe, 2160mm long with puddle flange from flange end.  Detail of puddle flange shall be as shown in Drawing." u="1"/>
        <s v="In earth for 450mm DN pipe, 3.0m - 4.0m" u="1"/>
        <s v="In earth for 600mm DN pipe, 3.0m - 4.0m" u="1"/>
        <s v="MISCELLANEOUS METALWORK" u="1"/>
        <s v="To attend and complete full day training course of Air Selangor NIOSH Safety Passport Course for all employees or worker of the contractor and sub-contractor who are required to work at site (s). To obtain the Air Selangor Contractor's Safety Induction Card after completion of training course. To ensure that all employees and workers who are engaged for work at site (s) to have valid Air Selangor Contractor's Safety Induction card issued by Air Selangor. Card shall be displayed at all times when working at the Site  and/or the any Air Selangor premise" u="1"/>
        <s v="32A SPN metalclad distribution board  c/w 32A SPN MCB, 10A/20A MCB, RCCB, SPD &amp; cable termination - DB/GH" u="1"/>
        <s v="Existing DB/Surau - 4C x 10mm² PVC/SWA/PVC Copper Cable laid in Tray/Trunking from MSB (Treatment Plant) " u="1"/>
        <s v="Power Cabling Works" u="1"/>
        <s v="Low Voltage Cables (1000V)_x000a_To supply and install new c/w termination work using XLPE/SWA/PVC (1kV) Cooper cable laid in trenches c/w accessories From 415V MSB/MCC to AMF Panel (House Alternator) by using 1 No. 4C x 120sq. mm c/w 25mm x 3mm tinned earting copper tape." u="1"/>
        <s v="To demolish existing and construct sufficient new trust block for discharge piping." u="1"/>
        <s v="Reinforced concrete to plinth" u="1"/>
        <s v="2C x 10mm² PVC/SWA/PVC Copper Cable direct buried underground from MSB to DB/GH (Guard House) c/w termination and cable accessories" u="1"/>
        <s v="Grade C20" u="1"/>
        <s v="Site Clearance" u="1"/>
        <s v="PART B1 : (C&amp;S) STEEL STAIRCASE " u="1"/>
        <s v="To allow servicing work and make good including cleaning, tightening and test of the following interconnecting signal and power cable from location to destination terminal for Instrumentation and Sensors under (Exhaust Gas Pyrometer Temperature Transmitter)._x000a_" u="1"/>
        <s v="Testing and Commisioning" u="1"/>
        <s v="Supply and install power cable from SSB-SCM to Sampling Pump comprising of 1 No. x 10 sqmm 3C PVC/SWA/PVC Copper Cable laid in trenches and cable tray" u="1"/>
        <s v="6 mm thick galvanised mild steel chequered plates. Rates shall include all galvanised mild steel angle seats, lifting slots, frames, all necessary supporting channels and brackets as shown in the Drawings." u="1"/>
        <s v="External Protection of exposed surfaces" u="1"/>
        <s v="Inspect and test the existing pipework and fittings and carry out the necessary service, repair, make good, tightened and strengthened with necessary brackets and supports to efficient working condition (Rate shall include supply the suitable pipe/fittings and cart away existing pipe/fittings to a approved location by C.A whichever needed) as detailed in the Specifications and Drawings. Contractor shall submit the inspection report and obtain approval from C.A before carry out the necessary refurbishment work." u="1"/>
        <s v="Dismantling of existing screw feeder and its ancillaries at the existing lime silo and  cart away to a designated area as instructed by the C.A. (Rate shall include shift and transport to an approved location)" u="1"/>
        <s v="Supply and install of complete solid earthing system (≤ 3 ohm) using 25mm x 3mm copper tape, 5/8&quot;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 u="1"/>
        <s v="150 mm x 75 mm x 19.3 kg/m galvanized mild steel universal vertical members to Grade 43A, BS 4360 (Rectangular Hollow Sections)" u="1"/>
        <s v="Allow cost for programming works, fine tuning until stability is achieved" u="1"/>
        <s v="Allow cost for Workmen Compensation Insurance. (Note: Insurance shall cover the total contract sum and throughout construction period including DLP)." u="1"/>
        <s v=" 3 gang 1 way 10A switch" u="1"/>
        <s v="Excavation in cut, drain and make good complete to S.O approval" u="1"/>
        <s v="Supply and install power cable from  SSB-FG to Wash Water Valve Actuator (AV1-3) comprising of 1 No. x 6 sqmm 4C PVC/SWA/PVC Copper Cable laid in trenches and cable tray" u="1"/>
        <s v="Supply and install power cable from  SSB-FG to Wash Water Valve Actuator (AV2-3) comprising of 1 No. x 6 sqmm 4C PVC/SWA/PVC Copper Cable laid in trenches and cable tray" u="1"/>
        <s v="Supply and install power cable from  SSB-FG to Wash Water Valve Actuator (AV3-3) comprising of 1 No. x 6 sqmm 4C PVC/SWA/PVC Copper Cable laid in trenches and cable tray" u="1"/>
        <s v="Supply and install power cable from  SSB-FG to Wash Water Valve Actuator (AV4-3) comprising of 1 No. x 6 sqmm 4C PVC/SWA/PVC Copper Cable laid in trenches and cable tray" u="1"/>
        <s v="Supply and install power cable from  SSB-FG to Wash Water Valve Actuator (AV5-3) comprising of 1 No. x 6 sqmm 4C PVC/SWA/PVC Copper Cable laid in trenches and cable tray" u="1"/>
        <s v="Supply and install power cable from  SSB-FG to Wash Water Valve Actuator (AV6-3) comprising of 1 No. x 6 sqmm 4C PVC/SWA/PVC Copper Cable laid in trenches and cable tray" u="1"/>
        <s v="Supply and install power cable from  SSB-FG to Wash Water Valve Actuator (AV7-3) comprising of 1 No. x 6 sqmm 4C PVC/SWA/PVC Copper Cable laid in trenches and cable tray" u="1"/>
        <s v="Supply and install power cable from  SSB-FG to Wash Water Valve Actuator (AV8-3) comprising of 1 No. x 6 sqmm 4C PVC/SWA/PVC Copper Cable laid in trenches and cable tray" u="1"/>
        <s v="Supply and install redundant lime slurry delivery pipe work including bend &amp; fitting complete with flushing as per drawing" u="1"/>
        <s v="4C x 10mm² PVC/SWA/PVC Copper Cable direct buried underground from MSB to Transfer pump panel c/w termination and cable accessories" u="1"/>
        <s v="Nominal diameter 10mm" u="1"/>
        <s v="Contractor shall supply, delivery, cable pulling, testing and commissioning including cable termination, support, lay cable pole to pole (on air) and to ensure to disposal of surplus material and making good of site surface (if any damage done)." u="1"/>
        <s v="PART B2 : (Mechanical) PENSTOCK &amp; VALVES REPLACEMENT" u="1"/>
        <s v="To provide equipment's label and tagging for all equipment under this contract." u="1"/>
        <s v="To comply with the latest requirement imposed by KKM + MKN + AIS + MOW + MITI for Standard Operation Procedure (SOP) for working during COVID-19 pandemic or other." u="1"/>
        <s v="Inspect and test the existing dehumidifier and carry out the necessary service, repair, make good, tightened and strength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Provision of three (3) units mobile phones for C.A Representative" u="1"/>
        <s v="Provide Personal Protective Equipment (PPE) for C.A.'s site office which include three (3) safety boots, and three (3) safety helmets. " u="1"/>
        <s v="DRAINAGE PUMP/ SUMP PUMP_x000a_To dismantle existing and install new Drainage Pump / Sump Pump 400W / 0.5Hp, (230 l/min), head 13 meter, single phase c/w others necessary fitting and accessories to complete installation as per existing operation, drawing and specifications." u="1"/>
        <s v="Testing and Commissioning upon completion of perimeter lighting works at Bukit Nanas WTP." u="1"/>
        <s v="Provide one (1) unit of new project vehicle fuel efficient, highest variant, automatic transmission, project vehicle as per specification complete with all accessories, monthly touch &amp; go, smart tag, insurance, road tax, monthly petrol card, services and maintenance, washing, parking at office, etc for CA / CAR and his representatives throughout the contract period. " u="1"/>
        <s v="b) Water" u="1"/>
        <s v="SCADA and Instrumentation Panel. (test at local assembly plant is acceptable)." u="1"/>
        <s v="CIVIL WORKS FOR CONTROL ROOM" u="1"/>
        <s v="Allow cost for Workmen Compensation Insurance._x000a_Note : Insurance shall cover throughout construction period including Defect Liability" u="1"/>
        <s v="Monthly progress report  in four (4) sets including dated progress coloured photographs throughout the duration of the contract as per specification." u="1"/>
        <s v="Allow cost for Insurance of Works which include Public Liability Insurance and Workmen Compensation Insurance)               (Note : Insurance shall be to cover the total contract sum and throughout construction period including DLP" u="1"/>
        <s v="MEDIUM VOLTAGE CABLE (11kV) _x000a_To supply and install new of 1 No. 3C x 400sq.mm XLPE/SWA/PVC (11kV) copper cable laid in trenches c/w 25mm x 6mm tinned earthing copper tape and accessories from 6.6kV GIS Switchgear Feeder to 6.6kV switchgear Raw Water Intake S/Room at existing Raw Water Intake Plant for Feeder No.1 including 6 core fibre optic cable single mode." u="1"/>
        <s v="The drilled gap to be filled with HIT-RE Injection adhesive_x000a_or equivalent to manufacturer details" u="1"/>
        <s v="The drilled gap to be filled with HIT-RE Injection adhesive or equivalent to manufacturer details" u="1"/>
        <s v="Disconnect and dismantle of existing Main Isolator Board at the Sub Switchboard and deliver to the approved location directed by C.A" u="1"/>
        <s v="Excavation" u="1"/>
        <s v="To supply and install new Uninterruptible Power Supply for the master station and its ancillary equipment at the Master Station at Control Room including inverter, converter, charger, batteries, battery rack, interwiring, power cabling to UPS, DB and master station equipment, etc." u="1"/>
        <s v="To provide adequately the requirements of working in heigh  inclusive competent persons, personal protection equipment's (PPEs), apparatus, equipment's, signage's, training, procedures, requirement, documentation and  health requirement which in compliance with requirement of all relevant authorities and regulations, and Air Selangor.   " u="1"/>
        <s v="Supply temporary support or platform during construction. " u="1"/>
        <s v="Structures" u="1"/>
        <s v="Supply, deliver, install, testing and commissioning Individual remote start/stop/emergency stop pushbutton stations pole mounted c/w control cabling and earthing as per Specifications and Drawings for Treated Water Pump (For Pump Asset ID : 272277320544)" u="1"/>
        <s v="GIS Termination Work the cable Bill B076, B077, &amp; B78 c/w with all accessories compliant to the manufacturer requirement and specification to complete operation and installation." u="1"/>
        <s v="Reinforced concrete" u="1"/>
        <s v="PROTECTIVE COVER FOR  DEHUMIDIFIER AT LIME SILO" u="1"/>
        <s v="4C x 10mm² PVC/SWA/PVC Copper Cable from new DB/SL to lighting poles c/w termination and cable accessories at services box" u="1"/>
        <s v="Contractor to take care of the existing plant as per Specification Clause 1.2.9" u="1"/>
        <s v="Portable valve exerciser up to 900Nm torque (min) c/w rechargeable battery, support frame and all ancillary equipment." u="1"/>
        <s v="Dismantling of existing load cell system, and its ancillaries at the existing lime silo building and  cart away to a designated area as instructed by the C.A. (Rate shall include shift and lifting the silo during replacement of existing load cell and transport to an approved location)" u="1"/>
        <s v="4 pole Test point" u="1"/>
        <s v="13 A Flush mounted switched socket outlet laid from existing DB in Electrical Room by using 3 nos 1C x 2.5sq.mm PVC  cable in conduit c/w conduits, etc." u="1"/>
        <s v="To provide adequately the requirements of working in height inclusive personal protection equipment (PPEs), apparatus, equipment, signages, training, procedures, documentation and health requirement which in compliance with requirement of all relevant authorities and regulations, and Air Selangor." u="1"/>
        <s v="EXPANDED METAL MESH GRILL FENCE" u="1"/>
        <s v="All quantities are PROVISIONAL unless otherwise specified. The unit &quot;sum&quot; means &quot; lump sum&quot;" u="1"/>
        <s v="Anchorages and holding down bolt assemblies comprising 4 Nos. 100 mm (min. embedded length) x 20 mm HSFG bolts (RAW BOLTS) complete with all fixing and accessories including drilling holes through mild steel plate and existing  column. The items shall be deemed to include the repairing, touching up works to existing building and making good works to disturbed area." u="1"/>
        <s v="Painting all equipment as specified as specified and according to AiS approved colour code for SCD system,  tank and building." u="1"/>
        <s v="75 mm x 50 mm x 5.42 kg/m galvanized mild steel universal horizontal members to Grade 43A, BS 4360 (Rectangular Hollow Sections)" u="1"/>
        <s v="Provide and maintain temporary site office, workmen accommodation, temporary buildings and stores for use by the Contractor and subsequent removal upon issuance Certificate of Practical (CPC)." u="1"/>
        <s v="Construct and complete valve chamber consist of 200mm - 300mm thick reinforced concrete sump with 50mm thick lean concrete grade 20, 300mm concrete base grade 30, 150mm thick concrete cover grade 30, reinforcement bar, 300mm x 300mm x 350mm hole on slab with 12mm aggregate chipping, and including all necessary excavation, temporary strut and reinforcements and forming rebate etc. and other associated work, all as per directed by C.A's approval. 2500mm x 10000mm x 4700mm deep" u="1"/>
        <s v="Actuator DB" u="1"/>
        <s v="To supply, deliver and install mild steel cement lining (MSCL) pipes for suction and discharge pipe including concentric, eccentric tapers, bends, specials, couplings and etc, to suit the new pumpsets installation. (Note: Pipes within pump house)" u="1"/>
        <s v="Cabling from new 415V Main Switchboard to Quarters Street Lighting DB using 16 sq.mm/4C  PVCSWAPVC (cu) cable c/w 16 sq mm/1C green PVC insulated earth copper cable." u="1"/>
        <s v="CHAMBER AND ACCESSORIES" u="1"/>
        <s v="6 mm x 450 mm long bonding tie bars welded to steel members at 600 mm c/c" u="1"/>
        <s v="Compliance to all statutory obligation fee as required by the local by-law and by statute gazetted by the Government; i.e. SPAN etc. " u="1"/>
        <s v="UDM complete with preparatory works, engineering survey works, reports and drawings, etc. to facilitate authorities requirement. (Based on 2km x 15m UDM strip)." u="1"/>
        <s v="BRC A10. All reinforcing bars shall be off high tensile steel unless stated otherwise. The rates for all reinforcing steel shall include for all cutting, bending, placing and fixing, trying wires, saddles, spacers, rooling margins, wastage etc." u="1"/>
        <s v="1) The contractor shall design, fabricate and deliver to site and furnish at his expense all necessary materials, tools, hoist, staging, temporary bracing etc. for the safe and proper erection of the prefabricated cold form steel (PCFS) roof trusses complete with rafter, wall plate, top and bottom chords, bracings and tie-downs, struts, bearers, truss connectors, straps, welding, other associated ancillary fixing products and methods and obvious items act together as an integral structure that is structurally stable under all the specified combinations of loading conditions, all to the approval of the C.A." u="1"/>
        <s v="PILING" u="1"/>
        <s v="Dismantle existing 600 mm dia MS raw water gravity main. Rate shall inclusive of proper packing, listing and transportation cost not exceeding 100km away from site." u="1"/>
        <s v="Supply and install of 4C x 185mm² ABC twisted cable from fuse to new SSB at Treated Water Plant" u="1"/>
        <s v="Grade C30" u="1"/>
        <s v="Supply &amp; Installation" u="1"/>
        <s v="4C x 16mm² PVC/PVC Copper Cable laid in tray/trunking from MSB to DB/MB (Admin Building) c/w termination and cable accessories" u="1"/>
        <s v="1 x 22W LED T8 battern type" u="1"/>
        <s v="MISCELLANEOUS CIVIL WORK" u="1"/>
        <s v="4C x 10mm² PVC/SWA/PVC Copper Cable from new F/P1 to lighting poles c/w termination and cable accessories at services box" u="1"/>
        <s v="Maintenance of office equipment " u="1"/>
        <s v="Testing and Commissioning upon completion of Switchboards &amp; cabling works at Sg. Serai WTP" u="1"/>
        <s v="PART C : PROVISIONAL SUM" u="1"/>
        <s v="Testing for Filter Control Console" u="1"/>
        <s v="GUARD HOUSE" u="1"/>
        <s v="CIVIL WORKS" u="1"/>
        <s v="SWITCHGEAR REMOTE SWITCHING SYSTEM_x000a_To supply and install new c/w termination work using Switchgear Remote switching panel c/w Monitor Display and all necessary monitoring with Semafor Switching Indicator, MIMIC Diagram and other necessary instrument to demonstrate actual Switchgear system and operation." u="1"/>
        <s v="Prepare and apply one (1) coat of primer and two (2) coats of acrylic paint to external exposed concrete surfaces." u="1"/>
        <s v="To supply and install Headloss meter monitoring unit including sensors, transmitters and other accessories for a complete system" u="1"/>
        <s v="Supply, install and dismantle of temporary feeder pillar complete with cabling and termination for treatment plant as back-up power supply during dismantling &amp; installation of the new switchboard. The rate shall include temporary work and all the necessary works related such as equipment, labour and skills required for hacking, cutting and making good of all existing structure upon completion." u="1"/>
        <s v="Grade: C20" u="1"/>
        <s v="Liaison with TNB for temporary shutdown and upgrading works" u="1"/>
        <s v="AIR CONDITIONING SYSTEM_x000a_To supply and install 9,000 Btu/hr wall mounted air cooled split unit inverter type for new control room c/w built-in starters, indoor and the outdoor unit, vibration isolators, refrigerant charges, wired controller, drain pan, condensation insulated drain pipe (discharge to nearest drain), wirings in G.I conduit and all other necessary works. " u="1"/>
        <s v="Electrical block diagrams, loop wiring diagrams,  electrical schematics, connection, termination, cable schedules and all other electrical drawings. " u="1"/>
        <s v="Factory  Acceptance Test (FAT) at manufacturer's factory prior to delivery to site for 3 Representatives (Contractor's Representative of contractor own cost) inclusive of the following:- _x000a_i) Return Airfare _x000a_ii) Full Board and Lodging _x000a_iii) All transportation/transfer between airports and hotels, hotels and factories, etc. _x000a_iv) Travel &amp; medical insurance, fees, covid test, etc." u="1"/>
        <s v="QA/ QC Plan" u="1"/>
        <s v="32A SPN metalclad distribution board  c/w 32A SPN MCB, 10A/20A MCB, RCCB, SPD &amp; cable termination_x000a_DB/CB - CHEMICAL BUILDING" u="1"/>
        <s v="200mm x 200mm G40 square Precast reinforced concrete piles with a working load of 250kN" u="1"/>
        <s v="Testing for Penstock " u="1"/>
        <s v="Supply and install galvanized serrated metal grating flooring with reference  no. TBA205 or equivalent including all necessary accessories and fixing to complete the installation. The installation of the selected items shall as per manufacturer's details and recommendation for maintenance purpose." u="1"/>
        <s v="Brick and plastering work c/w tempered glass viewing section." u="1"/>
        <s v="4nos. of 240W LED perimeter light complete with 10 meters lighting mid hinged pole, concrete base, bracket and all others accessories works." u="1"/>
        <s v="Supply and fill the closed trench with granular material (sand) or equivalent in accordance with the specification and drawings or directed by the C.A." u="1"/>
        <s v="To supply, deliver and install submersible drainage pump (15m3/hr @ 5m head) complete with 0.55kW, 2 pole, IP68 submersible motor, cabling and discharge piping. (1duty 1standby)" u="1"/>
        <s v="3) The contractor shall note that PCFS roof trusses shall be designed to suit the ceiling, the location of water tanks and roof covering. In the case where the PCFS roof trusses are designed at centres which do not suit or facilitate the fixing of the ceiling, the contractors shall include in his design of the PCFS roof trusses for any additional bearers, tie-beams,ceiling joist, etc, required to facilitate the ceiling panels." u="1"/>
        <s v="Supply and install Junction box IP54 c/w SPD, terminal block loop-in and loop-out box connection cables, heat shrinkable termination  and holder, fuses, cable gland and internal wiring using 2.5mm² PVC/PVC and pole numbering sticker for existing Decorative pole at Treated Water area" u="1"/>
        <s v="Notes:" u="1"/>
        <s v="Inspect and test the existing bin activator system and carry out the necessary service, repair, make good, tightened and strengtht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3W LED Emergency light surface mounted c/w Hi-Temp Nickel Cadmium Battery for 3 hours as Bomba approval" u="1"/>
        <s v="Provide and maintain of project signboard as per Air Selangor requirement and to be removed upon completion of the project." u="1"/>
        <s v="The Contractor shall provide and maintain all necessary Personal Protective Equipment (PPE) inclusive safety helmets, rubber boots, safety shoes etc for all site staffs and workers to be worn at all time throughout the construction period." u="1"/>
        <s v="Maintain the existing road as access to the site as per Specification clause 1.1.28" u="1"/>
        <s v="To comply with Confined Space Requirement if excavation work equal or more than 1.5 meter in depth. The contractor shall ensure and provide their worker intending to work in confined space are certified by Authorised Entrance &amp; Standby Person (AESP), Entry Supervisor (ES), Authorized Gas Tester (AGT) and others related wlth confined space documentation shall be endorse by AGT." u="1"/>
        <s v="Grade C15" u="1"/>
        <s v="KELUAR SIGN (LED type)." u="1"/>
        <s v="Painting all equipment as specified as specified and according to AiS approved colour code for filter system,  tank and building." u="1"/>
        <s v="OTHERS" u="1"/>
        <s v="Formation of concrete base below the instrument panel. Rate shall be deemed to include concrete, formwork, reinforcement and etc. for complete installation." u="1"/>
        <s v="Piles" u="1"/>
        <s v="Allow cost for Performance Bond." u="1"/>
        <s v="Inspection of existing SSBs (SSB/Silo &amp; SSB/STF) c/w modification / upgrading of existing SSB/STF inclusive supply and install of new 63A TPN, MCCB c/w all the others accessories as per specification and dwg." u="1"/>
        <s v="To testing and commission back the whole system after completion." u="1"/>
        <s v="Provision of operation labour, electricity and other facilities for testing of the plant and associated equipment." u="1"/>
        <s v="Supply, deliver and install for intelligent type, electric actuator complete with manual override handwheel, and other auxiliary items to complete the electrical actuator installation to the new penstock. Location; Effluent Recovery System Sump Pit." u="1"/>
        <s v="Supply labour and material to dismantle existing ceiling and replace new Gypsum Board ceiling c/w painting as per approved paint by CA." u="1"/>
        <s v="75mm thick layer of approved black vegetable soil as described well mixed approved fertilizer, spread and levelled on flat surfaces to receive turfing (measure separately). Spot Turfing on flat ground." u="1"/>
        <s v="PIPES" u="1"/>
        <s v="100mm x 100mm metal trunking c/w bracket &amp; support" u="1"/>
        <s v="Allow cost to dismantle and removing of the existing pumpsets, pipes, fittings and etc. Cost shall allow for disposal of scrap to designated area approved by Air Selangor." u="1"/>
        <s v="Allow cost for " u="1"/>
        <s v="Dismantling of crane and its ancillaries at the existing treated water pumping station and  cart away to a designated area as instructed by the C.A. (Rate shall include shift and transport to an approved location not exceeding 200KM or within Selangor)" u="1"/>
        <s v="Grade: C30" u="1"/>
        <s v="Equipment" u="1"/>
        <s v="450mm diameter opening." u="1"/>
        <s v="Supply &amp; Install electrically operated washwater water inlet double flange butterfly valves (300 mm dia.) complete with electrical actuators, mounting bracket, 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 u="1"/>
        <s v="Supply &amp; Install electrically operated washwater water inlet double flange butterfly valves (400 mm dia.) complete with electrical actuators, mounting bracket, 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 u="1"/>
        <s v="ENGINE INSTRUMENT / ALARM PANEL NO.2" u="1"/>
        <s v="Contractor shall fulfill requirement for hot work activity such as hot tapping, cutting, welding and_x000a_etc Contractor shall ensure &amp; provide portable fire extinguisher, fire watcher for genset operation,_x000a_flash back arrestor and trolley for oxy cutter cylinder and etc." u="1"/>
        <s v="Provide Personal Protective Equipment (PPE) for C.A. and his representatives which include ten_x000a_(10) nos safety boots, ten (10) nos safety helmet, ten (10) nos water boots and ten (10) nos safety jacket." u="1"/>
        <s v="Allow necessary cost for local factory acceptance test and/or witness for Local Control Panels. The cost shall include but not limited to all travelling expenses, accommodation (if necessary) and etc. for C.A. and consultants representatives." u="1"/>
        <s v="Temporary slope protection during construction using the plastic sheet or canvas to prevent soil erosion by rainwater. " u="1"/>
        <s v="Allow cost to maintain the cleanliness of working area including ongoing housekeeping, water spraying to reduce dust, etc. to the requirement of Authorities and Plant Operator. Clearing up the Site as directed during progress and upon completion of the Works." u="1"/>
        <s v="Contractor shall fabricate, supply, deliver, install, hacking, testing and commissioning including cable termination, disposal of surplus material and making good of site surface." u="1"/>
        <s v="PART B1: (C&amp;S) Protective Cover for  Dehumidifier at Lime Silo" u="1"/>
        <s v="600 mm DN plain ended mild steel pipe, 1660mm long with puddle flange from one end. Detail of puddle flange shall be as shown in Drawing." u="1"/>
        <s v="600 mm DN plain ended mild steel pipe, 1700mm long with puddle flange from one end. Detail of puddle flange shall be as shown in Drawing." u="1"/>
        <s v="Flushing for mild steel pipe for interconnection pipeworks. Rate to include provision of all water required for testing." u="1"/>
        <s v="Allow for Dilapidated Survey and Report including the provision of all necessary equipment, materials, licensed surveyor and labour as specified. " u="1"/>
        <s v="Occupational safety and health requirements" u="1"/>
        <s v="FITTINGS" u="1"/>
        <s v="Allow for costs of dismantle, reinstall and make good fence at intake during installation of new crane, etc." u="1"/>
        <s v="2C x 16mm²   PVC/SWA/PVC Copper Cable direct buried underground from new F/P 1 to lighting pole c/w termination at service box &amp; all other accessories, Detail as per drawing no: AIS/2520016/BN/25/STL/002" u="1"/>
        <s v="Supply and install galvanized mild steel serrated metal grating flooring with reference  no. TBA205 or equivalent including all necessary accessories and fixing to complete the installation. The installation of the selected items shall as per manufacturer's details and recommendation for maintenance purpose." u="1"/>
        <s v="Allow cost for SOCSO._x000a_Note : Insurance shall cover throughout construction period including Defect Liability" u="1"/>
        <s v="To supply and install new 630A 25kA Gas Insulated Switchgear Generator Incomer No. 1 c/w VT and necessary accessories._x000a_" u="1"/>
        <s v="To supply and install new 630A 25kA Gas Insulated Switchgear Generator Incomer No. 2 c/w VT and necessary accessories._x000a_" u="1"/>
        <s v="The Contractor shall provide and maintain all necessary protective and safety helmets, rubber boots, safety protective, and standard colour T-Shirt for all site staffs and workers to be worn at all time throughout the construction period. " u="1"/>
        <s v="Dismantling and removing of existing crane structure, hoist and other related accessories including crane services and transportation during removing and replacing works.Rate shall inclusive of proper packing, listing, and transportation cost not exceeding 100km away from site." u="1"/>
        <s v="Supply, deliver and install Sub Switchboard Filter Gallery (SSB-FG), ASTA or KEMA type tested, Form 4B, cubicle metalclad, floor mounted with front and rear access, 50kA short-circuit rated 63A 4P MCCB 415V c/w transient voltage surge supressor, over current and earth fault Microprocessor based relay, MCCBs, CTs, digital power meter, under voltage relay, auto-thermostat switch, indicator light, etc. where applicable as per specifications and drawings" u="1"/>
        <s v="Brickwork Ancillaries" u="1"/>
        <s v="Factory Acceptance Test at the manufacturer before deliver to site and witness by CA representative and consultant pole and ect." u="1"/>
        <s v="HEALTH, SAFETY AND ENVIRONMENT PRECAUTIONS" u="1"/>
        <s v="Supply temporary support or platform during construction." u="1"/>
        <s v="Allow safe work / standard operating procedure for prevention of COVID-19 at workplace inclusive of information, training, daily body temperature measurement, symptom screening, Personal Protective Equipment (PPE), swap test, sanitation and hygiene, etc issued by MKN and Air Selangor from time to time. " u="1"/>
        <s v="Provide, install, maintain and removal of Temporary Safety Barricade as per Specification clause 1.1.34" u="1"/>
        <s v="Sides and Soffit" u="1"/>
        <s v="Cable tray 100mm (W) c/w bracket support &amp; accessories" u="1"/>
        <s v="Cable tray 200mm (W) c/w bracket support &amp; accessories" u="1"/>
        <s v="Establishment and removal of office equipment" u="1"/>
        <s v="Cable trunking 150mm (W) x 75mm  (D) c/w bracket support &amp; accessories" u="1"/>
        <s v="Backfilling" u="1"/>
        <s v="6mm thk. hot-dipped galvanised with high strength expanded metal mesh grill fence fixing accessories as shown on the Drawing." u="1"/>
        <s v="Provide monthly progress report, set of digital records and four (4) prints of progress coloured photographs in suitably bound album for the duration of the Contract Period." u="1"/>
        <s v="Base to concrete slab" u="1"/>
        <s v="Provide set of monthly progress report consist of one (1) colour print and four (4) copies black and white printed and suitably bound for the duration of the Contract." u="1"/>
        <s v="Electrical Equipment" u="1"/>
        <s v="Inspect and test the existing pipework and fittings and carry out the necessary service, repair, make good, tightened and strengthtened with necessary brackets and supports to efficient working condition (Rate shall include supply the suitable pipe/fittings and cart away existing pipe/fittings to a approved location by C.A whichever needed) as detailed in the Specifications and Drawings. Contractor shall submit the inspection report and obtain approval from C.A before carry out the necessary refurbishment work." u="1"/>
        <s v="Rate for in situ concrete design mix shall be deemed to include placing and compaction of concrete" u="1"/>
        <s v="Personnel protective equipment." u="1"/>
        <s v="32A TPN metalclad epoxy Feeder Pillar (IP56) electro-galvanized sheet steel with minimum thickness of 2mm inclusive of MCCBs, RCCBs, SPD, Timer with 24 hours spring reserve, switch socket outlet, 1 x 18W corrosive resistant fluorescent fitting, copper busbar and others accessories  painted with paint as C.A. requirement." u="1"/>
        <s v="c) Workshop " u="1"/>
        <s v="Supply, deliver and install for SS316 penstock opening approx. 600mm x 600mm, rising type minimum seating water head 6 meter complete with headstock, SS316 spindle, muff coupler connection, bracket and other auxiliary items complete works. The penstock shall be operated by electrical actuator. Location; Effluent Recovery System Sump Pit. (Contractor to further inspect and confirm penstock opening at site before purchase order)" u="1"/>
        <s v="Existing Wash Water Pump Stater Board (Filter Gallery) -  4C x 16mm² PVC/SWA/PVC Copper Cable laid in Tray/Trunking from MSB (Treatment Plant)" u="1"/>
        <s v="Supply, deliver and install extension spindle (SS304), headstock, manual handwheel, bracket, connection, mechanical position indicator and other auxiliary items to complete the installation works to be coupled with the existing sluice valves. Location: 2MG Balancing Reservoir." u="1"/>
        <s v="Supply and fix anti-vermin netting outside to window including framing" u="1"/>
        <s v="Supply, deliver and install Sub Switchboard Streaming Current Monitoring (SSB-SCM), Form 4, cubicle metalclad, floor mounted with front and rear access, 50kA short-circuit rated 40A 4P MCCB 415V c/w transient voltage surge supressor, over current and earth fault Microprocessor based relay, MCCBs, CTs, digital power meter, under voltage relay, auto-thermostat switch, indicator light, etc. where applicable as per specifications and drawings" u="1"/>
        <s v="In earth for concrete chambers" u="1"/>
        <s v="Training of operating personnel before handling oversite to operators as per Specification " u="1"/>
        <s v="MAIN BUILDING" u="1"/>
        <s v="Provide for the C.A. and his staff all necessary assistance for supervision, testing and measurement of the Works done for the duration of the Contract." u="1"/>
        <s v="Rate for testing and inspection shall be deemed to include provision, and removal of all equipment, and ancillaries required for testing." u="1"/>
        <s v="450 mm DN flanged joints as shown in the Drawing." u="1"/>
        <s v="Supply and install of 2 nos x 3C x 185mm² AL ABC twisted cable laid overhead from LV Main Switchboard from switchroom No. 1 Pumps House at Raw Water Plant to Switchroom No.2 at Treatment Plant MSB room (next to office) " u="1"/>
        <s v="High tensile steel fabric – nominal mass, 6-7 kg/m2" u="1"/>
        <s v="Allow cost for Insurance of Works and Third Party/ Public Liability Insurance._x000a_Note : Insurance shall cover throughout construction period including Defect Liability" u="1"/>
        <s v="Brush on Bituminous Compound and Flexible filler board" u="1"/>
        <s v="Testing and Commisioning of the pumping system, filtration backwashing, lime preparation and SCD system including mechanical and electrical works but not limited to setting to works, performance guarantee and commisioning inclusive for submitting reports for approval as per specified in Specification clause 1.1.16  " u="1"/>
        <s v="DEMOLITION AND SITE CLEARANCE" u="1"/>
        <s v="Supply, deliver and install intelligent type, electric actuator complete with headstock, manual override handwheel, extension spindle (SS304), muff coupler connection, bracket and other auxiliary items to complete the electrical actuator installation for the new butterfly valve. Location: 1MG Balancing Reservoir." u="1"/>
        <s v="Contractor shall supply, deliver, cable pulling, testing and commissioning including cable termination, support or excavation, trenching, sand bedding, cable protection cover (orange) &amp; backfilling, compaction, markers, draw wire, disposal of surplus material and making good of site surface." u="1"/>
        <s v="600 mm DN mild steel welded collar joints." u="1"/>
        <s v="1MG Balancing Reservoir Valves" u="1"/>
        <s v="Bond" u="1"/>
        <s v="SOCSO/Workmen Compensation Insurance." u="1"/>
        <s v="Compliance to all statutory obligation fee as required by the local by-law and by statutory gazetted by the Government; i.e. CIDB, SPAN etc." u="1"/>
        <s v="CIVIL WORKS FOR SWITCHGEAR ROOM" u="1"/>
        <s v="Allow cost for painting works for all pipes, valves and etc related to replacement of equipment under this contract to the satisfaction of C.A." u="1"/>
        <s v="EXCAVATION " u="1"/>
        <s v="To supply and install new of 150mm Dia. Dial Gauge with Transmitter for Charger Air." u="1"/>
        <s v="Provide and maintain internet services to the C.A.’s temporary site office and provision for all charges and deposit required by the telecommunication companies, taxes, etc. and subsequent removal until three (3) months after issuance of Certificate of Practical" u="1"/>
        <s v="Lighting fittings as follows:" u="1"/>
        <s v="EXISTING SUB-MAIN BOARDS" u="1"/>
        <s v="Dismantling of all existing penstocks, valves, pipes, fittings, equipment, headstocks, supports, extension spindles, etc at the existing filters and  cart away to a designated area as instructed by the C.A.  (Rate shall include shift and transport to an approved location)" u="1"/>
        <s v="Supply and install weatherproof Stainless Steel Crane Isolator c/w Pedestal" u="1"/>
        <s v="6 mm thick galvanised mild steel chequered plates. Rates shall include all galvanised mild steel angle seats, lifting slots, all necessary supporting channels and brackets as shown in the Drawings." u="1"/>
        <s v="Street lighting luminaire 100W NW LED, asymmetric medium, IP 66 c/w clear &amp; hardened glass protector, die-cast aluminium housing and corrosion resistant polyester powder painted, surge protection device, built-in driver with pf&gt;0.95 and termination." u="1"/>
        <s v="Footings to steel column" u="1"/>
        <s v="Allow cost for liaison and compliance with requirement of Authorities and Air Selangor for work permit application. All related cost including application fees and mandatory charges shall be borne by Contractor. Bank Guarantee or any other form of deposit shall be borne by Air Selangor." u="1"/>
        <s v="Supply and deliver DN40mm reinforced PVC flexible hose connected from pump outlet and discharge to the nearest drain complete with associated valves, fittings and other auxiliary items  " u="1"/>
        <s v="Allow cost for Performance Bond amount to 5% of Contract Value in form of Bank Guarantee" u="1"/>
        <s v="B: INTAKE STATION" u="1"/>
        <s v="Dismantling of all ceiling, hoist, roof trussess, roof covering, window and other fixing accessories as specified and directed by the C.A" u="1"/>
        <s v="Earth material commencing from ground level to base of footing" u="1"/>
        <s v="Modification at existing MCC/MSB to install a new 20A MCCB at spare compartment including internal cabling works and all others accessories works." u="1"/>
        <s v="Provide, install and maintain Project Signboard as per Air Selangor requirement and including removal after completion of contract" u="1"/>
        <s v="T20 starter bars drilled into existing slab concrete including other fixing accessories for complete installation." u="1"/>
        <s v="Control Cables_x000a_To supply and install new c/w termination work for All related signal and monitoring cable laid in cable tray or ladder or sleeve for interconnecting cable not related to Fibre Optic, Rs-485, Multicore cable as system requirement to complete operation. " u="1"/>
        <s v="Power and control cabling from actuator panel to actuators  by using 1 no. 2.5 sq.mm/4C PVC/SWA/PVC copper cable complete with 2.5sq.mm multicore control cables." u="1"/>
        <s v="Wiring using 4 x 1C - 4.0mm² Cu. PVC cable c/w earthing in concealed uPVC conduit, back box, switch faceplate with neon indicator for Air-Cond unit" u="1"/>
        <s v="Note:" u="1"/>
        <s v="Pressure and leakage testing for mild steel pipe interconnection pipeworks. Rate to include provision of all water required for testing." u="1"/>
        <s v="3C x 35mm² + 1C x 25mm² ABC Twisted Aluminium Cable lay from existing SSB to FP/1 (Located at Intake area) c/w termination and cable accessories." u="1"/>
        <s v="Mobilisation and demobilisation" u="1"/>
        <s v="Operation and maintenance manual as per requirement of the Specification." u="1"/>
        <s v="The Contractor shall submit samples of materials and equipment for C.A. approval as and when directed. The Contractor shall allow cost for samples and fittings etc. including all testing fees  and transmission of test result to the C.A." u="1"/>
        <s v="Contractor shall supply, deliver, cable pulling, testing and commissioning including cable termination, support or excavation (manual excavation), trenching, sand bedding, cable protection cover (orange) &amp; backfilling, compaction, markers, draw wire, disposal of surplus material and making good of site surface." u="1"/>
        <s v="Inspection of existing MSB and terminate / dismantle the MSB including disconnect cabling and deliver to the approved CA storage" u="1"/>
        <s v="Testing for Pumpsets" u="1"/>
        <s v="LIGHTNING PROTECTION SYSTEM_x000a_" u="1"/>
        <s v="Supply &amp; Install electrically operated filtered water outlet double flange butterfly valves (250 mm dia.) complete with electrical actuators, mounting bracket, 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u="1"/>
        <s v="Supply &amp; Install electrically operated filtered water outlet double flange butterfly valves (300 mm dia.) complete with electrical actuators, mounting bracket, 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u="1"/>
        <s v="SUB-MAIN SWITCHBOARD/DISTRIBUTION" u="1"/>
        <s v="QA/QC Plan" u="1"/>
        <s v="Testing and Inspection" u="1"/>
        <s v="Drawings including Shop drawings or working drawing as required elsewhere as per Specification comprising but not limited to the following:" u="1"/>
        <s v="Items for excavation for foundation shall include upholding sides of excavation, preparation of excavated surfaces, additional excavation to provide working space and removal of dead services." u="1"/>
        <s v="Excavate service chamber starting from formation level; grading bottoms; earthwork support; remainder spread and levelled within site including standard bedding, sheet piles and backfilling with excavated material and removing surplus excavated materials to contractor own dumps upon C.A's approval. Ditto, exceeding 1.50m depth" u="1"/>
        <s v="Contractor shall fulfill lifting requirement and ensure to provide certificate of Fitness for lifting equipment, competent crane operator, lifting supervisor, lifting planrigger, signalman and etc." u="1"/>
        <s v="T25 starter bars drilled into existing column concrete including other fixing accessories for complete installation." u="1"/>
        <s v="Mass concrete blinding, 50 mm thick to chambers." u="1"/>
        <s v="To proceed  retrofitting and carry out full servicing work of All associated Push Button, Selector Switch, Relays, Switch Terminal Block, MCCB, MCB, Flood Sensor and others c/w internal power, control and signal wiring." u="1"/>
        <s v="3C x 25mm² + 1C x 16mm² ABC Twisted Aluminium Cable lay overhead from new FP/1 to lighting poles c/w SPD, wiring and termination and cable accessories at services box" u="1"/>
        <s v="3C x 25mm² + 1C x 16mm² ABC Twisted Aluminium Cable lay overhead from new FP/2 to lighting poles c/w SPD, wiring and termination and cable accessories at services box" u="1"/>
        <s v="Allow provision to disconnect and dismantle of existing poles, lanterns and cables at the WTP area and deliver to the approved CA storage. Rate shall include materials, equipment, labour and skills required for welding, hacking, cutting and making good of all existing structure upon completion. " u="1"/>
        <s v="All contractor's workers and supervisors shall have attended safety training by NIOSH for working under confined space with valid AESP (Authorized Entrance &amp; Standby Person) certificate if required by the scope of works. Any work in confined space shall be supervised by valid AGTES personnel, registered with DOSH. " u="1"/>
        <s v="E: PROVISIONAL SUM" u="1"/>
        <s v="Extras to Trench Excavation" u="1"/>
        <s v="Supply and install control cable from Dosing Pump comprising of  2.5mmsq Multicore PVC/SWA/PVC Auxiliary and Control cables" u="1"/>
        <s v="Power and control cabling from existing MCC to actuator  by using 1 no. 2.5 sq.mm/4C PVC/SWA/PVC copper cable complete with 2.5sq.mm multicore control cables." u="1"/>
        <s v="Supply, deliver and install Motor Control Centre Treated Water Pumping Station (MCC-TWPS), ASTA or KEMA type tested, Form 4B, cubicle metalclad, floor mounted with front and rear access, 50kA short-circuit rated 1250A 4P ACB 415V c/w transient voltage surge supressor, over current and earth fault Microprocessor based relay, MCCBs, CTs, digital power meter, under voltage relay, auto-thermostat switch, indicator light, etc. where applicable as per specifications and drawings" u="1"/>
        <s v="Column Stiffeners to Existing Column. Rate to include concrete binding agent." u="1"/>
        <s v="Grade 30 concrete at the R.C Staircase, trowelled smooth finish, intermediate landing platform and beam" u="1"/>
        <s v="FLOWMETER AND ELECTRICAL WORKS:" u="1"/>
        <s v="Testing and Commissioning of the works as per requirement of the Specification." u="1"/>
        <s v="To provide adequately the requirements of working in height inclusive personal protection equipment (PPEs), apparatus, equipment, signages, training, procedures, documentation and health requirement which in compliance with requirement of all relevant authorities and regulations, and Air Selangor. To provide 3 nos participant from CA representative for attending and obtaining certificate of working at height competencies from NIOSH for supervising the works." u="1"/>
        <s v="RUBBER MAT_x000a_Supply and install rubber mat at Switchgear Room for all equipment such as CGAP panel, Battery and Charger panel, 415V Main Switchboard, Synchronizing panel and NER as per Suruhanjaya Tenaga (ST) requirement." u="1"/>
        <s v="450 mm DN plain and flanged ended mild steel pipe, 2250mm long with puddle flange from flange end.  Detail of puddle flange shall be as shown in Drawing." u="1"/>
        <s v="NOTE:_x000a_The system shall be fully digitalised SCADA ready monitoring signal and connection terminal for;" u="1"/>
        <s v="Allow cost for work in stages to ensure minimal impact to the water supply" u="1"/>
        <s v="Allow cost for construction of a temporary cofferdam for the penstock installation purpose and other works deemed necessary to complete the installation." u="1"/>
        <s v="100mm Class B GI pipe for crossing drain, road, slope, c/w excavation, backfill, compaction, support bracket &amp; accessories, etc and make good the surface as per existing." u="1"/>
        <s v="To replace the existing communication relay from mechanical device to electrical device c/w wiring, bracket and others related accessories to complete operation." u="1"/>
        <s v="Supply, deliver, install, testing and commissioning Individual remote start/stop/emergency stop pushbutton stations pole mounted c/w control cabling and earthing as per Specifications and Drawings for Treated Water Pump (272277320544)" u="1"/>
        <s v="Auto changeover control panel c/w interlocking, timer, overwrite function, relay, pushbutton, indicating light, starter, fuses, and all other necessary works. The incoming supply shall take from the existing DB inside switchgear room." u="1"/>
        <s v="All modification, repairs, make good to the existing infrastructure / building / pipes and all other necessary works  for complete and efficient installation of new equipment to the existing lime silo building" u="1"/>
        <s v="Hacking the existing slab to allow new opening for propose instrument panel (2 nos.). The items shall be deemed to include the repairing, touching up works to existing building and making good works to disturbed area." u="1"/>
        <s v="Anchorages and holding down bolt assemblies comprising 4 Nos. 75mm (long) x 16 mm HSFG bolts bolted to mild steel plate" u="1"/>
        <s v="Dismantling of crane and its ancillaries at the existing treated water pumping station and  cart away to a designated area as instructed by the C.A. (Rate shall include shift and transport to an approved location)" u="1"/>
        <s v="NEW LOCAL CONTROL ROOM_x000a_To upgrade, modify, testing and commissioning the existing DB Board for Generator House c/w others necessary fitting and accessories to complete installation as per existing operation, drawing and specifications." u="1"/>
        <s v="150W LED street light lantern (IP66)" u="1"/>
        <s v="Testing and Commissioning of the pumping system, filtration backwashing, lime preparation and SCD system including mechanical and electrical works but not limited to setting to works, performance guarantee and commissioning inclusive for submitting reports for approval as per specified in Specification clause 1.1.16  " u="1"/>
        <s v="Supply and Install of new twin screw dry feeder (feed range of 10kg/hr-100kg/hr) and its neccesary works complete with cabling for complete and efficient installation." u="1"/>
        <s v="Supply and Install of new twin screw dry feeder (feed range of 10kg/hr-100kg/hr) and its necessary works complete with cabling for complete and efficient installation." u="1"/>
        <s v="f) Tenaga Nasional Berhad (TNB) Kelantan" u="1"/>
        <s v="iii. All cable box shall include heater" u="1"/>
        <s v="Payment for three (3) units mobile phones monthly bill until three (3) months after issuance of CPC" u="1"/>
        <s v="Electric overhead crane " u="1"/>
        <s v="Supply and install power cable from MCC No.4 to SSB-SCM comprising of 1 No. x 16 sqmm 4C PVC/SWA/PVC Copper Cable laid underground and trenches c/w 25mm x 3mm Tinned Earth Copper Tape" u="1"/>
        <s v="Anchorages and holding down bolt assemblies comprising 4 Nos. 25 mm HSFG bolts complete with all fixing and accessories including drilling holes through mild steel plate and existing slab. The items shall be deemed to include the repairing, touching up works to existing building and making good works to disturbed area." u="1"/>
        <s v="Allow cost for fine programming works" u="1"/>
        <s v="Supply and install of concrete pole 9m height c/w all  accessories." u="1"/>
        <s v="Provide, maintain and removal contractor's facilities for the following but not limited to:" u="1"/>
        <s v="Mobile Phones" u="1"/>
        <s v="Supply and install of Street lighting luminaire 150W NW LED, asymmetric medium, IP 66 c/w clear &amp; hardened glass protector, die-cast aluminium housing and corrosion resistant polyester powder painted, surge protection device, built-in driver with pf&gt;0.95 and termination." u="1"/>
        <s v="Galvanized Mild Steel: Handrails and balustrades; comprising of 50mm diameter for tubular handrails and 38mm diameter for intermediate and bottom rails; 50mm diameter for balustrade at maximum 1500mm spacing centre with 900mm high including all necessary welding and fixing accessories." u="1"/>
        <s v="Supply, deliver, install, testing and commissioning Individual remote start/stop/emergency stop pushbutton stations pole mounted c/w control cabling and earthing as per Specifications and Drawings for Treated Water Pump (For Pump Asset ID : 082602817420)" u="1"/>
        <s v="Mass concrete" u="1"/>
        <s v="ROOFING WORK" u="1"/>
        <s v="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 u="1"/>
        <s v="Contractor shall provide Health Requirements of Person Working in Confined Space (Contractor shall ensure that their workers intending to work in confined spaces are doctor by undergoing medical check-up for confined mentally fit determined by an occupational health certified physically and space)" u="1"/>
        <s v="Operation and maintenance of plant" u="1"/>
        <s v="Replacement" u="1"/>
        <s v="To supply and install new of 150mm Dia. Dial Gauge with Transmitter for Fuel Oil Engine Inlet." u="1"/>
        <s v="Supply &amp; Install electrically operated filter inlet penstocks, (300 x 300 mm) complete with electrical actuators, mounting bracket,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Supply &amp; Install electrically operated filter inlet penstocks, (450 x 450 mm) complete with electrical actuators, mounting bracket,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Supply &amp; Install electrically operated filter scour penstocks, (450 x 450 mm) complete with electrical actuators, mounting bracket,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Factory Acceptance Test at the manufacturer before deliver to site and witness by CA representative and consultant pole and etc." u="1"/>
        <s v="Registration of all electrical equipment installation to Suruhanjaya Tenaga (ST) including preparation of drawings and documents endorsed by Professional Engineer engaged by contractor, application via ECOS online including any necessary fees and obtaining approval from ST." u="1"/>
        <s v="MV/LV Cable box :" u="1"/>
        <s v="To provide provision sum of Ringgit Malaysia Ten Thousand Only (RM30,000) for underground Utility Detection Mapping to be carried out at all WTPs." u="1"/>
        <s v="Maintenance of C.A.'s Site Office until three (3) months after issuance of CPC (18 Months) " u="1"/>
        <s v="Profile sheet 0.48 mm thick colourbond corrugated roofing as per specification clause 2.8.4 laid at 15 degrees to the horizontal." u="1"/>
        <s v="Provide and maintain a healthy site environment and security at all times. Site safety complying to Occupation Safety and Health Act OSHA FMA 1967, EQA 1974, regulation, all relevant local 1967, EQA 1974, regulation, all relevant local authority requirements (DOSH/JKKP) and all Health &amp; Safety Unit (HSU) C.A. requirements (Appendix 2), including but not limited to:_x000a_i. To attend safety programme i.e Air Selangor Niosh Safety Passport (ANSP) with fee RM200/person._x000a_ii. To attend safety briefing at C.A. HQ (H&amp;S unit)._x000a_iii. To acquire &quot;safety card“ from H&amp;S Unit C.A._x000a_iv. Preparation of site safety and health plan complete with safety and health policy hazard identification risk assessment (HIRARC) and control an emergency response plan to the satisfaction of the C.A." u="1"/>
        <s v="Allow for progress/technical meetings and provide monthly progress report and power point presentation, complete with four (4) sets of hardcopy records with original progress coloured photographs to Air Selangor as required for the duration of the Contract." u="1"/>
        <s v="Raise existing MSB panel by a 150mm high and inclusive modification, dismantle and retermination of cables, etc. (Price to include supply, deliver and install terminal blocks, new cables to circuit breakers, 150mm high steel support structure, provision of temporary supports and lifting equipment, dimantle existing incomer and outgoing cables, temporary cable supports, etc.) Refer drawing 1057/P/E/4001 and /4002." u="1"/>
        <s v="Beams" u="1"/>
        <s v="For Pipe Opening" u="1"/>
        <s v="Contract Document" u="1"/>
        <s v="SUPPLY, DELIVERY AND INSTALLATION:" u="1"/>
        <s v="a. Quarter's Lighting DB" u="1"/>
        <s v="200 mm x 200 mm x 38.20 kg/m galvanized mild steel universal vertical members to Grade 43A, BS 4360 (Rectangular Hollow Sections)" u="1"/>
        <s v="Allow necessary cost for local factory acceptance test and/or witness for Valves. The cost shall include but not limited to all travelling expenses, accommodation (if necessary) and etc. for C.A. and consultants representatives." u="1"/>
        <s v="One responsible member of the Contractor’s staff shall be trained in First Aid duties." u="1"/>
        <s v="Pile Tests" u="1"/>
        <s v="Provide full time, qualified and experienced engineer as Site Agent to the approval of the C.A." u="1"/>
        <s v="Allow cost for programming works" u="1"/>
        <s v="Dismantle existing sub-main cabling from TNB Meter to MSB and MSB to DB/CB, DB/PSH, DB/CDR, DB/GH and Transfer pump panel excluding cable from MSB to Power Factor Correction Panel and deliver to the approved CA storage." u="1"/>
        <s v="Supply, deliver and install Sub Switchboard Streaming Current Monitoring (SSB-SCM), Form 4, cubicle metal clad, floor mounted with front and rear access, 50kA short-circuit rated 40A 4P MCCB 415V c/w transient voltage surge suppressor, over current and earth fault Microprocessor based relay, MCCBs, CTs, digital power meter, under voltage relay, auto-thermostat switch, indicator light, etc. where applicable as per specifications and drawings" u="1"/>
        <s v="230mm wide bituminous sheet damp proof course as specified to full brickwall (measured nett-no allowance made for laps)." u="1"/>
        <s v="Supply and install 6mm thick galvanised mild steel chequered plate cover, in framed panel complete with 75mm x 50mm x 5.65kg/m angle frame and 75mm x 38mm x 6.7kg/m c-channel for cable trench cover" u="1"/>
        <s v="Jointing with butt weld all around as shown in drawing." u="1"/>
        <s v="In hard material/rock for concrete chambers" u="1"/>
        <s v="To supply and install new VCU Type Neutral Earthing Panel for Generator Set No. 1." u="1"/>
        <s v="Civil " u="1"/>
        <s v="450 mm DN plain ended mild steel pipe, 1350mm long with puddle flange from one end.  Detail of puddle flange shall be as shown in Drawing." u="1"/>
        <s v="GIS and shrinkable tubing for Earth Point Termination work the cable Bill C082 c/w with all accessories compliant to the manufacturer requirement and specification to complete operation and installation." u="1"/>
        <s v="Items for piling work shall be deemed to include piling records and disposal of excavated and surplus materials." u="1"/>
        <s v="Notwithstanding how any of the provisional sums are expended or deducted, the Contractor will have no claim for alleged loss of profit  caused by such increase or decrease in provisional sums." u="1"/>
        <s v="To supply and install new c/w termination work of Neutral Earthing Point for Control Generator / Alarm Panel c/ necessary accessories to complete the system by using 1no. 1C x 300sqmm XLPE/SWA/PVC." u="1"/>
        <s v="2.5mmsq Multicore PVC/SWA/PVC Signal and Power Cabling between field instrumentation and Instrument Panel inclusive of all cable glands and termination materials, etc." u="1"/>
        <s v="Plant and Equipment" u="1"/>
        <s v="Provide and maintain the works during Defect Liability Period (24months) and inspection half yearly service inclusive replacement of defect parts for Sg Serai WTP." u="1"/>
        <s v="Items for demolition and site clearance shall be deemed to include disposal of the materials arising." u="1"/>
        <s v="Temporary work" u="1"/>
        <s v="Drawings including Shop drawings or working drawing as required elsewhere as per Specification clause 1.1.16" u="1"/>
        <s v="All modification, repairs, make good to the existing infrastructure/building/ pipes and all other necessary works for complete and efficient installation of new equipment at the existing Pumphouse" u="1"/>
        <s v="CONCRETE WORK" u="1"/>
        <s v="All provisional sums are to be expanded as directed by the C.A. It shall be deducted wholly  or in part if not required." u="1"/>
        <s v="Testing and Commissioning upon completion of street lighting works at Cheras Mile 11 WTP." u="1"/>
        <s v="To supply, deliver, install, testing and commissioning Individual remote start/stop/emergency stop pushbutton stations pole mounted c/w control cabling and earthing as per Specifications and Drawings for :" u="1"/>
        <s v="Provide and maintain CA's temporary site office (portable cabins min. size 20 ft (L) x 10 ft (W) x 8 1/2 ft (H)) inclusive temporary internet services monthly rentals, water supply, electricity, sanitation, photocopier machine with printing, fax and scanning, A4 paper (2 rims every months) and A3 paper (1 rim every 2 months) complete with furniture, air conditioners, and all necessary office equipment throughout the contract period until three (3) months after issuance of CPC as specified for use by the CA's representative and subsequent removal after completion date. " u="1"/>
        <s v="Demolishing and sorting of all existing materials such as surplus excavated material, disposal concrete, wood, aluminium, steel, isolating materials, ceramic, asphalt, terrazzo, asbestos, garbage, and others (excluding sand and clay and any soil resulting from the sieving/sorting process) from existing damaged structures and rubble stockpiles. Sorting of these materials should be done according to the specifications and C.A’s instruction and should be done for each material separately. Then collecting these materials and transporting each of them to the agreed dump sites. The price includes fees for municipal dump sites where the garbage will be disposed off." u="1"/>
        <s v="Switchboards " u="1"/>
        <s v="Allow cost for Contractor's All Risk Insurance inclusive of Public Liability Insurance. (Note: Insurance shall cover the total contract sum and throughout construction period including DLP)." u="1"/>
        <s v="To supply and install new VCU Type Neutral Earthing Panel for Generator Set No. 2." u="1"/>
        <s v="Inspection, modification and upgrading of MCC 2 (DB - Lighting) c/w replacing existing 6A MCB to new 20A MCB, by-pass switch, wiring works and all other accessories as per specification and dwg." u="1"/>
        <s v="Supply, laying, or install. Rate to include all pipe cutting, wrapping, lining and lagging as required. " u="1"/>
        <s v="Stairways and landings; 200 mm riser with 250 mm treads as per Drawing No. PZK/2092/003/C/001 &amp; PZK/2092/003/C/002" u="1"/>
        <s v="e) Suruhanjaya Tenaga" u="1"/>
        <s v="Equipment earthing and main earth bar at MSB room" u="1"/>
        <s v="Demolishing  of existing valve chamber of inlet, outlet and scour at 2MG Reservoir including remove all debris away from site to contractor's own dumping ground and prepare surface to receive new valve chamber  and make good all work disturbed to receive new work all as per C.A's instructions." u="1"/>
        <s v="New 415V Main Switchboard inclusive of steel support. Refer drawing 1057/P/C/W4100 &amp; 1057/P/E/4001." u="1"/>
        <s v="To supply, deliver and install new DN300 sluice valve at the suction side of the pump." u="1"/>
        <s v="200 mm x 100 mm x 28.30 kg/m galvanized mild steel universal horizontal members to Grade 43A, BS 4360 (Rectangular Hollow Sections)" u="1"/>
        <s v="Marker posts for pipelines, air valve, washout valve, and isolating valves as shown in Drawings. Rate to include supply, installation, and painting." u="1"/>
        <s v="4C x 25mm²   XLPE/SWA/PVC Copper Cable direct buried underground c/w termination &amp; all other accessories from existing SSB/STF to new F/P1 (Compound Lighting)" u="1"/>
        <s v="Complete Earthing system for SSB-SCM inclusive of internal perimeter earthing complete with earthing terminal and minimum copper tape size of 25mm x 3mm. Minimum acceptable earthing value to be 1 ohm." u="1"/>
        <s v="CHEMICAL BUILDING" u="1"/>
        <s v="Civil guidance and general arrangment drawings" u="1"/>
        <s v="PART B2: (Mechanical) REHABILITATION LIME SILO &amp; PREPARATION SYSTEM" u="1"/>
        <s v="Allow cost for Fourteen (14) days rental of portable Gensets which are one duty, one stand-by (capacity to cater full load of the MSB) c/w temporary shelter, fuel, maintenance and all the other neccessary works and accessories during power shut down period at Cheras Mile WTP. The rate shall include dismantling and demobilisation of the genset, temporary shelter and etc." u="1"/>
        <s v="1 x 15W LED surface downlight fitting with white rim, mirror reflector and glass diffuser" u="1"/>
        <s v="Supply and Install suitable Surge Supression System for Pumping Main system as per surge analysis report with all neccesary item." u="1"/>
        <s v="Maintain existing access roads at Sungai Selangor Phase 2 WTP for duration of the Contract. Rate to include reinstatement to original condition on completion of the Works." u="1"/>
        <s v="Provide one (1) number of C.A.'s temporary site office (at least fit for 20 pax during site meeting and min of 800 ft² regular shape), as specified complete with furniture, air conditioners, and all necessary office equipment as specified except for telephone, fax machine, computer and photocopier for the C.A.'s representative and his staff including subsequent removal as directed.    " u="1"/>
        <s v="Provide full time, qualified and experienced (min 5 years) engineer as Site Agent to the approval of the C.A." u="1"/>
        <s v="Motorised electric actuators shall be hardwired, non-solid state type suitable for all-weather outdoor installation." u="1"/>
        <s v="Supply all labour, plant, materials, transport, etc. for the proposed works in accordance with the specification and drawings or directed by the C.A." u="1"/>
        <s v="The following items shall be deemed to include nuts, washers, gusset and end plates, stiffeners, other accessories,and protective and decorative surface treatment" u="1"/>
        <s v="Cabling from new 415V Main Switchboard to Online Analyser Panel using 16 sq.mm/4C  PVC/SWA/PVC (cu) cable c/w 16 sq mm/1C green PVC insulated earth copper cable." u="1"/>
        <s v="Cabling from TNB CT Meter Panel to new 415V Main Switchboard using 300 sq.mm/4C  XLPE/SWA/PVC (cu) cable c/w 150 sq mm/1C green PVC insulated earth copper cable." u="1"/>
        <s v="Replace and Upgrading of existing Anunciator to Intelligent Digital type with modbus protocol as per existing provided monitoring alarm and fault signal c/w wiring, bracket and other accessories to complete operation for 12 Indicator Lamp." u="1"/>
        <s v="Replace and Upgrading of existing Anunciator to Intelligent Digital type with modbus protocol as per existing provided monitoring alarm and fault signal c/w wiring, bracket and other accessories to complete operation for 30 Indicator Lamp." u="1"/>
        <s v="Wiring using 2 x 1C -2.5mm2 Cu. PVC cable c/w earthing in concealed uPVC conduit c/w back box, 13A SSO faceplate and accessories" u="1"/>
        <s v="Allow for replacement/modification to existing outgoing cables from existing Main Switchboard at MSB room." u="1"/>
        <s v="Supply and install of 8m Height Concrete pole planted type c/w accessories for street lantern" u="1"/>
        <s v="2) All provisional sums are to be expanded as directed by the C.A. It shall be deducted wholly  or in part if not required." u="1"/>
        <s v="600 mm DN flange adaptor complete with tie rods." u="1"/>
        <s v="Removal and disposed off all to the Contractor's own dumping ground within 20km radius or as directed by the C.A" u="1"/>
        <s v="To allow cost for dismantling and removing works of existing equipment i.e., valves, pipeworks and other related equipment. Rate shall include with transportation cost to Air Selangor's designated store room. " u="1"/>
        <s v="Allow for prepare plaster work to touch up and making good to the nearest damage main drain laid to fall approved by C.A's." u="1"/>
        <s v="To supply and install new Synchronising Panel c/w necessary accessories for Control Generator / Alarm Panel_x000a_" u="1"/>
        <s v="Upgrading, retrofitting and carry out full servicing work of Engine Instrument Alarm Panel No. 1 to all Pressure Tubing, Gauges, Mechanical Limit Switch and all other related accessories  including signal for interlock, control and monitoring to remain as existing operation and not limited to the following instrument.  " u="1"/>
        <s v="Inspect and test the existing knife gate valve and carry out the necessary service, repair, make good, tightened and strengtht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C.A.'s REQUIREMENTS" u="1"/>
        <s v="Dismantle existing Disconnector Switch Fuse and replace with new 300A Disconnector Switch Fuse c/w all accessories." u="1"/>
        <s v="To supply and install new of 150mm Dia. Dial Gauge with Transmitter for Intake Air Engine Inlet." u="1"/>
        <s v="Completion (CPC)._x000a_Provide and maintain A4 and A3 paper size photocopier machine with fax and scanning for C.A.'s temporary site office. The equipment shall be reverted to Contractor three (3) months after issuance of Certificate of Practical Completion (CPC)." u="1"/>
        <s v="PROVISIONAL SUM" u="1"/>
        <s v="Stairways and landings; 200 mm riser with 250 mm treads as per Drawing No. PZK/2092/003/C/003 &amp; PZK/2092/003/C/004" u="1"/>
        <s v="200W LED Floodlighting" u="1"/>
        <s v="Vertical Straight Wall" u="1"/>
        <s v="To dismantle and replace all existing gravity shutter for ventilation air intake at generator room c/w all accessories." u="1"/>
        <s v="GENERAL AND PRELIMINARIES" u="1"/>
        <s v="Establishment of cabin store with floor area of at least 3.0m x 10.0m including the installation of door, windows, suitable furniture and fittings, suitable lighting and air conditioning, base slab,etc.The cabin shall be placed at the location selected by the C.A and shall be provided with gravel walkway as directed." u="1"/>
        <s v="Cabling from new weatherproof DB to actuator panel using 1 no. 16 sq.mm/4C XLPE/SWA/PVC copper cable c/w 13mm x 1.6mm tinned earthing copper tape." u="1"/>
        <s v="Supply and install Junction box IP54 c/w SPD, terminal block loop-in and loop-out box connection cables, heat shrinkable termination  and holder, fuses, cable gland and internal wiring using 2.5mm² PVC/PVC and pole numbering sticker for existing 3m high pole at Intake area" u="1"/>
        <s v="Cabling from existing SSB in Chemical Building 1 (from 30A TPN spare circuit breaker) to Actuator DB using 10 sq.mm/4C  PVC/SWA/PVC (cu) cable c/w 100 sq mm/1C green PVC insulated earth copper cable." u="1"/>
        <s v="Supply, deliver and fix 1000mm high 50mm dia hot dipped galvanised mild steel handrailing to stairs walkway to detail complete with bolts, nuts including painting. Refer drawing: AIS/2520016/DTL/S/001" u="1"/>
        <s v="Floodlight 200W NW LED, asymmetric medium, IP 66 c/w smooth reflector &amp; thermal hardened glass diffuser, die-cast aluminium housing and corrosion resistant polyester powder painted, surge protection device, built-in driver with pf&gt;0.95, bracket support and termination." u="1"/>
        <s v="Concrete Base" u="1"/>
        <s v="Supply and install control cable from Air Scour Valve Actuator (AV1-4)  comprising of  2.5mmsq Multicore PVC/SWA/PVC Auxiliary and Control cables laid in trenches and cable tray" u="1"/>
        <s v="Supply and install control cable from Air Scour Valve Actuator (AV2-4)  comprising of  2.5mmsq Multicore PVC/SWA/PVC Auxiliary and Control cables laid in trenches and cable tray" u="1"/>
        <s v="Supply and install control cable from Air Scour Valve Actuator (AV3-4)  comprising of  2.5mmsq Multicore PVC/SWA/PVC Auxiliary and Control cables laid in trenches and cable tray" u="1"/>
        <s v="Supply and install control cable from Air Scour Valve Actuator (AV4-4)  comprising of  2.5mmsq Multicore PVC/SWA/PVC Auxiliary and Control cables laid in trenches and cable tray" u="1"/>
        <s v="Supply and install control cable from Air Scour Valve Actuator (AV5-4)  comprising of  2.5mmsq Multicore PVC/SWA/PVC Auxiliary and Control cables laid in trenches and cable tray" u="1"/>
        <s v="Supply and install control cable from Air Scour Valve Actuator (AV6-4)  comprising of  2.5mmsq Multicore PVC/SWA/PVC Auxiliary and Control cables laid in trenches and cable tray" u="1"/>
        <s v="Supply and install control cable from Air Scour Valve Actuator (AV7-4)  comprising of  2.5mmsq Multicore PVC/SWA/PVC Auxiliary and Control cables laid in trenches and cable tray" u="1"/>
        <s v="Supply and install control cable from Air Scour Valve Actuator (AV8-4)  comprising of  2.5mmsq Multicore PVC/SWA/PVC Auxiliary and Control cables laid in trenches and cable tray" u="1"/>
        <s v="VALVES" u="1"/>
        <s v="To provide centralise Transmitter / PLC / RTU for indication and monitoring tapping from existing sensors with Modbus communication or Ethernet Protocol compliant to IEC 60870, IEC 61850 with Minimum total of 20 signal for cylinder exhaust temperature including internal power and control wiring." u="1"/>
        <s v="Factory Acceptance Test (FAT) at manufaturers origin location for materials and equipments testing either local or overseas. The FAT to be inspect and witness by five (5) authorized representative of the C.A. for the following  as per Specification 1.1.60:-" u="1"/>
        <s v="415V MSB at EXISTING PUMP HOUSE_x000a_To modify both of incoming No.1 and Incoming No.2 and Bus Section interlocking system. To provide Auto Transfer Susystem (ATS) operation complete with ARCH protection relay at both incoming and all necessary protection, monitoring and control operational mechanism gears equipment  to work safe functioning in order." u="1"/>
        <s v="Control Cabling Works" u="1"/>
        <s v="To supply and install new of 150mm Dia. Dial Gauge with Transmitter for Lubricating Oil Engine Inlet." u="1"/>
        <s v="Check and terminate the existing cable to the existing 40kVAR capacitor bank to the new MSB" u="1"/>
        <s v="Clearing up the site during progress and upon completion including making good all affected works as per Specification " u="1"/>
        <s v="Plasterer in cement and sand (1:6) mortar with an approved plasticiser as specified" u="1"/>
        <s v="F2: fair finish to plinth" u="1"/>
        <s v="Nominal diameter: 10mm" u="1"/>
        <s v="Allow for all precautions of the works, including provision for all necessary equipment, material and personnel in compliance with all the Health, Safety and Environmental requirement including AIS NIOSH Safety Passport and Covid-19 Test." u="1"/>
        <s v="Grade C30 slab, 0.2m x 115 mm thick complete with slot for lifting key for each panel." u="1"/>
        <s v="To provide equipment's label, tagging, safety signage for all equipment under this contract as per requirement of DOE, DOSH, authorities." u="1"/>
        <s v="To supply and install new of 150mm Dia. Dial Gauge with Transmitter for Rocker Arm Level Oil Engine Inlet." u="1"/>
        <s v="Incoming cable from TNB room to WTP MSB room (next to office)" u="1"/>
        <s v="600 mm DN plain ended mild steel in standard length or cut length." u="1"/>
        <s v="To provide all testing costs as per specification which covers work test, pressure test, witness test (if any) and official commissioning test. To include the calibration, testing and commissioning of all related equipment at site. The rate shall include testing for Civil Works, Electrical Works, Mechanical Works and Instrumentation Works including reporting, labour, electricity and other facilities for testing of the plant and other associated equipment. " u="1"/>
        <s v="Operation and maintenance manual" u="1"/>
        <s v="To supply and install new of 150mm Dia. Dial Gauge with Transmitter for Intake Air (B) Bank Right Hand Side (RHS)." u="1"/>
        <s v="Provide and maintain temporary and existing access roads to the Site for duration of the Contract.  Rate to include reinstatement to original condition on completions of the Works." u="1"/>
        <s v="General clearance for the new staircase area of all vegetation and unwanted structures, rubbish and debris including grubbing of roots, disposal of all unsuitable material to contractor's dump site as approved by Air Selangor (AIS).To excavate for placement of crusher run and lean concrete. " u="1"/>
        <s v="Metal sections of members" u="1"/>
        <s v="Nominal diameter: 12mm" u="1"/>
        <s v="Individual Remote Start/Stop/Emergency" u="1"/>
        <s v="Provide and maintain the works during Defect Liability Period (24months) and inspection half yearly service inclusive replacement of defect parts for Bukit Nanas WTP." u="1"/>
        <s v="To provide adequately the requirements of working in confined space inclusive competent persons, personal protection equipment (PPEs), apparatus, multi-gas detector, equipment, signages, ventilations, training, procedures, documentation and health requirement which in compliance with requirement of all relevant authorities and regulations, and Air Selangor." u="1"/>
        <s v="CIVIL WORKS FOR GENERATOR ROOM" u="1"/>
        <s v="Diesel Engine Driven Air Compressor_x000a_Full service for diesel engine with replacement of Oil Filter, Fuel Filter, Air Filter, Lubricating Oil, Greasing on moving part component / Bearing and other component where necessary to complete service and operation and ensure the operating capacity pressure minimum 30 bar at 1m³ / min ._x000a_" u="1"/>
        <s v="Backfilling with sand to Specifications" u="1"/>
        <s v="Documents and Drawings" u="1"/>
        <s v="- Civil guidance and general arrangment drawings" u="1"/>
        <s v="Allow cost for construction of a temporary interlocking sheet piles to BS 4360, Grade 43A, Type FSP IIIA weighing 58.4 kg/m, inclusive of jointing at existing 2MG reservoir for soil retention to receive new chamber purpose and other works deemed necessary to complete the installation. The cost is inclusive of  testing of pile as per relevant British standard, machinery (hydraulic excavator), transportation including tools and plants. Location; 2MG Reservoir" u="1"/>
        <s v="F1:rough finish to footings" u="1"/>
        <s v="Supply, cut, bend and fix in position including tying wires, spacer block, etc." u="1"/>
        <s v="Fabricate, supply, deliver, install, testing &amp; commissioning the following as per specification and drawings" u="1"/>
        <s v="d) Hoardings" u="1"/>
        <s v="3) Notwithstanding how any of the provisional sums are expended or deducted, the Contractor will have no claim for alleged loss of profit  caused by such increase or decrease in provisional sums." u="1"/>
        <s v="1 x 9W LED 4&quot; Dia. downlight fitting with white rim, mirror reflector and glass diffuser" u="1"/>
        <s v="General clearance for the new staircase area of all vegetation and unwanted structures, rubbish and debris including grubbing of roots, disposal of all unsuitable material to contractor's dump site as approved by Air Selangor (AIS). To excavate for placement of crusher run and lean concrete. " u="1"/>
        <s v="Inspection of existing MCC c/w modification/upgrading inclusive of supply and install new  32A TPN MCCB c/w all the other accessories for new DB/SL for Compound Lighting (Located at STF) as per specification and dwg" u="1"/>
        <s v="Metal" u="1"/>
        <s v="Allow cost for liaison and compliance with Authorities, Air Selangor, and Pengurusan Aset Air Berhad (PAAB) for registrations, permits application and working within reserve to meet the requirement of Authorities, Air Selangor, and Pengurusan Aset Air Berhad (PAAB). All related cost including application fees and mandatory charges shall be borne by Contractor." u="1"/>
        <s v="To provide materials, tools and skillful personnel to conduct training on the equipment/works/system under this contract for C.A Personnel. The training shall include technical and practical training consisting of class theory, physical on-site operation and maintenance training inclusive trouble shooting of the equipment and complete system. The work shall include training program and schedule." u="1"/>
        <s v="Safety signages including maintenance." u="1"/>
        <s v="Wiring using 2 x 1C - 1.5mm² Cu. PVC cable c/w earthing in GI conduit and one way 10A flush switch faceplate, back box and accessories for floodlight lighting point" u="1"/>
        <s v="EXISTING COOLING TOWER SYSTEM_x000a_To dismantle and replace with new motor c/w belting, wiring and termination, control panel to work safe functioning in order as per existing operation. " u="1"/>
        <s v="Provide testing and commissioning report including colored progress photographs of the works." u="1"/>
        <s v="To allow cost for preparation, isolation, desilting and dewatering works for inspection and installation of penstock and other necessary works. " u="1"/>
        <s v="Services " u="1"/>
        <s v="IP 65 weatherproof switch socket outlet c/w isolator for submersible pump and all others accessories works." u="1"/>
        <s v="450 mm DN mild steel welded collar joints." u="1"/>
        <s v="Construct, maintain and removal upon completion all temporary work including making good to the original conditions." u="1"/>
        <s v="Supply and install power cable from  SSB-FG to Outlet Valve Actuator (AV1-2) comprising of 1 No. x 6 sqmm 4C PVC/SWA/PVC Copper Cable laid in trenches and cable tray" u="1"/>
        <s v="Supply and install power cable from  SSB-FG to Outlet Valve Actuator (AV2-2) comprising of 1 No. x 6 sqmm 4C PVC/SWA/PVC Copper Cable laid in trenches and cable tray" u="1"/>
        <s v="Supply and install power cable from  SSB-FG to Outlet Valve Actuator (AV3-2) comprising of 1 No. x 6 sqmm 4C PVC/SWA/PVC Copper Cable laid in trenches and cable tray" u="1"/>
        <s v="Supply and install power cable from  SSB-FG to Outlet Valve Actuator (AV4-2) comprising of 1 No. x 6 sqmm 4C PVC/SWA/PVC Copper Cable laid in trenches and cable tray" u="1"/>
        <s v="Supply and install power cable from  SSB-FG to Outlet Valve Actuator (AV5-2) comprising of 1 No. x 6 sqmm 4C PVC/SWA/PVC Copper Cable laid in trenches and cable tray" u="1"/>
        <s v="Supply and install power cable from  SSB-FG to Outlet Valve Actuator (AV6-2) comprising of 1 No. x 6 sqmm 4C PVC/SWA/PVC Copper Cable laid in trenches and cable tray" u="1"/>
        <s v="Supply and install power cable from  SSB-FG to Outlet Valve Actuator (AV7-2) comprising of 1 No. x 6 sqmm 4C PVC/SWA/PVC Copper Cable laid in trenches and cable tray" u="1"/>
        <s v="Supply and install power cable from  SSB-FG to Outlet Valve Actuator (AV8-2) comprising of 1 No. x 6 sqmm 4C PVC/SWA/PVC Copper Cable laid in trenches and cable tray" u="1"/>
        <s v="Construct and complete valve chamber consist of 200mm - 300mm thick reinforced concrete sump with 50mm thick lean concrete grade 20, 300mm concrete base grade 30, 150mm thick concrete cover grade 30, reinforcement bar, 300mm x 300mm x 350mm hole on slab with 12mm aggregate chipping, and including all necessary excavation, temporary strut and reinforcements and forming rebate etc. and other associated work, all as per directed by C.A's approval. 2000mm x 2000mm x 3000mm deep" u="1"/>
        <s v="To supply, deliver and install new fixed speeds, vertical split casing pumpsets with capacity 930m3/hr @ 49m pumping head complete with base plate, pump stool, tyre coupling and all other accessories." u="1"/>
        <s v="Concrete" u="1"/>
        <s v="Straight Specials" u="1"/>
        <s v="Dismantling of Existing Equipment and Transportation to Air Selangor's Store Room" u="1"/>
        <s v="To provide adequately the requirements of hot work  inclusive trained persons, personal protection equipment's (PPEs), apparatus, equipment's, ventilation signage's, training, procedures, and documentation which in compliance with requirement Air Selangor.   " u="1"/>
        <s v="Inspection of existing MSB and cable terminate/ dismantle the incoming to cable and to  deliver to the approved location directed by C.A" u="1"/>
        <s v="100A TPN metalclad Main Distribution Board (MSB) wall mounted, FORM 3B c/w 100A TPN MCCB, 63A/32A MCCB, RCCB, digital power meter (DPM), surge protection device (SPD) &amp; cable termination (MSB)" u="1"/>
        <s v="B1: INTAKE STATION, CIVIL AND STRUCTURAL WORKS" u="1"/>
        <s v="(a)  All valves shall be suitable for a rating of 16 bars." u="1"/>
        <s v="Dismantling of existing screw feeder and its ancillaries at the existing lime silo and  cart away to a designated area as instructed by the C.A. (Rate shall include shift and transport to an approved location )" u="1"/>
        <s v="Nominal diameter: 16mm" u="1"/>
        <s v="Radiographic test for welds for mild steel pipeline." u="1"/>
        <s v="Supply, deliver, install, testing and commissioning Local Control Panel (LCP) c/w control cabling and earthing as per Specifications and Drawings for Local Control Panel (LCP) Actuator No.1" u="1"/>
        <s v="Supply, deliver, install, testing and commissioning Local Control Panel (LCP) c/w control cabling and earthing as per Specifications and Drawings for Local Control Panel (LCP) Actuator No.2" u="1"/>
        <s v="Supply, deliver, install, testing and commissioning Local Control Panel (LCP) c/w control cabling and earthing as per Specifications and Drawings for Local Control Panel (LCP) Actuator No.3" u="1"/>
        <s v="i. from MV side to LV side not mor than 2220mm length, must seperated with transformer body, " u="1"/>
        <s v="Supply, deliver, install, testing and commissioning Local Control Panel (LCP) c/w control cabling and earthing as per Specifications and Drawings for Local Control Panel (LCP) Actuator No.4" u="1"/>
        <s v="Supply paint &amp; coats of approved weather shield paint at switchgear room. Rate to include nt external faces of concrete walls and brickwall with one coat of primer and undercoat as specified. (Room size to refer Intake layout drawing)." u="1"/>
        <s v="TRANSFORMER 750kVA (6.6/0.433 kV)_x000a_Replace, Supply and install 2 (two) numbers of 750kVA, 6.6/0.433 kV, Dyn11, 3 Phase, 50 Hz, Hermetically sealed ONAN type c/w Conservator Tank and Transformer Guard system (Summary Alarm, Temperature Trip, High Gas Pressure Trip, Main Tank Oil Level Low Trip, and Main Tank Pressure Relief Device Trip as per at existing 6.6kV switchgear), complete with necessary equipment by following specification and measurement to make sure all cables (MV/LV and signal ) can be use/terminate back." u="1"/>
        <s v="Services" u="1"/>
        <s v="Electrical earthing system for MSB room. Refer drawing 1057/P/E/W4002." u="1"/>
        <s v="100W NW LED Floodlight (IP66)" u="1"/>
        <s v="ELECTRICAL WORKS FOR NEW SCM " u="1"/>
        <s v="Supply &amp; Install electrically operated filtered water outlet double flange butterfly valves (250 mm dia.) complete with electrical actuators, mounting bracket,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u="1"/>
        <s v="Allow cost for mobilisation of Contractor's plant including transport to Site and removal on completion of the Works for Sg. Serai WTP" u="1"/>
        <s v="Depth driven " u="1"/>
        <s v="Power cabling from actuator panel to IP 65 weatherproof switch socket outlet  by using 1 no. 2.5 sq.mm/3C PVC/SWA/PVC copper cable." u="1"/>
        <s v="22W LED T8 Battern type" u="1"/>
        <s v="Hacking the existing slab to built new trenches" u="1"/>
        <s v="Drawings" u="1"/>
        <s v="Safety/life lines for workmen who work at heights more than two (2) meter ebove ground level." u="1"/>
        <s v="Testing for Butterfly Valve  " u="1"/>
        <s v="B2: INTAKE STATION, MECHANICAL AND ELECTRICAL WORKS" u="1"/>
        <s v="Dismantling and remove of existing cables and its ancillaries of existing MSB (Old) and New Sub Switchboard at MSB Room including cables inside trenches and associated works as per drawing and specification" u="1"/>
        <s v="TNB CT Meter Panel" u="1"/>
        <s v="Testing and Commissioning upon completion of street lighting works at Ampang Intake." u="1"/>
        <s v="Compliance to all statutory obligation fee as required by the local by-law and by statut gazetted by the Government; i.e CIDB, SPAN etc." u="1"/>
        <s v="50mm x 25mm uPVC trunking c/w clamp &amp; accessories" u="1"/>
        <s v="12m height mid hinged column (foldable) hot-dipped galvanised lighting pole (flanged mounted type) c/w trip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 u="1"/>
        <s v="Surge Suppression System" u="1"/>
        <s v="Surge Surpression System" u="1"/>
        <s v="2C x 10mm² PVC/SWA/PVC Copper Cable direct buried underground from MSB to DB/CDR (Chemical Dosing Room) c/w termination and cable accessories" u="1"/>
        <s v="To replace panel heater, siren, beacon light and associate accessories c/w adjustable setting thermometer, selector swich, wiring and other related work to complete operation." u="1"/>
        <s v="6m height mid hinged column (foldable) hot-dipped galvanised lighting pole (flanged mounted type) c/w doub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 u="1"/>
        <s v="Routine maintenance; including pothhole patching, drain cleaning, grass cutting, road sweeping and other ancilary  work as per Specification " u="1"/>
        <s v="Routine maintenance; including pothole patching, drain cleaning, grass cutting, road sweeping and other ancillary  work as per Specification " u="1"/>
        <s v="Supply and erection of structural members; steel to BS:4360 Grade 43A, shall be deemed to include delivery, protective and/or decorative surface treatment, fabrication, jointing type, and  handling and hoisting, as per Specification Part B Clause 7.0" u="1"/>
        <s v="Supply and install 6mm thick galvanised mild steel chequered plate cover, in framed panel complete with 50mm x 50mm x 5.8kg/m angle frame for new cable trench" u="1"/>
        <s v="Routine maintenance; including pothhole patching, drain cleaning, grass cutting, road sweeping and other ancilary  work as per Specification" u="1"/>
        <s v="Routine maintenance; including pothole patching, drain cleaning, grass cutting, road sweeping and other ancillary  work as per Specification" u="1"/>
        <s v="Supply and install power cable from MCC-TWPS to Overhead Crane comprising of 1 No. x 4 sqmm 4C PVC/SWA/PVC Copper Cable laid underground and trenches c/w 4sqmm Earth Copper Cable and isolator" u="1"/>
        <s v="Supply extension piles with x-pointed of 12m length" u="1"/>
        <s v="Modification of existing LV main switchboard (Switchroom - pump) to add new 63A TPN MCCB for the new feeder pillar FP/1 at Pump House, wiring works and all the other accessories" u="1"/>
        <s v="To provide provision sum of Ringgit Malaysia Twenty Thousand Only (RM20,000.00) for the make good and repairing of existing fencing, excavation works for cabling and installation of lighting pole at Bukit Nanas WTP." u="1"/>
        <s v="Work Programme" u="1"/>
        <s v="Allow cost for the preparation of contract documentation, binding in hardcovers and stamping (1 original, 1 certified true copy, 5 hard copies and 1 scan copy)." u="1"/>
        <s v="Maintenance of road" u="1"/>
        <s v="To carry out JKR Probes Test or Mackintosh Probes Test to a depth not exceeding 15m;inclusive testing equipment, mobilisation and demobilisation and all in accordance to specification; and submit 4 sets of test result to client/consultant for engineer's approval." u="1"/>
        <s v="Supply initial piles with rock shoes of 12m length" u="1"/>
        <s v="Clear the perimeter drain at 2MG Reservoir  from sand up to an agreed level approval by C.A and any debris or rubbish, remove all debris to contractor own dump site for duration of contract." u="1"/>
        <s v="Fabricated, supply, deliver, install and testing &amp; commissioning of the following in accordance to the drawings and specification" u="1"/>
        <s v="Provide full time and registered Safety &amp; Health Site Safety Supervisor (SSS) with DOSH Malaysia with at least 3 years of working experience in safety works. " u="1"/>
        <s v="Fabricate, supply, deliver, install and testing &amp; commissioning the following items to complete overall Lightning Protection System in accordance with MS IEC 62305:2010, drawings and specification" u="1"/>
        <s v="8m height mid hinged column (foldable) hot-dipped galvanised lighting pole (flanged mounted type) c/w doub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 u="1"/>
        <s v="3W LED Emergency light surface mounted c/w Hi-Temp Nickel Cadmium Battery for 3 hours as per Bomba approved" u="1"/>
        <s v="TESTING &amp; COMMISSIONING WORKS_x000a_Full test as requested in Bill B" u="1"/>
        <s v="MECHANICAL WORKS" u="1"/>
        <s v="All rates/ cost proposed shall include testing and commissioning" u="1"/>
        <s v="Provide and maintain the works during Defect Liability Period (24months) and inspection half yearly service inclusive replacement of defect parts for Cheras Mile 11 WTP." u="1"/>
        <s v="To provide site test report." u="1"/>
        <s v="Temporary Road Diversion" u="1"/>
        <s v="Carry out dial gauge allignment to the pumpsets installed. The rate shall include for providing the instrument for carrying out the test/probes and reports." u="1"/>
        <s v="Supply and Install of 300A TPN metalclad floor mounted Sub-Switchboard Form 3B c/w 150A/100A/60A/30A TPN MCCB, MCB, Fuse, Protection relay, Shunt trip, SPD, DPM &amp; all other accessories c/w termination at Treatment Plant. Refer drawing: AIS/2530016/CB11/25/MSB/002" u="1"/>
        <s v="Earthing" u="1"/>
        <s v="To provide adequately the requirements of hot work inclusive trained persons, personal protection equipment (PPEs), apparatus, equipment, ventilation, signages, training, procedures and documentations which in compliance with requirement of Air Selangor." u="1"/>
        <s v="Supply and install power cable from Existing MSB (Old) to MCC-TWPS comprising of 8 Nos. x 240 sqmm 4C XLPE/SWA/PVC Copper Cable laid underground and trenches c/w 25mm x 3mm Tinned Earth Copper Tape" u="1"/>
        <s v="To provide and submit technical submission documentation for work program (Gantt chart) in Microsoft Project/Primavera, shop drawings, calculation, catalogues, work method statements, test procedures, mill certificates, factory inspection reports, site T&amp;C test reports, bill of materials, etc for all equipment and related system, complete with PE endorsement (which applicable)." u="1"/>
        <s v="Surge analysis and assesment on pumping system complete with report and submission of the reports shall endorsed by qualified Profesional Engineer (P.E)" u="1"/>
        <s v="Painting on Generator Room internal floors shall be applied with two-pack epoxy sealer, followed two(2) coats of two-pack epoxy floor coating 50 µm DFT per coat with using colour code 'Evergreen 1461' by KCC Coating.  c/w rectification work of defect at the floor._x000a_(approx.area = 1050sqft)" u="1"/>
        <s v="Allow provision to disconnect and dismantle of existing lighting, switch socket outlet, wiring, at the Sg Serai WTP and deliver to the approved CA storage. Rate shall include materials, equipment, labour and skills required for welding, hacking, cutting and making good of all existing structure upon completion at Admin Building, Chemical Room, Chemical Dosing Room, Pendosan Room, Guard House and Transfer pump panel." u="1"/>
        <s v="16mm Diameter bar. All reinforcing bars shall be off high tensile steel unless stated otherwise. The rates for all reinforcing steel shall include for all cutting, bending, placing and fixing, trying wires, saddles, spacers, rooling margins, wastage etc." u="1"/>
        <s v="200kVA standby generator service c/w feeder panel, auto switching, diesel, etc. for temporary power supply to Ampang WTP plant for the period of shutdown. Rate shall include mobilization and demobilization of the standby generator set to complete the works." u="1"/>
        <s v="Miscellaneous" u="1"/>
        <s v="Quality Assurance / Quality Control (QA/QC)" u="1"/>
        <s v="To supply and install new Outstation equipment including PLCs, modems, I/O modules, software and all ancillary equipment including power supply units, power cabling, fibre optic cabling, signal cabling from respective switchboard, instrument panel, marshalling panel, etc. for Outstation O/S 1 - Generator Room." u="1"/>
        <s v="Supply &amp; Install Chemical Dosing pumpset (12 LPH) complete with complete with servo motor, weather proof control panel, R.C Plinth and all ancillary equipment, etc as detailed in the Specifications and Drawings." u="1"/>
        <s v="400mm height, non corrosive raised floor for MSB room complete with aluminium panels and grid supports with pedestals, stringers, steps at access door and any other components for a complete raised floor system as shown in Drawings" u="1"/>
        <s v="F1: rough finish to bases of chambers." u="1"/>
        <s v="F1: rough finish to walls of chambers." u="1"/>
        <s v="Taking Care of Existing Plant" u="1"/>
        <s v="Cabling from Actuator DB to DN600 valve actuator no.1 using  using 2.5sq.mm/4C PVC/SWA/PVC cable." u="1"/>
        <s v="Cabling from Actuator DB to DN600 valve actuator no.2 using  using 2.5sq.mm/4C PVC/SWA/PVC cable." u="1"/>
        <s v="Provide Personal Protective Equipment (PPE) for C.A.'s site office which include three (3) safety boots, and  three (3) safety helmets. " u="1"/>
        <s v="Wiring using 2 x 1C - 1.5mm² Cu. PVC cable c/w earthing in concealed uPVC conduit and one way 10A flush switch faceplate, back box and accessories for exhaust fan point" u="1"/>
        <s v="Allow cost to execute the penstock replacement works in stages to ensure minimal impact to the water supply." u="1"/>
        <s v="Existing Compound &amp; Street Lighting - 4C x 6mm² PVC/SWA/PVC Copper Cable laid in Tray/Trunking from MSB (Treatment Plant)" u="1"/>
        <s v="ii. From the bottom of Transformer to top of LV cable box not more than 1480mm" u="1"/>
        <s v="F2 : Fair finish to base" u="1"/>
        <s v="12mm Diameter bar. All reinforcing bars shall be off high tensile steel unless stated otherwise. The rates for all reinforcing steel shall include for all cutting, bending, placing and fixing, trying wires, saddles, spacers, rooling margins, wastage etc." u="1"/>
        <s v="Supply and install 2 hours single leaf fire rated door c/w frame, hacking existing wall, make good, painting and all others related works._x000a_Door Size : 2000 mm (H) x 1000 mm (W)" u="1"/>
        <s v="Supply, erect, built in and paint as specified doors complete with frames, internal and external locks, ironmongery, door furnitures etc." u="1"/>
        <s v="The following items shall be deemed to include nuts, washers, gusset and end plates, stiffeners, other accessories, and protective and decorative surface treatment" u="1"/>
        <s v="Supply, deliver and install new weatherproof DB 415V, 60A with Form 3B construction, IP54 enclosure, complete with complete with LED indicating light, breakers, protection system, earthing, concrete plinth and others accessories related to works." u="1"/>
        <s v="600 mm DN plain and ended barrel with 600 mm DN plain branch concentric mild steel tee as shown in Drawing." u="1"/>
        <s v="In calculating the completion period, the Contractor shall for all purposes and intent of this Contract shall take into consideration the provisional sums.  No extension  of time shall  be granted for utilisation of provisional sums under the Contract. Time for completing works under provisional sums shall be deemed to be included in the completion period stated in the form of tender." u="1"/>
        <s v="Nominal diameter : 10mm" u="1"/>
        <s v="Supply, deliver, install, testing and commissioning Individual remote start/stop/emergency stop pushbutton stations pole mounted c/w control cabling and earthing as per Specifications and Drawings for Treated Water Pump (0212287586070)" u="1"/>
        <s v="Cabling Works" u="1"/>
        <s v="- Electrical block diagrams, loop wiring diagrams,  electrical schematics, connection, termination, cable schedules and all other electrical drawings. " u="1"/>
        <s v="Roof Structure" u="1"/>
        <s v=" Double pole 20A A/Cond switch with neon indicator" u="1"/>
        <s v="F2: fair finish to beam" u="1"/>
        <s v="Existing &quot;SSB-CHL&quot; - 4C x 35mm² XLPE/SWA/PVC Copper Cable laid in Tray/Trunking from MSB (Treatment Plant)" u="1"/>
        <s v="Wall to trenches" u="1"/>
        <s v="Cabling from new weatherproof DB to new perimeter light using 1 no. 10 sq.mm/4C XLPE/SWA/PVC copper cable c/w 13mm x 1.6mm tinned earthing copper tape." u="1"/>
        <s v="4C x 10mm² PVC/SWA/PVC Copper Cable laid underground from FP/ 2 to lighting poles c/w termination and cable accessories at services box " u="1"/>
        <s v="Items for landscaping shall be deemed to include digging, planting media, bedding, stalking, protection, watering, weeding, required fertilising, and replacement of dead item until the vegetation is established." u="1"/>
        <s v="Statutory Obligation" u="1"/>
        <s v="20mm thk plastering in 2 coats, steel trowelled finish on brickwall, columns and etc." u="1"/>
        <s v="Nominal diameter: 10 mm" u="1"/>
        <s v="Hot-rolled sections" u="1"/>
        <s v="LOCAL SCADA AND MONITORING SYSTEM_x000a_Local Single OS SCADA Monitoring System related to upgrading existing monitoring signal system networks for Generator Equipment and associated accessories to complete monitoring system as per requirement and specification.Master Station equipment including data servers on hot standby, bulk data storage devices, engineering workstations, 60&quot; LCD screen, fiber optic network cables, hubs, communication directors, interwiring, web server etc., and all other items necessary for a complete working system. " u="1"/>
        <s v="TURFING" u="1"/>
        <s v="Supply and install control cable from Wash Water Valve Actuator (AV1-3)  comprising of  2.5mmsq Multicore PVC/SWA/PVC Auxiliary and Control cables laid in trenches and cable tray" u="1"/>
        <s v="Supply and install control cable from Wash Water Valve Actuator (AV2-3)  comprising of  2.5mmsq Multicore PVC/SWA/PVC Auxiliary and Control cables laid in trenches and cable tray" u="1"/>
        <s v="Supply and install control cable from Wash Water Valve Actuator (AV3-3)  comprising of  2.5mmsq Multicore PVC/SWA/PVC Auxiliary and Control cables laid in trenches and cable tray" u="1"/>
        <s v="Supply and install control cable from Wash Water Valve Actuator (AV4-3)  comprising of  2.5mmsq Multicore PVC/SWA/PVC Auxiliary and Control cables laid in trenches and cable tray" u="1"/>
        <s v="Supply and install control cable from Wash Water Valve Actuator (AV5-3)  comprising of  2.5mmsq Multicore PVC/SWA/PVC Auxiliary and Control cables laid in trenches and cable tray" u="1"/>
        <s v="Supply and install control cable from Wash Water Valve Actuator (AV6-3)  comprising of  2.5mmsq Multicore PVC/SWA/PVC Auxiliary and Control cables laid in trenches and cable tray" u="1"/>
        <s v="Supply and install control cable from Wash Water Valve Actuator (AV7-3)  comprising of  2.5mmsq Multicore PVC/SWA/PVC Auxiliary and Control cables laid in trenches and cable tray" u="1"/>
        <s v="Supply and install control cable from Wash Water Valve Actuator (AV8-3)  comprising of  2.5mmsq Multicore PVC/SWA/PVC Auxiliary and Control cables laid in trenches and cable tray" u="1"/>
        <s v="BRICKWORK" u="1"/>
        <s v="Other Associated Works" u="1"/>
        <s v="Factory  Acceptance Test (FAT) at the  Manufacturer's Factory as described for 6.6/0.433kV ONAN Transformer" u="1"/>
        <s v="Wiring using 2C - 6mm2 Cu. PVC/SW/PVC cable direct buried underground, back box, switch faceplate for 100W LED street light " u="1"/>
        <s v="Provide two (2) sets of latest model smart phone c/w  iOS/android operating system c/w unlimited data and call plan with minumum 8G RAM and 120GB storage for the use of Consultant representative and provision for all charges and deposit required by the tele-communication companies, taxes, etc. in good working conditions throughout the Contract Period and revert to Contractor three (3) months after issuance of Certificate of Practical Completion (CPC). To include cost of monthly rental and bill payment." u="1"/>
        <s v="ii. Maintenance" u="1"/>
        <s v="Provide and maintain for (4) nos of project signboards as per C.A. requirement and to be removed upon completion of the project ." u="1"/>
        <s v="Low Voltage Cables (1000V)_x000a_To supply and install new c/w termination work using XLPE/SWA/PVC (1kV) Cooper cable laid in trenches c/w accessories From 415V MSB/MCC to New 110V DC Charger Panel by using 1 No. 4C x 16sq. mm c/w 25mm x 3mm tinned earting copper tape." u="1"/>
        <s v="IN SITU CONCRETE" u="1"/>
        <s v="LANDSCAPING" u="1"/>
        <s v="Supply &amp; Install 15” VGA TXT industrial touch panel (Resolution 1064 x 768)" u="1"/>
        <s v="Bukit Tampoi WTP (Old)" u="1"/>
        <s v="Supply, deliver and install intelligent type, electric actuator complete with headstock, manual override handwheel, extension spindle (SS304), muff coupler connection, bracket and other auxiliary items to complete the electrical actuator installation for the new sluice valve. Location: 1MG Balancing Reservoir." u="1"/>
        <s v="Supply, deliver and install intelligent type, electric actuator complete with headstock, manual override handwheel, extension spindle (SS304), muff coupler connection, bracket and other auxiliary items to complete the electrical actuator installation for the new sluice valve. Location: 2MG Balancing Reservoir." u="1"/>
        <s v="Supply and install a protective cover of stainless steel light wire mesh using screw clips jointing method including all necessary fixing accessories to complete the installation. The installation shall well fitted to suit the existing dehumidifier structure size to protect it from birds nesting or any other interference. Contractor to allow any required openings for the ease of maintenance activity. The items shall be deemed to include the repairing, touching up works to existing structure and making good works to disturbed area." u="1"/>
        <s v="RESURFACES ACCESS ROAD" u="1"/>
        <s v="Cat 6 cable from Supervisory Panel to existing SCD panel complete with terminations,etc. " u="1"/>
        <s v="Foundation" u="1"/>
        <s v="Mild Steel Bars" u="1"/>
        <s v="Heat shrinkable termination  for all cables &quot;IN&quot; and &quot;OUT&quot; as per drawing and specification. " u="1"/>
        <s v="Supply and Install suitable Surge Suppression System for Pumping Main system as per surge analysis report with all necessary item." u="1"/>
        <s v="Ceiling mounted 2 x 18w LED T8 c/w accessories." u="1"/>
        <s v="Main Switchboard, AMF Board, Air Compressor Board, Chemical Dosing Board, Cooling Tower Board, MSB &amp; MCC Board complete with starter panel (test at local assembly plant is acceptable)." u="1"/>
        <s v="Pipeworks" u="1"/>
        <s v="b. Online Analyser Panel" u="1"/>
        <s v="Excavation for foundation shall include upholding sides of excavation, preparation of excavated surface, additional excavation to provide working space and removal of dead services." u="1"/>
        <s v="Rock" u="1"/>
        <s v="Supply and lay as specified cement render on the slab." u="1"/>
        <s v="A: GENERAL AND PRELIMINARIES" u="1"/>
        <s v="Supply and install control cable from Sampling Pump comprising of  2.5mmsq Multicore PVC/SWA/PVC Auxiliary and Control cables" u="1"/>
        <s v="Statutory Obligations" u="1"/>
        <s v="Prefabricated cold formed steel roof trusses system" u="1"/>
        <s v="Supply and install of heat shrinkable termination for all cables &quot;IN&quot; and &quot;OUT&quot; as per drawing and specification. " u="1"/>
        <s v="d) Workmen accomodation" u="1"/>
        <s v="UPGRADING TREATED WATER PUMPS WORKS" u="1"/>
        <s v="PART B2 : (Mechanical) NEW STREAMING CURRENT DETECTORS" u="1"/>
        <s v="To provide materials, tools and skilful personnel to conduct training on the equipment/works/system under this contract for C.A Personnel. The training shall include technical and practical training consisting of class theory, physical on-site operation and maintenance training inclusive trouble shooting of the equipment and complete system. The work shall include training program and schedule." u="1"/>
        <s v="Valve" u="1"/>
        <s v="Prepare and apply two coats of base primer (zinc chromate) and two coats of alkyd gloss (micaceous iron oxide) paint to: (All as per Specifications, Consulting Engineer's Drawings and approval)" u="1"/>
        <s v="Provide and maintain temporary water supply, electricity and sanitation for temporary site office." u="1"/>
        <s v="Earth material commencing from ground level to base of trenches" u="1"/>
        <s v="2) All provisional sums are to be expanded as directed by the S.O.  It shall be deducted wholly  or in part if not required." u="1"/>
        <s v="Existing Online Analyzer - 4C x 6mm² PVC/SWA/PVC Copper Cable laid in Tray/Trunking from MSB (Treatment Plant)" u="1"/>
        <s v="Allow cost for mobilisation of Contractor's plant including transport to Site and removal on completion of the Works for Ampang Intake" u="1"/>
        <s v="Uninterruptable Power Supply System (UPS) c/w inverter battery charger unit, batteries (sealed lead acid), distribution board, etc. " u="1"/>
        <s v="The contractor shall not carry out any work that is the subject of  provisional sums without express instruction of the Contract Administrator (C.A.). The Contract Administrator (C.A.) reserve the right not to value and certify payments for such works carried out in the absence of an C.A. written instructions. Likewise the employer shall not be obliged to make any payment for unauthorised works." u="1"/>
        <s v="g) Jabatan Keselamatan &amp; Kesihatan Pekerjaan (JKKP)" u="1"/>
        <s v="Allow for dilapidated survey, all setting out of boundaries and engineering survey during the course of works including the provision of all necessary equipment, materials, licensed surveyor and labour as specified." u="1"/>
        <s v="Supply and install control cable from Treated Water Pump (48423651175) comprising of  2.5mmsq Multicore PVC/SWA/PVC Auxiliary and Control cables" u="1"/>
        <s v="Dismantling of all ceiling, hoist, roof trusses, roof covering, window and other fixing accessories as specified and directed by the C.A" u="1"/>
        <s v="Prepare and apply one (1) coat of primer and two (2) coats of emulsion paint to internal exposed concrete surfaces." u="1"/>
        <s v="The contractor shall register with CIDB &amp; DOSH and comply with all directives and standards set or to be set by the CIDB from time to time by virtue of the &quot;Lembaga Pembangunan Industri Pembinaan Malaysia (Akta 520) 1994&quot;. Allow cost to comply with the requirements of Lembaga Pembangunan Industri Pembinaan Malaysia (CIDB &amp; DOSH), including payment for levies and any other fees required. The contractor under this clause can be included in the Interim Certificate." u="1"/>
        <s v="Supply, deliver and install DN350mm sluice valve with  gasket, bolt, nut, washer and other auxiliary items to complete the valve installation. The valve shall be operated by electrical actuator. New sluice valve to suit the existing pipe. Location: 1MG Balancing Reservoir. (Contractor to further inspect and confirm the valve size at site before purchase order)" u="1"/>
        <s v="Supply, deliver and install DN500mm sluice valve with  gasket, bolt, nut, washer and other auxiliary items to complete the valve installation. The valve shall be operated by electrical actuator. New sluice valve to suit the existing pipe. Location: 2MG Balancing Reservoir. (Contractor to further inspect and confirm the valve size at site before purchase order)" u="1"/>
        <s v="C: RAW WATER PIPELINES" u="1"/>
        <s v="SUBMERSIBLE PUMPSET" u="1"/>
        <s v="The Contractor shall be required to provide a complete First Aid Kit which shall be kept and properly maintained in the Contractor’s Site Office. The kit shall be in charge by either the Contractor’s Site representatives or some other responsible person who will be on the site during all working hours to ensure that the First Aid Facilities are available without delay at all times when work is in progress." u="1"/>
        <s v="EXISTING MCC BOARDS" u="1"/>
        <s v="To supply, deliver, install, testing and commissioning Local Control Panel (LCP) c/w control cabling and earthing as per Specifications and Drawings for :" u="1"/>
        <s v="Existing New Filter Console &amp; Actuation DB - 4C x 16mm² PVC/SWA/PVC Copper Cable laid in Tray/Trunking from MSB (Treatment Plant)" u="1"/>
        <s v="SUB-MAIN BOARD/DISTRIBUTION" u="1"/>
        <s v="INSTRUMENTATION WORKS FOR FILTER AND FILTER GALLERY" u="1"/>
        <s v="Demolition of pipelines shall be deemed to include demolition and removal of supports." u="1"/>
        <s v="Supply and install of complete solid earthing system (≤ 3 ohm) using 25mm x 3mm copper tape, 5/8&quot; x 12 feet copper earth electrode, heavy duty pre-cast earth chamber etc. as per drawing and specification for the feeder pillars (connection of the copper tape to the earth electrode shall be exothermic welded connection (Cadweld). The price shall be cost in until achieve less than ≤ 3 ohm." u="1"/>
        <s v="WINDOWS" u="1"/>
        <s v="Wiring using 2 x 1C -2.5mm² Cu. PVC cable c/w earthing in partly concealed uPVC conduit c/w back box, 13A SSO faceplate and accessories" u="1"/>
        <s v="NEW ELECTRICAL DRIVEN AIR COMPRESSOR SYSTEM _x000a_To dismantle and install new Air Compressor System c/w control panel and  all associated accessories to complete installation and operation as existing system requirement but not limited to the following item;_x000a_Air Compressor Operating Capacity pressure minimum 30 bar at 1m³ / min  c/w dryer and filter system._x000a_Piping System with jointing back to the existing system cylinder c/w all required accessories._x000a_" u="1"/>
        <s v="Provision of utility cost" u="1"/>
        <s v="MECHANICAL, ELECTRICAL AND INSTRUMENTATION WORKS" u="1"/>
        <s v="Two (2) tonne, electric overhead travelling single girder crane system complete with brackets, railings, mountings, motors, runway beams, etc. for Treated Water pumpsets and its ancillary equipment as detailed in the Specifications and Drawings." u="1"/>
        <s v="Wiring using 2 x 1C -2.5mm² Cu. PVC cable c/w earthing in concealed uPVC conduit c/w back box, 13A Switch Socket Outlet (SSO) faceplate and accessories" u="1"/>
        <s v="Provision of five (5) complete sets of official submission documentation for project execution plan, photograph, QA/QC documents, monthly progress reports, work programme in Microsoft Project(Critical Path Method (CPM) / Gant Chart Format), shop drawings, calculation, catalogue, sample boards, work method statements, test procedures, certificates, factory test reports, site T&amp;C reports for all equipment and related system, complete with all necessary PE certification." u="1"/>
        <s v="F2: fair finish to walls of chambers." u="1"/>
        <s v="450 mm DN flange adaptor complete with tie rods." u="1"/>
        <s v="Grade 30 concrete at the  R.C Staircase, trowelled smooth finish, intermediate landing platform and beam" u="1"/>
        <s v="Grade 30 concrete for the R.C Staircase, trowelled smooth finish, intermediate landing platform and beam" u="1"/>
        <s v="All contractor's workers and supervisors shall have attended safety training by NIOSH for working under confined space with valid AESP (Authorized Entrance &amp; Standby Person) certificate if required by the scope of works. Any work in confined space shall be supervised by valid AGTES personnel, registered with DOSH. To provide three (3) nos. of participant from C.A.'s representative for attending and obtaining certificate of AESP competencies from NIOSH for supervising the works. " u="1"/>
        <s v="PART A : GENERAL ITEMS " u="1"/>
        <s v="Supply, deliver, install, testing and commissioning Individual remote start/stop/emergency stop pushbutton stations pole mounted c/w control cabling and earthing as per Specifications and Drawings for Treated Water Pump (082602817420)" u="1"/>
        <s v="600 mm DN mild steel blank flanges. Flanges shall be PN 16" u="1"/>
        <s v="c) Sanitary Facilities" u="1"/>
        <s v="Supply, deliver, install, testing and commissioning Individual remote start/stop/emergency stop pushbutton stations pole mounted c/w control cabling and earthing as per Specifications and Drawings for Treated Water Pump (100856302181)" u="1"/>
        <s v="Wiring using 2 x 1C -2.5mm² Cu. PVC cable c/w earthing in partly surface GI conduit c/w back box, 13A Switch Socket Outlet (SSO) faceplate and accessories" u="1"/>
        <s v="PART B2 : (Electrical) New SCM " u="1"/>
        <s v=" 1 gang 1 way 10A switch" u="1"/>
        <s v="Performance Bond." u="1"/>
        <s v="Items for joints shall include supply of all jointing materials, bolts, nuts, washers, gaskets, making good of joints both internally and externally." u="1"/>
        <s v="Supply, deliver and install DN350mm butterfly valve with gasket, bolt, nut, washer and other auxiliary items to complete the valve installation. The valve shall be operated by electrical actuator. New butterfly valve to suit the existing pipe. Location: 1MG Balancing Reservoir. (Contractor to further inspect and confirm the valve size at site before purchase order)" u="1"/>
        <s v="Facilities" u="1"/>
        <s v="Supply, deliver, install, testing and commissioning Individual remote start/stop/emergency stop pushbutton stations pole mounted c/w control cabling and earthing as per Specifications and Drawings for Treated Water Pump (For Pump Asset ID : 48423651175)" u="1"/>
        <s v="Rate for formwork shall be deemed to include the projections and intrusions and any temporary staging required." u="1"/>
        <s v="Wiring using 2 x 1C -2.5mm² Cu. PVC cable c/w earthing in GI conduit and partly concealed uPVC conduit c/w back box, 13A switch socket outlet (SSO) faceplate and accessories" u="1"/>
        <s v="Allow cost for mobilisation of Contractor's plant including transport to Site and removal on completion of the Works for Bukit Nanas WTP" u="1"/>
        <s v="Provide a Provisional Sum of Ringgit Malaysia: Fifty Thousand Only (RM 50,000.00) for related cost for the construction of new reinforced concrete marker post, pipe / valve support on the ground, or within pipe trench, or within the valve chamber, access platform and reinstatement of the existing concrete support for pipe / valve to guarantee  the functioning of the system to the satisfaction of C.A and / or to be used as any works directed by the C.A and to be deducted in whole or part if not required. " u="1"/>
        <s v="Allow cost to carry out all necessary utilities detection and mapping, and all necessary piloting works." u="1"/>
        <s v="Preparation and submission of As-Built drawings of the works, operation and maintenance manuals including facilities and assistance for checking by the C.A. as specified in Specification clause 1.1.15. Drawings shall be endorsed by the Professional Engineer." u="1"/>
        <s v="Rate for in situ concrete designed mix shall be deemed to include placing and compacting of concrete" u="1"/>
        <s v="Rate for in situ concrete designed mix shall be deemed to include placing and compaction of concrete" u="1"/>
        <s v="Wiring using 2 x 1C - 1.5mm² Cu. PVC cable c/w earthing in uPVC conduit and partly concealed uPVC conduit and one way 10A flush switch faceplate, back box and accessories for floodlight lighting point" u="1"/>
        <s v="Supply and install power cable from SSB-SCM to SCM Panel comprising of 1 No. x 6 sqmm 4C PVC/SWA/PVC Copper Cable laid in trenches and cable tray c/w 6 sqmm Earth Copper Cable" u="1"/>
        <s v="Contract Document  binding in hardcovers and stamping (6 copies)" u="1"/>
        <s v="To supply and install new Outstation equipment including PLCs, modems, I/O modules, software and all ancillary equipment including power supply units, power cabling, fibre optic cabling, signal cabling from respective switchboard, instrument panel, marshalling panel, etc. for Outstation O/S 2 - Switchrom at Existing Switchroom" u="1"/>
        <s v="PERIMETER DRAIN" u="1"/>
        <s v="To supply and install new Busbar VT Panel c/w necessary accessories for Control Generator / Alarm Panel_x000a_" u="1"/>
        <s v="F2: Fair finish to column" u="1"/>
        <s v="Dismantling and remove of existing cables and its ancillaries of existing Treated Water Pumps at Pump House including cables inside trenches and associated works as per drawing and specification. Rate shall inclusive of proper packing, listing and transportation cost not exceeding 100km away from site." u="1"/>
        <s v="ALKYD GLOSS PAINT" u="1"/>
        <s v="Portable Submersible Dewatering Pump and Other Associated Works" u="1"/>
        <s v="All fabricated PCFS roof truss, rafter chord, bearer, tie down and bracing, strut, wall panel, connector, fixing, straps, bolting and other accessories works and including selected painting material and labour required for the complete installation of the C.A. Provide all calculations and drawings complete with PE endorsement" u="1"/>
        <s v="F1: rough finish to ground slabs" u="1"/>
        <s v="Existing Celcom Tower SSB DB - 4C x 16mm² PVC/SWA/PVC Copper Cable laid in Tray/Trunking from MSB (Treatment Plant)" u="1"/>
        <s v="Existing Service Water Panel - 4C x 10mm² PVC/SWA/PVC Copper Cable laid in Tray/Trunking from MSB (Treatment Plant)" u="1"/>
        <s v="32A TPN metalclad distribution board  (DB/SL) c/w 32A TPN MCB, 32A MCB, RCCB, SPD, timer (24hours spring reserve) &amp; cable termination (located at STF)" u="1"/>
        <s v="Inspect and test the existing bin activator system and carry out the necessary service, repair, make good, tightened and strength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Allow for maintaining a healthy site environment at all times, complying to OSHA 1994, FMA 1967, EQA 1974, regulation, all relevant local authority requirements and all Health, Safety &amp; Environment Section (HSE) Air Selangor requirement as per, but not limited to Appendix D(13) including: a) To attend safety briefing at Air Selangor HQ; b) To acquire &quot;safety card&quot; from HSE Section Air Selangor; c) To submit name of workers for screening to Security Department, Air Selangor for MKN approval (if required); d) Other health, safety and security requirements." u="1"/>
        <s v="PRECAST CONCRETE" u="1"/>
        <s v="To supply and install Filter bed ultrasonic level monitoring unit including sensors, transmitters and other accessories for a complete system" u="1"/>
        <s v="MEDIUM VOLTAGE CABLE (11kV) _x000a_To supply and install new of 1 No. 3C x 300sq.mm XLPE/SWA/PVC (11kV) copper cable laid in trenches c/w 25mm x 6mm tinned earthing copper tape and accessories from 5MW High Voltage Generator Alternator Box to 6.6kV GIS Incomer No. 1." u="1"/>
        <s v="BACKFILLING AND BEDDING MATERIALS" u="1"/>
        <s v="To supply, deliver and install new indoor VFD Control Panel consists of TECO Inverter of 160kW / 415V, MCCB, magnetic contactor, push button, emergency stop buttons, indication lamps, etc for a complete system." u="1"/>
        <s v="Provide and maintain Contractor's temporary site office (portable cabin size min. 20 ft (L) x 10 ft (W) x 8 1/2 ft (H)) workmen accommodation, temporary buildings and stores inclusive temporary water supply, temporary electricity, temporary sanitation and all necessary for use by the Contractor and subsequent removal after completion date. " u="1"/>
        <s v="Decking" u="1"/>
        <s v="Existing &quot;Isolator for ATV Actuator OTV Panel&quot; - 4C x 35mm² XLPE/SWA/PVC Copper Cable laid in Tray/Trunking from MSB (Treatment Plant)" u="1"/>
        <s v="Existing Chemical Plant (B) DB (Filter Gallery) - 4C x 16mm² PVC/SWA/PVC Copper Cable laid in Tray/Trunking from MSB (Treatment Plant)" u="1"/>
        <s v="Existing Main Isolator Board (Switchroom No 2) - 4C x 50mm² XLPE/SWA/PVC Copper Cable laid in Tray/Trunking from MSB (Treatment Plant)" u="1"/>
        <s v="25mm diameter x 300 mm wide galvanised mild steel step irons. Rate to include full assemblies." u="1"/>
        <s v="Provide a Provisional Sum of Ringgit Malaysia: Two Hundred Thousand Only (RM 200,000.00) for related cost on construction of new reinforced concrete for internal/external wiring c/w accessories,  pipe trench, or within the valve chamber and pipe/valve to guarantee the functioning of the system to satisfaction of C.A/C.A.R and/or to be used as any works directed by the CA and to be deducted in whole or part if not required._x000a_Note:_x000a_The description for the item in the Bills of Quantities / Schedule of Works shall give the main details of the work to be priced but are not intended to detail every factor that will affect the price. The descriptions must be read in conjuction with the Drawings, Method of Measurement and Preambles, Specifications and all other documents forming part of the Contract including complying with all relevant authorities' requirements. Provide a Provisional Sum for related cost for the execution and completion of the works for civil, mechanical and electrical equipment including refurbishment of existing CGAP Panel, Switchgear, Scada System and instruments and all its related accessories after further inspection and recommendation as according to thr report to guarantee the functioning of the system to satisfaction of C.A/ C.A.R to be used as directed by the C.A." u="1"/>
        <s v="PART B1: (C&amp;S) Refurbishment Works at Existing Pump House" u="1"/>
        <s v="Supply and install the fixed louvres window (10mm thick) in anodised aluminium frame for 3000mm wide x 600mm high clear opening complete with all necessary fixing accessories.  Rate to include painting and fittings." u="1"/>
        <s v="Supply and install the fixed louvres window (10mm thick) in anodised aluminium frame for 4800mm wide x 600mm high clear opening complete with all necessary fixing accessories.  Rate to include painting and fittings." u="1"/>
        <s v="ELECTRICAL WORKS AT FILTER AND FILTER GALLERY" u="1"/>
        <s v="Allow safe work / standard operating procedure for prevention of COVID-19 at workplace inclusive of information, training, daily body temperature measurement, symptom screening, Personal Protective Equipment (PPE), swap test, sanitation and hygiene, etc. issued by MKN and Air Selangor from time to time. " u="1"/>
        <s v="Supply and install of cable accessories for cable to be mounted at pole such as dead clamp, etc. as per typical standard connection at pole" u="1"/>
        <s v="2C x 16mm²   PVC/SWA/PVC Copper Cable direct buried underground from  Existing MCC 1 to lighting pole c/w termination at service box &amp; all other accessories, Detail as per drawing no: AIS/2520016/BN/25/STL/002" u="1"/>
        <s v="Excavate in unsuitable material." u="1"/>
        <s v="Allow to carry out structural and integrity test for existing column as specified and directed by C.A" u="1"/>
        <s v="The following items shall be deemed to include nuts, washers, gusset and end plates, stiffeners and other accessories" u="1"/>
        <s v="Trench excavation shall be deemed to include preparation of surfaces, excavation for bedding, multiple handling, disposal of surplus excavated material (including unsuitable material), upholding sides of excavation, allowance for working space, backfilling, removal of dead services, and reinstatement of original surface unless covered by separate items." u="1"/>
        <s v="Precast concrete footing (350mm x 350mm x 900mm) for 6m and 8m pole c/w anchor bolt for mounting of flange mounted column." u="1"/>
        <s v="Supply and install power cable from  SSB-FG to Air Scour Valve Actuator (AV1-4) comprising of 1 No. x 6 sqmm 4C PVC/SWA/PVC Copper Cable laid in trenches and cable tray" u="1"/>
        <s v="Supply and install power cable from  SSB-FG to Air Scour Valve Actuator (AV2-4) comprising of 1 No. x 6 sqmm 4C PVC/SWA/PVC Copper Cable laid in trenches and cable tray" u="1"/>
        <s v="Supply and install power cable from  SSB-FG to Air Scour Valve Actuator (AV3-4) comprising of 1 No. x 6 sqmm 4C PVC/SWA/PVC Copper Cable laid in trenches and cable tray" u="1"/>
        <s v="Supply and install power cable from  SSB-FG to Air Scour Valve Actuator (AV4-4) comprising of 1 No. x 6 sqmm 4C PVC/SWA/PVC Copper Cable laid in trenches and cable tray" u="1"/>
        <s v="Supply and install power cable from  SSB-FG to Air Scour Valve Actuator (AV5-4) comprising of 1 No. x 6 sqmm 4C PVC/SWA/PVC Copper Cable laid in trenches and cable tray" u="1"/>
        <s v="Supply and install power cable from  SSB-FG to Air Scour Valve Actuator (AV6-4) comprising of 1 No. x 6 sqmm 4C PVC/SWA/PVC Copper Cable laid in trenches and cable tray" u="1"/>
        <s v="Supply and install power cable from  SSB-FG to Air Scour Valve Actuator (AV7-4) comprising of 1 No. x 6 sqmm 4C PVC/SWA/PVC Copper Cable laid in trenches and cable tray" u="1"/>
        <s v="Supply and install power cable from  SSB-FG to Air Scour Valve Actuator (AV8-4) comprising of 1 No. x 6 sqmm 4C PVC/SWA/PVC Copper Cable laid in trenches and cable tray" u="1"/>
        <s v="To supply and install new Uninterruptible power supply for the master station and its ancillary equipment at the Master Station at Generator Room including inverter, converter, charger, batteries, battery rack, interwiring, power cabling to UPS, DB and master station equipment, etc. " u="1"/>
        <s v="Preparation and submission of As-Built drawings of the works, as specified in Specification. Drawings shall be endorsed by the Professional Engineer." u="1"/>
        <s v="To provide provision sum of Ringgit Malaysia Seventy Thousand Only (RM70,000.00) for the spot cow grass turfing, protection of existing slope and make good of the existing surface after the completion of cabling works at Bukit Nanas WTP." u="1"/>
        <s v="Clearance of site during progress and upon completion" u="1"/>
        <s v="To provide provision sum of Ringgit Malaysia  One Hundred Fifty Thousand Only (RM150,000.00) for the trees cutting, trims, liaison with authority, work permit, make good and remove the debris from site to the approved area by authority at all WTPs." u="1"/>
        <s v="Supply and install double tempered glass (12mm THK) c/w frame, and all others related works._x000a_(approx. area = 1200mm x 1200mm)" u="1"/>
        <s v="Existing Pump House" u="1"/>
        <s v="Carry out pump performance test according to Volumetric Test to the pumps installed. The rate shall include for providing the instrument for carrying out the test/probes and reports." u="1"/>
        <s v="STAIRCASE 1" u="1"/>
        <s v="Allow cost for mobilisation of Contractor's plant including transport to Site and removal on completion of the Works for Cheras Mile 11 WTP" u="1"/>
        <s v="To replace the existing control termination box c/w wiring, bracket and others related accessories to complete operation." u="1"/>
        <s v="Rating : 750kVA" u="1"/>
        <s v="2C x 10mm² PVC/SWA/PVC Copper Cable direct buried underground from MSB to DB/CB (Chemical Building) c/w termination and cable accessories" u="1"/>
        <s v="Submission of documents" u="1"/>
        <s v="Supply, place and compact the following concrete." u="1"/>
        <s v="Asset Tagging" u="1"/>
        <s v="STAIRCASE 2" u="1"/>
        <s v="Complete solid earthing system (≤ 10 ohm) using 25mm x 3mm copper tape, 5/8&quot; x 12 feet copper earth electrode, heavy duty pre-cast earth chamber etc. as per drawing and specification for the feeder pillars (connection of the copper tape to the earth electrode shall be exothermic welded connection. The price shall be costed in until achieve less than ≤ 10 ohm." u="1"/>
        <s v="Concrete plinth complete with sufficient opening for incoming / outgoing cabling. Detail as per drawing no: AIS/2520016/AI/25/DTL/003" u="1"/>
        <s v="Concrete plinth complete with sufficient opening for incoming / outgoing cabling. Detail as per drawing no: AIS/2520016/BN/25/DTL/003" u="1"/>
        <s v="Works shall be carried out such that there is minimum disruption to the plant operation." u="1"/>
        <s v="To provide adequately the requirements of hot work inclusive personal protection equipment (PPEs), apparatus, equipment, signages, training, procedures, documentation and health requirement which in compliance with requirement of all relevant authorities and regulations, and Air Selangor." u="1"/>
        <s v="STAIRCASE 3" u="1"/>
        <s v="Painting all equipment, valves and pipework as specified and according to AiS approved colour code for treated water pumping station." u="1"/>
        <s v="To supply and install new set of pressure gauges, oil filled type, stainless steel body with suitable range for suction and discharge pressure." u="1"/>
        <s v="100 mm x 100 mm x 18.40 kg/m galvanized mild steel universal vertical members to Grade 43A, BS 4360 (Square Hollow Sections)" u="1"/>
        <s v="Cabling from new TNB metering panel to new weatherproof  60A DB using 1 no. 16 sq.mm/4C XLPE/SWA/PVC copper cable c/w 13mm x 1.6mm tinned earthing copper tape." u="1"/>
        <s v="STAIRCASE 4" u="1"/>
        <s v="Testing for MCC TWP" u="1"/>
        <s v="Internal Protection of exposed surfaces" u="1"/>
        <s v="Supply and install of Lantern Arm bracket 1m length c/w bracket &amp; accessories for mounting light to the concrete pole at 6mH FFL." u="1"/>
        <s v="Base to trenches" u="1"/>
        <s v="Allow cost for carrying out Mackintosh Probe as directed by the C.A" u="1"/>
        <s v="STAIRCASE 5" u="1"/>
        <s v="4C x 10mm² PVC/SWA/PVC Copper Cable c/w termination and cable accessories from existing MCC to DB/SL at STF area" u="1"/>
        <s v="Provide four (3) sets of the smart phone (maximum of RM1,500/unit) for the use of C.A or his authorized representatives and pay for the bills (to the maximum of RM250.00 per month per user) and provision for all the charges and deposit required by the telecommunication companies, taxes etc. and maintain them in good working condition throughout the Contract period and to be reverted to the Contractor after the issuance of the Certificate of Making Good Defects (CMGD)." u="1"/>
        <s v="EXCAVATION WORKS" u="1"/>
        <s v="Complete Earthing system for SSB-FG inclusive of internal perimeter earthing complete with earthing terminal and minimum copper tape size of 25mm x 3mm. Minimum acceptable earthing value to be less than 1 ohm. " u="1"/>
        <s v="Filling to void at 2MG reservoir (not exceeding 5m depth)" u="1"/>
        <s v="Supply and install control cable from Inlet Penstock Actuator (AV1-1) comprising of  2.5mmsq Multicore PVC/SWA/PVC Auxiliary and Control cables laid in trenches and cable tray" u="1"/>
        <s v="Supply and install control cable from Inlet Penstock Actuator (AV2-1) comprising of  2.5mmsq Multicore PVC/SWA/PVC Auxiliary and Control cables laid in trenches and cable tray" u="1"/>
        <s v="Supply and install control cable from Inlet Penstock Actuator (AV3-1) comprising of  2.5mmsq Multicore PVC/SWA/PVC Auxiliary and Control cables laid in trenches and cable tray" u="1"/>
        <s v="Supply and install control cable from Inlet Penstock Actuator (AV4-1) comprising of  2.5mmsq Multicore PVC/SWA/PVC Auxiliary and Control cables laid in trenches and cable tray" u="1"/>
        <s v="Supply and install control cable from Inlet Penstock Actuator (AV5-1) comprising of  2.5mmsq Multicore PVC/SWA/PVC Auxiliary and Control cables laid in trenches and cable tray" u="1"/>
        <s v="Supply and install control cable from Inlet Penstock Actuator (AV6-1) comprising of  2.5mmsq Multicore PVC/SWA/PVC Auxiliary and Control cables laid in trenches and cable tray" u="1"/>
        <s v="Supply and erection of structural members; steel to BS:4360 Grade 43A, shall be deemed to include delivery, protective and/or decorative surface treatment, fabrication,jointing type, and  handling and hoisting, as per Specification Part B Clause 7.0" u="1"/>
        <s v="QA/ QC Plan as Specification and elsewhere." u="1"/>
        <s v="Provision of four (4) complete sets of official submission documentation for shop drawings, calculation, O&amp;M manual, As-built drawing, bill of material, material submission, catalogues, work method statements, test procedures, test result, mill certificates, factory inspection reports, site T&amp;C test reports for all equipment and related system, complete with all necessary PE certification for shop drawings and calculation" u="1"/>
        <s v="Rate for reinforcement shall be deemed to include labour for cutting, bending and placing." u="1"/>
        <s v="Lighting points laid from existing DB Board in Electrical Room using 3 nos 1C x 1.5 sq.mm PVC cable in conduit complete with switches, fixing, saddles, junction boxes,  etc." u="1"/>
        <s v="To supply and install new of  lightning protection system complete with down conductor, bonding to copper roofing, test terminals, earthing tape, earth pit, earth rod, removable RC earthing chamber and accessories for total earthing resistance value &lt; 5 ohm. " u="1"/>
        <s v="Supply &amp; Install Vertical Split Casing type pumpset (3 Duty, 3 Standby with total capacity 45MLD @ 76 m Head) complete with fixed speed driven motors, R.C Plinth and all ancillary equipment, pumpset protection system, supports, ladder, maintenance platform, air release valves, etc as detailed in the Specifications and Drawings." u="1"/>
        <s v="FILLING" u="1"/>
        <s v="Risk Management as specified in Specification " u="1"/>
        <s v="CONTRACTOR'S REQUIREMENTS" u="1"/>
        <s v="Mass concrete to cable trench " u="1"/>
        <s v="Formwork" u="1"/>
        <s v="Precast Reinforced Concrete Piles" u="1"/>
        <s v="Training on the system components to operations and maintenance personnel. Witness Testing at Place of Manufacturer on testing yard approved by the C.A's representative complete with test report for the following equipments by four personnels (from C.A. and C.A’s representative). Contractor shall also attend the witness testing at their own cost:" u="1"/>
        <s v="Supply, deliver, install, testing and commissioning Individual remote start/stop/emergency stop pushbutton stations pole mounted c/w control cabling and earthing as per Specifications and Drawings for Dosing Pump" u="1"/>
        <s v="Dismantling of existing screw feeder and its ancillaries at the existing lime silo and  cart away to a designated area as instructed by the C.A. (Rate shall include shift and transport to an approved location not exceeding 200KM or within Selangor)" u="1"/>
        <s v="CONCRETE ANCILLARIES" u="1"/>
        <s v="Supply, install, dismantle and make good the surface of temporary feeder pillar complete with plinth, cabling, termination and accessories to be used during dismantling and replacement of existing MSB at Treatment Plant" u="1"/>
        <s v="Trench Excavation" u="1"/>
        <s v="Mass concrete to valve supports, thrust blocks, anchor blocks or as directed." u="1"/>
        <s v="10mm thick laminated gypsum board suspended ceiling system to horizontal soffit complete with support bracket, stainless steel hangers and all necessary fitting. Rate to include painting of the exposed surfaces." u="1"/>
        <s v="Inspection, modification and upgrading of existing MCC 1 c/w  installation of new time switch, by-pass switch, wiring works and all other accessories as per specification and dwg." u="1"/>
        <s v="Submission of project execution plan, monthly progress reports, photograph, coordination drawings, QA/QC documents and works." u="1"/>
        <s v="2C x 16mm²   PVC/SWA/PVC Copper Cable direct buried underground from  Existing MCC 2 (DB - Lighting) to lighting pole c/w termination at service box &amp; all other accessories, Detail as per drawing no: AIS/2520016/BN/25/STL/002" u="1"/>
        <s v="MEDIUM VOLTAGE CABLE (11kV) _x000a_To supply and install new of 1 No. 3C x 300sq.mm XLPE/SWA/PVC (11kV) copper cable laid in trenches c/w 25mm x 6mm tinned earthing copper tape and accessories from 5MW High Voltage Generator Alternator Box to 6.6kV GIS Incomer No. 2." u="1"/>
        <s v="PLATFORM AND CHEQUER PLATE" u="1"/>
        <s v="Rate to include preparing surfaces, forming joints, overlaps, mitres, angles, fillets, built-up edges, and laying to falls or cambers, cutting, notching, bending and bedding." u="1"/>
        <s v="e ) Security " u="1"/>
        <s v="Existing Road" u="1"/>
        <s v="Sides" u="1"/>
        <s v="Factory Acceptance Test (FAT) at manufacturers origin location for materials and equipment's testing either local or overseas. The FAT to be inspect and witness by three (3) person of the C.A. representatives shall include, but not limited to the following:" u="1"/>
        <s v="Anchorages and holding down bolt assemblies comprising 4 Nos. 200 mm (long) x 25 mm HSFG bolts with 100 mm (H) stiffener plate fully welded to R.H.S and mild steel plate." u="1"/>
        <s v="75mm thick layer of approved black vegetable soil as described well mixed approved fertilizer, spread and levelled on flat surfaces to receive turfing (measure separately). Close Turfing on sloping ground." u="1"/>
        <s v="Provide and maintain one (1) no. of notebook (laptop) (12th Gen Intel Core i5 Processor at 1.8GHz (8M Cache, up to 4.00 GHz) and 8GB DDR5 RAM) complete with Microsoft Office Word, Excel, Power Point, Microsoft Project complete with email line as specified for C.A.'s site office until three (3) months after issuance of CPC. The computer shall be reverted to Contractor three (3) months after issuance of CPC." u="1"/>
        <s v="Supply and install power cable from New Sub Switchboard to SSB-FG comprising of 1 No. x 25 sqmm 4C XLPE/SWA/PVC Copper Cable laid underground and trenches c/w 25mm x 3mm Tinned Earth Copper Tape" u="1"/>
        <s v="2.5 sq. mm multicore control and signal cabling from all valves to Supervisory Panel." u="1"/>
        <s v="High tensile bars" u="1"/>
        <s v="General arrangement, construction, installation,  layout and other detailed electrical drawings. " u="1"/>
        <s v="Item for metalwork shall be deemed to include fixing to other work, supply of fixing components and drilling or cutting of other work." u="1"/>
        <s v="Method Statement as per Specification clause 1.13 and as required elsewhere." u="1"/>
        <s v="Allow cost for penstock installation's reinstatement work and to make good of the existing structure inclusive of structural repair and grouting works. Location; Effluent Recovery System Sump Pit." u="1"/>
        <s v="Upgrading, retrofitting and carry out full servicing work of Engine Instrument Alarm Panel No. 1 to all Pressure Tubing, Gauges, Mechanical Limit Switch and all other related accessories  including signal for interlock, control and monitoring to remain as existing operation and not limited to the following instrument.  (Illustration Detail assembly, please Refer to As-Built Drwgs Appendix)." u="1"/>
        <s v="Individual Remote Start/ Stop/ Emergency" u="1"/>
        <s v="STREET LANTERN" u="1"/>
        <s v="Factory  Acceptance Test (FAT) at the Manufacturer's Factory as described  for 12kV Switchgear " u="1"/>
        <s v="Public Liability Insurance." u="1"/>
        <s v="Items for C.A Requirement shall be deemed to include the provision of water supply, electricity, sanitary, and communication facilities." u="1"/>
        <s v="PENSTOCK &amp; VALVES REPLACEMENT" u="1"/>
        <s v="QA/QC Plan as Specification " u="1"/>
        <s v="Inspection of existing DB and terminate / dismantle the DB and deliver to the approved CA storage" u="1"/>
        <s v="To supply and install new of 150mm Dia. Dial Gauge with Transmitter for Jacket Water Engine Outlet." u="1"/>
        <s v="Provide a Provisional Sum of Ringgit Malaysia: Seventy Thousand Only (RM 70,000.00) for related cost for the execution and completion of the works for utilities detection mapping, utilities relocation, piloting works to guarantee the functioning of the system to satisfaction of C.A/C.A.R and/or to be used as any works directed by the CA and to be deducted in whole or part if not required." u="1"/>
        <s v="LV electrical earthing system." u="1"/>
        <s v="4C x 25mm²  XLPE/SWA/PVC Copper Cable partly direct buried underground  &amp; another part on cable tray/trunking c/w termination &amp; accessories from existing SSB/Silo to new F/P2 (Compound Lighting)" u="1"/>
        <s v="Supply &amp; Install electrically operated filter inlet penstocks, (300 x 300 mm) complete with electrical actuators, mounting bracket, 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Supply &amp; Install electrically operated filter inlet penstocks, (450 x 450 mm) complete with electrical actuators, mounting bracket, 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Supply &amp; Install electrically operated filter scour penstocks, (450 x 450 mm) complete with electrical actuators, mounting bracket, fittings, open/close contactless feedback limit switch, manual override, stainless steel extension spindles and supports complete as detailed in the Specification and Drawings.  (Rate to include all necessary modification works inclusive cuttings, weldings, jointings, hacking to enlarge the openings and make good to the existing structures to suit the new penstocks installation).  " u="1"/>
        <s v="Supply &amp; Install PID Controller" u="1"/>
        <s v="600 mm DN to 450 mm DN plain ended mild steel concentric taper as shown in Drawing." u="1"/>
        <s v="Artificial hard material " u="1"/>
        <s v="Allow for costs on testing and training of the following:-" u="1"/>
        <s v="Supply and install Junction box IP54 c/w SPD, terminal block loop-in and loop-out box connection cables, heat shrinkable termination  and holder, fuses, cable gland and internal wiring using 2.5mm² PVC/PVC and pole numbering sticker for existing 10m high double arm pole at Raw Water area" u="1"/>
        <s v="Supply and install 2 tonne (SWL) electrically operated overhead travelling crane with a cantilever 2.5m (as shown in the drawing) complete with crane structure and ancillary equipment with SWL at least 25% greater than the individual weight of the single heaviest pump." u="1"/>
        <s v="Allow for maintaining a healthy site environment at all times, complying to OSHA 1994, FMA 1967, EQA 1974, regulation, all relevant local authority requirements and all Health, Safety &amp; Environment Section (HSE) Air Selangor requirement as per, but not limited to Appendix D(13) including: a) To attend safety briefing at Air Selangor HQ; b) To acquire &quot;safety card&quot; from  HSE Section Air Selangor; c) To submit name of workers for screening to Security Department, Air Selangor for MKN approval (if required).; d) Other health, safety and security requirements." u="1"/>
        <s v="Dismantling of existing load cell system, and its ancillaries at the existing lime silo building and  cart away to a designated area as instructed by the C.A. (Rate shall include shift and lifting the silo during replacement of existing load cell and transport to an approved location not exceeding 200KM or within Selangor)" u="1"/>
        <s v="100m dia. GI pipe Class B for road crossing inclusive excavation, backfill, compaction and make good the surface as per existing" u="1"/>
        <s v="Establishment of cabin store with floor area of at least 3.0m x 10.0m including the installation of door, windows, suitable furniture and fittings, suitable lighting and air conditioning,base slab,etc.The cabin shall be placed at the location selected by the C.A and shall be provided with gravel walkway as directed." u="1"/>
        <s v="General clearance for the new staircase area of all vegetation and unwanted structures, rubbish and debris including grubbing of roots, disposal of all unsuitable material to contractor's dump site as approved by Air Selangor (AIS).To excavate for placement of crusher run and lean concrete " u="1"/>
        <s v="All working personnel are required to attend the programme before commencement  work." u="1"/>
        <s v="R.C Staircase and intermediate landing platforms. All formwork shall  be of wrought tongued and grooved boards or plywood or metal panels. The rates for all formwork shall include for proping, struting, bracing, false work, fillers, rebates, boxing out and or casting in pipes, volts fittings etc." u="1"/>
        <s v="REFURBISHMENT WORKS AT FILTER AND FILTERS GALLERY" u="1"/>
        <s v="Operation and maintenance manual as per Specification" u="1"/>
        <s v="Provide a Provisional Sum of Ringgit Malaysia: One Hundred Thousand Only (RM 100,000.00) for related cost for the execution and completion of the work for mechanical equipment, electrical equipment including TNB contribution fees and connection charges to guarantee the functioning of the system to the satisfaction of C.A and / or to be used as any works directed by the C.A and to be deducted in whole or part if not required. " u="1"/>
        <s v="Temporary Platform" u="1"/>
        <s v="PENDOSAN ROOM" u="1"/>
        <s v="Progress Report" u="1"/>
        <s v="Existing Chemical Plant (A) DB (Filter Gallery) 4C x 16mm² PVC/SWA/PVC Copper Cable laid in Tray/Trunking from MSB (Treatment Plant)" u="1"/>
        <s v="Supply and install 70m3/hr @15m head submersible sand pump complete with strainer,agitator,hose,clamps,couplings, portable starter and all ancillary equipment as specified in specification Clause 5.2_x000a_" u="1"/>
        <s v="B1: BUKIT NANAS WTP" u="1"/>
        <s v="Provide manufacturer's scheduled servicing and full preventive maintenance for all item supply and equipment for this contract including any labour, wear and tear item consumable logistic skilful personnel, equipment, tools, etc throughout the whole DLP period. Technician to attend within 4 hours notices." u="1"/>
        <s v="Allow cost for preparation and submission of Draft and Final As-built (record) drawings in soft and hard copy format in AutoCAD (latest version).Submission to Air Selangor shall be made within 2 months before CPC issuance. All as-built drawings shall be certified and duty stamped by Professional Engineer prior to submission. It shall be in: i) Complete true scale in AutoCAD (latest version) and PDF format; ii) Four (4) sets of A3 size paper with hard cover binding; iii) One (1) set in CD/DVD for drawings in AutoCAD (dwg) and pdf format." u="1"/>
        <s v="f) Other services " u="1"/>
        <s v="Supply and install new cabling from SSB to the following c/w termination and cable accessories:" u="1"/>
        <s v="Painting all equipment as specified as specified and according to AiS approved colour code for lime silo,  tank and building." u="1"/>
        <s v="Joints" u="1"/>
        <s v="Allow for hot tapping connection work to existing 600 mm steel raw water gravity main as shown in Drawings. Rate to include inspection for possibility of hot tapping, tapping tees, temporary gate valve and all necessary materials." u="1"/>
        <s v="Air Terminal 16mm dia 500mm length copper rod c/w base plate, dual coupler, mounting screw and other fixing and accessories." u="1"/>
        <s v="Allow for all setting out of work inclusive of licensed surveyor and labour as specified. " u="1"/>
        <s v="Where the equipment called refurbishment or replacement to the existing, it's shall be nominated as Supply, Deliver, Install, warranty and Testing by the Contractor." u="1"/>
        <s v="Method statement as per Specification." u="1"/>
        <s v="Local Control Panel (LCP)" u="1"/>
        <s v="RAISED FLOOR SYSTEM" u="1"/>
        <s v="Rendering to external face of brickwall and concrete." u="1"/>
        <s v="- General arrangement, construction, installation,  layout and other detailed electrical drawings. " u="1"/>
        <s v="General" u="1"/>
        <s v="Excavate service chamber starting from formation level; grading bottoms; earthwork support; remainder spread and levelled within site including standard bedding, sheet piles and backfilling with excavated material and removing surplus excavated materials to contractor own dumps upon C.A's approval. To receive new chamber; not exceeding 1.50m depth" u="1"/>
        <s v="B4: SG. SERAI WTP" u="1"/>
        <s v="Item for metalwork shall be deemed to include fixing to other work, supply of fixing components, and drilling or cutting of other work." u="1"/>
        <s v="4) The contractors shall be note that he shall be solely responsible for the adequancy and the sufficiency of the PCFS roof trusses and including ten (10) years warranty on roof trusses (product) and workmanship. The contractors shall also to submit softcopy of design drawing to Engineet for review and joint inspection of trusses must be carried out before roofing works and after mechanical and electrical utilities and before ceiling works for acceptance and Professional Engineer (PE) must supervise fabrication, installation works and certify upon completion." u="1"/>
        <s v="Supply and install power cable from SSB-SCM to Dosing Pump comprising of 1 No. x 10 sqmm 3C PVC/SWA/PVC Copper Cable laid in trenches and cable tray" u="1"/>
        <s v="Allow cost for programming works, setting until stability is achieved" u="1"/>
        <s v="Supply &amp; Install electrically operated air scour inlet double flange butterfly valves (100 mm dia) complete with electrical actuators, mounting bracket, fittings, open/close contactless feedback limit switch, manual override, and supports complete as detailed in the Specification and Drawings.  (Rate to include all necessary modification works inclusive cuttings, weldings, jointings and make good to the existing pipe at the Lower Filter Gallery to suit the valve installation." u="1"/>
        <s v="Payment forthree (3) units mobile phones monthly bill until three (3) months after issuance of CPC" u="1"/>
        <s v="Allow cost for providing of safety vest (to be purchased from AIR Selangor) for each site staff and to be worn at all time throughout the construction period." u="1"/>
        <s v="TESTING AND MAINTENANCE " u="1"/>
        <s v="Allow cost for complying with all Health, Safety and Security requirements and AIR SELANGOR_x000a_Safety Induction Card and complying requirement of Construction Industry Development Board (CIDB)." u="1"/>
        <s v="Provide Two (1) sets of the smart phone (maximum of RM1,500/unit) for the use of C.A or his authorized representatives and pay for the bills (to the maximum of RM250.00 per month per user) and provision for all the charges and deposit required by the telecommunication companies, taxes etc. and maintain them in good working condition throughout the Contract period and to be reverted to the Contractor after the issuance of the Certificate of Making Good Defects (CMGD)." u="1"/>
        <s v="Provide Two (2) sets of the smart phone (maximum of RM1,500/unit) for the use of C.A or his authorized representatives and pay for the bills (to the maximum of RM250.00 per month per user) and provision for all the charges and deposit required by the telecommunication companies, taxes etc. and maintain them in good working condition throughout the Contract period and to be reverted to the Contractor after the issuance of the Certificate of Making Good Defects (CMGD)." u="1"/>
        <s v="Cut-off piles. Rate to include preparing heads." u="1"/>
        <s v="Street lighting luminaire 100W NW LED, asymmetric medium, IP 66 c/w clear &amp; hardened glass protector, die-cast aluminium housing and corrosion resistant polyester powder painted, surge protection device, built-in driver with pf&gt;0.95 and termination from new MSB to intake as per dwg." u="1"/>
        <s v="Supply and install power cable from  SSB-FG to Inlet Penstock Actuator (AV1-1) comprising of 1 No. x 6 sqmm 4C PVC/SWA/PVC Copper Cable laid in trenches and cable tray" u="1"/>
        <s v="Supply and install power cable from  SSB-FG to Inlet Penstock Actuator (AV2-1) comprising of 1 No. x 6 sqmm 4C PVC/SWA/PVC Copper Cable laid in trenches and cable tray" u="1"/>
        <s v="Supply and install power cable from  SSB-FG to Inlet Penstock Actuator (AV3-1) comprising of 1 No. x 6 sqmm 4C PVC/SWA/PVC Copper Cable laid in trenches and cable tray" u="1"/>
        <s v="Supply and install power cable from  SSB-FG to Inlet Penstock Actuator (AV4-1) comprising of 1 No. x 6 sqmm 4C PVC/SWA/PVC Copper Cable laid in trenches and cable tray" u="1"/>
        <s v="Supply and install power cable from  SSB-FG to Inlet Penstock Actuator (AV5-1) comprising of 1 No. x 6 sqmm 4C PVC/SWA/PVC Copper Cable laid in trenches and cable tray" u="1"/>
        <s v="Supply and install power cable from  SSB-FG to Inlet Penstock Actuator (AV6-1) comprising of 1 No. x 6 sqmm 4C PVC/SWA/PVC Copper Cable laid in trenches and cable tray" u="1"/>
        <s v="Supply and install power cable from  SSB-FG to Inlet Penstock Actuator (AV7-1) comprising of 1 No. x 6 sqmm 4C PVC/SWA/PVC Copper Cable laid in trenches and cable tray" u="1"/>
        <s v="Supply and install power cable from  SSB-FG to Inlet Penstock Actuator (AV8-1) comprising of 1 No. x 6 sqmm 4C PVC/SWA/PVC Copper Cable laid in trenches and cable tray" u="1"/>
        <s v="Supply and install power cable from  SSB-FG to Scour Penstock Actuator (AV1-5) comprising of 1 No. x 6 sqmm 4C PVC/SWA/PVC Copper Cable laid in trenches and cable tray" u="1"/>
        <s v="Supply and install power cable from  SSB-FG to Scour Penstock Actuator (AV2-5) comprising of 1 No. x 6 sqmm 4C PVC/SWA/PVC Copper Cable laid in trenches and cable tray" u="1"/>
        <s v="Supply and install power cable from  SSB-FG to Scour Penstock Actuator (AV3-5) comprising of 1 No. x 6 sqmm 4C PVC/SWA/PVC Copper Cable laid in trenches and cable tray" u="1"/>
        <s v="Supply and install power cable from  SSB-FG to Scour Penstock Actuator (AV4-5) comprising of 1 No. x 6 sqmm 4C PVC/SWA/PVC Copper Cable laid in trenches and cable tray" u="1"/>
        <s v="Allow cost for the preparation of contract documentation, binding in hardcovers and stamping as specified in Air Selangor's Condition of Contract. (Two (2) Original and five (5) Certified True Copies)." u="1"/>
        <s v="63A TPN metalclad distribution board  c/w 63A TPN MCCB, 10A/20A/32A MCB, RCCB, SPD &amp; cable termination - DB/MB" u="1"/>
        <s v="Allow provision to disconnect and dismantle of existing poles, lanterns and cables at the Intake area and deliver to the approved CA storage. Rate shall include materials, equipment, labour and skills required for welding, hacking, cutting and making good of all existing structure upon completion. " u="1"/>
        <s v="1) The contractor shall not carry out any work that is the subject of  provisional sums without express instruction of the C.A. The Quantity Surveyor and the C.A reserve the right not to value and certify payments for such works carried out in the absence of an C.A written instructions. Likewise the employer shall not be obliged to make any payment for unauthorised works." u="1"/>
        <s v="Pipe Cutting of Existing Pipes" u="1"/>
        <s v="2MG Balancing Reservoir Valves" u="1"/>
        <s v="Fabricate, supply, deliver, install and testing &amp; commissioning of the following as per specification, drawing  &amp; requirement" u="1"/>
        <s v="To supply, deliver and install 1 no. 4C 185mmsq XLPE/SWA/PVC power cable c/w earthing busbar for cabling from existing starter board to new VFD panel and from new VFD panel to motor. Cost to allow necessary modification at existing starter board, coring, hot dipped galvanized cable tray, cabling for protection and etc." u="1"/>
        <s v="Flat sheet, painted zinc/aluminium alloy coated roofing sheet" u="1"/>
        <s v="Supply and install control cable from Instrument Panel No.1 to LCP Actuator No.1 comprising of  2.5mmsq Multicore PVC/SWA/PVC Auxiliary and Control cables laid in trenches and cable tray" u="1"/>
        <s v="Supply and install control cable from Instrument Panel No.1 to LCP Actuator No.3 comprising of  2.5mmsq Multicore PVC/SWA/PVC Auxiliary and Control cables laid in trenches and cable tray" u="1"/>
        <s v="Supply and install control cable from Instrument Panel No.2 to LCP Actuator No.2 comprising of  2.5mmsq Multicore PVC/SWA/PVC Auxiliary and Control cables laid in trenches and cable tray" u="1"/>
        <s v="Supply and install control cable from Instrument Panel No.2 to LCP Actuator No.4 comprising of  2.5mmsq Multicore PVC/SWA/PVC Auxiliary and Control cables laid in trenches and cable tray" u="1"/>
        <s v="Provide and maintain the works during Defect Liability Period (24months) and inspection half yearly service inclusive replacement of defect parts for Ampang Intake." u="1"/>
        <s v="B2: AMPANG INTAKE WTP" u="1"/>
        <s v="To supply and install Electromagnetic flowmeter for DN200mm measuring water flow including sensors, transmitters, indicators, alarm annunciation, totaliser, recorder, electrical wiring, power cabling, control and signal cabling, internal wiring, electrical component, including stainless steel standing panel, junction box and other accessories for a complete and workable system." u="1"/>
        <s v="To supply and install Electromagnetic flowmeter for DN400mm measuring water flow including sensors, transmitters, indicators, alarm annunciation, totaliser, recorder, electrical wiring, power cabling, control and signal cabling, internal wiring, electrical component, including stainless steel standing panel, junction box and other accessories for a complete and workable system." u="1"/>
        <s v="Design, testing, calibration and setting of protection relays for discrimination of the electrical power distribution system by Electrical Services Engineer registered with ST as per specifications with endorsement of relay settings and test results." u="1"/>
        <s v="Slope Protection" u="1"/>
        <s v="To provide suitable working platform such as approved ladder and scaffolding complete with erection &amp; inspection tagging, by competent erector &amp; inspector recognized by DOSH for scaffolding structure. Erection of scaffolding more than 15 meter must be designed and drawing by Professional Engineer. Fall protection device (approved by DOSH) mush be provided including safety harness to all related worker during working above 3 meter" u="1"/>
        <s v="ELECTRICAL" u="1"/>
        <s v="All protection relay setting in the electrical instalation and certification by licensed electrical service engineer registered with Suruhanjaya Tenaga." u="1"/>
        <s v="AUTHORITIES' REQUIREMENTS" u="1"/>
        <s v="Wall Finishes" u="1"/>
        <s v="Operation and maintenance (O&amp;M) of plant" u="1"/>
        <s v="EARTHING AND LIGHTNING PROTECTION SYSTEM_x000a_Electrical equipment and frame earthing system for all Switchgear, MSB / MCC, AMF, Neutral Earthing Panel, DC, Instrument and Monitoring Panel complete with cpper main earth bar, copper rod, copper tape, earth clamp, removable RC earthing chamber and accessories for earthing total resistance value shall be &lt; 1 ohm. _x000a_Note: Contractor to carry out soil investigation test using Wenner 4-point  test system and perform calculation to proof the total earthing point as required resistance value." u="1"/>
        <s v="Cabling from new weatherproof DB to new street light using 1 no. 10 sq.mm/4C XLPE/SWA/PVC copper cable c/w 13mm x 1.6mm tinned earthing copper tape." u="1"/>
        <s v="To supply and install new of 150mm Dia. Dial Gauge with Transmitter for Intake Air (A) Bank Left Hand Side (LHS)." u="1"/>
        <s v="Reinforcement" u="1"/>
        <s v="12 inch ceiling mounted exhaust fan" u="1"/>
        <s v="Cabling from Actuator DB to Supervisory Panel using  2.5sq.mm/3C PVC/SWA/PVC cable." u="1"/>
        <s v="Fabricate, supply, deliver, install, testing and commissioning of the following as per specification and drawings" u="1"/>
        <s v="Supply and install control cable from Air Compressor No.1 comprising of  2.5mmsq Multicore PVC/SWA/PVC Auxiliary and Control cables" u="1"/>
        <s v="Supply and install control cable from Air Compressor No.2 comprising of  2.5mmsq Multicore PVC/SWA/PVC Auxiliary and Control cables" u="1"/>
        <s v="Item for straight specials shall be deemed to include cutting where applicable." u="1"/>
        <s v="Supply, laying and install. All valves shall be of type and make approved by SPAN." u="1"/>
        <s v="Provide and update form time to time Work Programme in Microsoft Project in the form of Critical Path Method (CPM)/ Gant Chart Format to C.A. approval as per Specification clause 1.1.16" u="1"/>
        <s v="a) Office and Office equipment " u="1"/>
        <s v="To supply and install new 1250A 25kA Gas Insulated Switchgear Generator Feeder Panel No. 2._x000a_" u="1"/>
        <s v="Inspect and test the existing dehumidifier and carry out the necessary service, repair, make good, tightened and strengtht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4C x 35mm² XPLE/SWA/PVC Copper Cable  laid in tray/trunking from Existing TNB Meter to New MSB c/w termination and cable accessories" u="1"/>
        <s v="Approved bituminous tack coat, spread at rate of 8 yard super per gallon." u="1"/>
        <s v="PENSTOCK AND VALVES REPLACEMENT" u="1"/>
        <s v="Metal roof structure shall be deemed to include connecting plates, bolts and nuts, all welding and other fastening systems." u="1"/>
        <s v="Testing and Commissioning" u="1"/>
        <s v="Allow cost for hard assets tagging to AiS's requirement for the equipment and structures built/installed under this project." u="1"/>
        <s v="Compliance for Permits and fees including license requirements by Authorities as per contract requirement and Specification  in obtaining necessary approval or permit to carry out Works for the following but not limited to :" u="1"/>
        <s v="PART B1:(C&amp;S) Refurbishment Works at Filter and Filters Gallery" u="1"/>
        <s v="To supply and install new of 200mm Dia. Dial Gauge RPM Meter with Transmitter for Exhaust Gas Pyrometer Temperature Transmitter." u="1"/>
        <s v="Rate for reinforcement shall be deemed to include labour for cutting, bending, and placing." u="1"/>
        <s v="Rate for formwork shall be deemed to include the projections and intrusions, and any temporary staging required." u="1"/>
        <s v="Switch" u="1"/>
        <s v="Supply, deliver and fix 1000mm high 50mm dia hot dipped galvanised mild steel handrailing to stairs walkway to detail complete with bolts, nuts including painting. Refer drawing: AIS/2520016/DTL/S/001  " u="1"/>
        <s v="600 mm DN mild steel welded step collar joints." u="1"/>
        <s v="Below ground - Existing manholes/structures along existing 600 mm dia. MS raw water pipe from existing intake to existing sedimentation tank and as directed by the C.A." u="1"/>
        <s v="To dismantle all the existing louvers inside the switchgear room &amp; replace with 6mm minimum thickness fix glass window c/w metal frame and necessary accessories. (approx. area = 135sqft)" u="1"/>
        <s v="Well compacted crusher run and soil (Compacted to 95% maximum dry density)" u="1"/>
        <s v="Supply and install control cable from Treated Water Pump (0212287586070) comprising of  2.5mmsq Multicore PVC/SWA/PVC Auxiliary and Control cables" u="1"/>
        <s v="Supply, deliver, install, testing and commissioning Individual remote start/stop/emergency stop pushbutton stations pole mounted c/w control cabling and earthing as per Specifications and Drawings for Treated Water Pump (206063658557)" u="1"/>
        <s v="Supply, deliver and install Sub Switchboard Filter Gallery (SSB-FG), ASTA or KEMA type tested, Form 4B, cubicle metal clad, floor mounted with front and rear access, 50kA short-circuit rated 63A 4P MCCB 415V c/w transient voltage surge suppressor, over current and earth fault Microprocessor based relay, MCCBs, CTs, digital power meter, under voltage relay, auto-thermostat switch, indicator light, etc. where applicable as per specifications and drawings" u="1"/>
        <s v="Inspect, test, reinstate the existing lime slurry tank to its original condition and carry out the necessary service, repair, make good, tightened and strength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Factory Acceptance Test" u="1"/>
        <s v="Wiring using 2C - 6mm² Cu. PVC/SWA/PVC cable direct buried underground, back box, switch faceplate for street light (To Intake)" u="1"/>
        <s v="Supply, deliver and install new weatherproof DB 415V, 32A actuator panel with Form 3B construction, IP54 enclosure, complete with breakers,  protection system, earthing, concrete plinth and others accessories related to works." u="1"/>
        <s v="HOUSE ALTERNATOR AMF PANEL_x000a_To supply and install new c/w termination work using 200kVA 415V AMF Panel c/w all control, monitoring instrument, protection system, Circuit Breaker and other accessories to complete installation as per existing operation, drawing and specifications. (Please Refer to As-Built Drwgs PNSB-P2S1-TW-GP-E-001)." u="1"/>
        <s v="20A TPN Isolator On/Off light switch weatherproof IP65" u="1"/>
        <s v="Modification and made good of existing FP/SL (intake area) to add new 40A TPN MCCB  inclusive of MCB, RCCBs, SPD, Timer with 24 hours spring reserve, wiring works and others accessories" u="1"/>
        <s v="Painting on Switchroom internal floors shall be applied with two-pack epoxy sealer, followed two(2) coats of two-pack epoxy floor coating 50 µm DFT per coat with using colour code 'Evergreen 1461' by KCC Coating. c/w rectification work of defect at the floor. _x000a_(approx.area = 550sqft) " u="1"/>
        <s v="Method Statement" u="1"/>
        <s v="Testing for Sub Switchboard (SSB)" u="1"/>
        <s v="600mm DN over 60 to 90 degree plain ended mild steel gusseted horizontal bend." u="1"/>
        <s v="To supply and install new 1250A 25kA Gas Insulated Switchgear Generator Feeder Panel No. 1._x000a_" u="1"/>
        <s v="The location of the site office is subject to C.A’s approval. To include cost of maintaining  C.A.'s site office until three (3) months after issuance of Certificate of Practical Completion (CPC) including provide temporary water supply, electricity and sanitation." u="1"/>
        <s v="Supply and deliver portable submersible dewatering pump capacity of 15 m3/hr at 7m (H) complete with control float switch, pump sitting base, power cables, socket plug, and auxiliary items. " u="1"/>
        <s v="Access road" u="1"/>
        <s v="Supply paint &amp; coats of approved weather shield paint. Rate to include nt external faces of concrete walls and brickwall with one coat of primer and undercoat as specified." u="1"/>
        <s v="High strength friction grip bolts" u="1"/>
        <s v="High tensile steel fabric – mesh A393 (A10), 6.16 kg/m2." u="1"/>
        <s v="Supply and install of cable accessories for overhead cable to be mounted at pole such as dead clamp, etc. as per typical standard connection at pole" u="1"/>
        <s v="To supply and install 45,000 Btu/hr (3 duty &amp; 3 standby) ceiling exposed Air cooled split unit inverter type c/w built-in starters, indoor and the outdoor unit, vibration isolators, refrigerant charges, wired controller, drain pan, condensation insulated drain pipe (discharge to nearest drain), wirings in G.I conduit and all other necessary works. " u="1"/>
        <s v="For the twenty four (24) months of Defect Liability Period (O&amp;M)." u="1"/>
        <s v="R.C Staircase and intermediate landing platforms. All formwork shall  be of wrought tongued and grooved boards or plywood or metal panels. The rates for all formwork shall include for proping, struting, bracing, falsework, fillers, rebates, boxing out and or casting in pipes, volts fittings etc." u="1"/>
        <s v="IN SITU CONCRETE DESIGN MIX" u="1"/>
        <s v="Metal sections" u="1"/>
        <s v="Dynamic pile test (PDA) test for 200mm x200mm prestressed concrete piles._x000a_" u="1"/>
        <s v="Floodlight luminaire 100W NW LED, asymmetric medium, IP 66 c/w smooth reflector &amp; thermal hardened glass diffuser, die-cast aluminium housing and corrosion resistant polyester powder painted, surge protection device, built-in driver with pf&gt;0.95, bracket support and termination." u="1"/>
        <s v="Floodlight luminaire 200W NW LED, asymmetric medium, IP 66 c/w smooth reflector &amp; thermal hardened glass diffuser, die-cast aluminium housing and corrosion resistant polyester powder painted, surge protection device, built-in driver with pf&gt;0.95, bracket support and termination." u="1"/>
        <s v="Testing for Actuators" u="1"/>
        <s v="Compliance for Permits and fees including license requirements by Authorities as per contract requirement and Specification in obtaining necessary approval or permit to carry out Works for  Pengurusan Air Selangor Sdn Bhd (AiS)." u="1"/>
        <s v="Copper tape 25mm x 3mm c/w saddle, clip, clamp and accessories" u="1"/>
        <s v="Provide and construct temporary  works protection for existing equipment and building during construction works in accordance with the specification and drawings or as directed by C.A" u="1"/>
        <s v="Provide and maintain two (2) units computer system (minimum 64-bit Microsoft® Windows® 11, 3+ GHz processor and 16 GB) and one (1)  unit of A4 paper and A3 size colour laser jet printer complete with e-mail line as specified for C.A.'s temporary site office. The computer shall be reverted to Contractor three (3) months after issuance of Certificate of Practical Completion (CPC)." u="1"/>
        <s v="Pre-Com and Commissioning Tests" u="1"/>
        <s v="Lifting Equipment" u="1"/>
        <s v="50mm thick blinding concrete grade 15 to undersides of staircase" u="1"/>
        <s v="Supply, deliver, install, testing and commissioning Individual remote start/stop/emergency stop pushbutton stations pole mounted c/w control cabling and earthing as per Specifications and Drawings for Treated Water Pump (For Pump Asset ID : 206063658557)" u="1"/>
        <s v="Provide one (1) number of C.A.'s temporary site office (at least fit for 20 pax during site meeting and min of 800 ft² regular shape), as specified complete with furnitures, air conditioners, and all necessary office equipments as specified except for telephone, fax machine, computer and photocopier for the C.A.'s representative and his staff including subsequent removal as directed.    " u="1"/>
        <s v="Other Specific Requirement" u="1"/>
        <s v="Testing for Instrument Panel" u="1"/>
        <s v="VENTILATION AIR INTAKE FAN _x000a_To make good and servicing existing ventilation air intake fan at generator room c/w silencer, belting, electrical motor, bearing, lubricant, ductwork, netting, grill and all accessories." u="1"/>
        <s v="NEW STREAMING CURRENT DETECTORS" u="1"/>
        <s v="Roof covering" u="1"/>
        <s v="Power and signal cabling between the flowmeter pedestal panels and the Supervisory panel. Refer drawing 1057/E/W4003." u="1"/>
        <s v="Provide two (2) sets of smartphone with 8GB RAM and storage 256 GB c/w minimum 40GB data plan and payment for monthly bill inclusive provision for all charges and deposit required by the telecommunication companies, taxes, etc throughout the contract period for the use of C.A.'s site office and revert to Contractor three (3) months after issuance of CPC. " u="1"/>
        <s v="100 mm x 75 mm x 10.2 kg/m galvanized mild steel universal horizontal members to Grade 43A, BS 4360 (Rectangular Hollow Sections)" u="1"/>
        <s v="Supervisory Panel c/w status indication of flow and control of valve actuators " u="1"/>
        <s v="The Contractor shall provide and maintain all necessary Personal Protective Equipment (PPE) inclusive safety helmets, rubber boots, safety shoes etc. for all site staffs and workers to be worn at all time throughout the construction period. " u="1"/>
        <s v="Supply and install power cable from MCC-TWPS to Treated Water Pump (M01) comprising of 1 No. x 240 sqmm 3C XLPE/SWA/PVC Copper Cable laid underground and trenches c/w 120sqmm Earth Copper Cable" u="1"/>
        <s v="Supply and install power cable from MCC-TWPS to Treated Water Pump (M02) comprising of 1 No. x 240 sqmm 3C XLPE/SWA/PVC Copper Cable laid underground and trenches c/w 120sqmm Earth Copper Cable" u="1"/>
        <s v="Supply and install power cable from MCC-TWPS to Treated Water Pump (M03) comprising of 1 No. x 240 sqmm 3C XLPE/SWA/PVC Copper Cable laid underground and trenches c/w 120sqmm Earth Copper Cable" u="1"/>
        <s v="Supply and install power cable from MCC-TWPS to Treated Water Pump (M04) comprising of 1 No. x 240 sqmm 3C XLPE/SWA/PVC Copper Cable laid underground and trenches c/w 120sqmm Earth Copper Cable" u="1"/>
        <s v="Supply and install power cable from MCC-TWPS to Treated Water Pump (M05) comprising of 1 No. x 240 sqmm 3C XLPE/SWA/PVC Copper Cable laid underground and trenches c/w 120sqmm Earth Copper Cable" u="1"/>
        <s v="Supply and install power cable from MCC-TWPS to Treated Water Pump (M06) comprising of 1 No. x 240 sqmm 3C XLPE/SWA/PVC Copper Cable laid underground and trenches c/w 120sqmm Earth Copper Cable" u="1"/>
        <s v="Bukit Tampoi WTP Balancing Reservoir" u="1"/>
        <s v="In earth for 450mm DN pipe, 1.0m - 2.0m" u="1"/>
        <s v="In earth for 600mm DN pipe, 1.0m - 2.0m" u="1"/>
        <s v="PART B2 - (Instrument) Filter &amp; Filter Gallery" u="1"/>
        <s v="PART B2 : (Electrical) Filter &amp; Filter Gallery" u="1"/>
        <s v="4C x 16mm² PVC/SWA/PVC Copper Cable lay from existing FP/SL to lighting poles c/w termination and cable accessories at services box  " u="1"/>
        <s v="4) In calculating the completion period, the Contractor shall for all purposes and intent of this Contract shall take into consideration the provisional sums.  No extension  of time shall  be granted for utilisation of provisional sums under the Contract.  Time for completing works under provisional sums shall be deemed to be included in the completion period stated in the form of tender." u="1"/>
        <s v="Reinforced concrete base to chambers." u="1"/>
        <s v="Precast concrete footing  (350mm x 350mm x 900mm) for 6m c/w anchor bolt for mounting of flange mounted column. Detail as per drawing no: AIS/2520016/AI/25/DTL/003." u="1"/>
        <s v="PART B2 : (Mechanical) UPGRADING TREATED WATER PUMPS WORKS" u="1"/>
        <s v="To supply and install new of 150mm Dia. Dial Gauge with Transmitter for Cooling Water Air Compressor Inlet." u="1"/>
        <s v="D: MSB ROOM " u="1"/>
        <s v="600 mm DN double flanged butterfly valve, PN16 complete with extension spindle, headstock and with electric actuator.  Rate to include reduction gear." u="1"/>
        <s v="Dismantling and remove of existing 2 nos. of Flowmeter including cables inside trenches and associated works" u="1"/>
        <s v="CONCRETE DRAIN" u="1"/>
        <s v="Wiring using 2 x 1C - 1.5mm2 Cu. PVC cable c/w earthing in concealed uPVC conduit and one way 10A flush switch faceplate, back box and accessories for lighting point" u="1"/>
        <s v="Wiring using 2 x 1C - 1.5mm² Cu. PVC cable c/w earthing in concealed uPVC conduit and one way 10A flush switch faceplate, back box and accessories for lighting point" u="1"/>
        <s v="Supply, install, dismantle and make good the surface of temporary feeder pillar complete with plinth, cabling, termination and accessories to be used during dismantling and replacement of existing MSB at Main Building" u="1"/>
        <s v="B3: CHERAS MILE 11 WTP" u="1"/>
        <s v="PART B1: (C&amp;S) Maintenace Platform" u="1"/>
        <s v="Upgrading TNB Supply Application from 1 Phase to 3 Phase and including submission, liaison and approval." u="1"/>
        <s v="Pumpsets" u="1"/>
        <s v="1) The contractor shall design, fabricate and deliver to site and furnish at his expense all necessary materials, tools, hoist, staging, temporary bracing etc. for the safe and proper erection of the prefabricated cold form steel (PCFS) roof trusses complete with rafter, wall plate, top and bottom chords, bracings and tie-downs, struts, bearers, truss connectors,straps, welding, other associated ancillary fixing products and methods and obvious items act together as an integral structure that is structurally stable under all the specified combinations of loading conditions, all to the approval of the C.A." u="1"/>
        <s v="CRANE" u="1"/>
        <s v="Insurance" u="1"/>
        <s v="Allow cost for contribution to SOCSO. (Note: Insurance shall cover the total contract sum throughout the construction period including Defect Liability Period (DLP))." u="1"/>
        <s v=" 2 gang 1 way 10A switch" u="1"/>
        <s v="HEALTH, SAFETY AND ENVIRONMENT REQUIREMENTS" u="1"/>
        <s v="Allow provision to disconnect and dismantle of existing poles, lanterns and cables at the WTP and deliver to the approved CA storage. Rate shall include materials, equipment, labour and skills required for welding, hacking, cutting and making good of all existing structure upon completion." u="1"/>
        <s v="CHEMICAL DOSING SYSTEM_x000a_To dismantle and install new Chemical Dosing System including Auto / Manual operating control panel system, monitoring sensors, motor, pump, piping, tubing, chemical storage and other equipment to complete installation and specification._x000a_(Capacity : 8.5 liter/hr @ 3 bar) " u="1"/>
        <s v="Maintenance During Defect Liability Period" u="1"/>
        <s v="Existing &quot;New Isolating Panel&quot; - 4C x 150mm² XLPE/SWA/PVC Copper Cable laid in Tray/Trunking from MSB (Treatment Plant)" u="1"/>
        <s v="To allow servicing work and make good including cleaning, tightening and test of the following interconnecting signal and power cable from location to destination terminal for Instrumentation and Sensors under (150mm Diameter Dial Gauge with Transmitter)." u="1"/>
        <s v="Expansion Joint" u="1"/>
        <s v="4C x 35mm² XLPE/SWA/PVC copper cable laid underground from new MSB to FP/ 2 (Located at Treated Water area) c/w termination and cable accessories." u="1"/>
        <s v="Allow cost to maintain the cleanliness of working area including ongoing housekeeping, water spraying to reduce dust, etc. and maintain the works being kept clear of water in all situation and temporary drainage to the requirement of Authorities and Plant Operator. Clearing up the Site as directed during progress and upon completion of the Works." u="1"/>
        <s v="MV SWITCHGEAR, CONTROL PANEL AND ASSOCIATED WORKS" u="1"/>
        <s v="To provide training sessions of a minimum of 5 days of 8 hours per day required to familiarize the operation and maintenance of the Works by the Employer's personnel. " u="1"/>
        <s v="General clearance for the new staircase area of all vegetation and unwanted structures, rubbish and debris including grubbing of roots, disposal of all unsuitable material to contractor's dump site as approved by Air Selangor  (AIS). To excavate for placement of crusher run and lean concrete. " u="1"/>
        <s v="New Decking" u="1"/>
        <s v="Grade : C30" u="1"/>
        <s v="Provision for training personnel as per requirement of the Specification" u="1"/>
        <s v="6mm thk. hot-dipped galvanised with high strength expanded metal mesh grill platform fixing accessories including 70mm dia. hot-dipped galvanized steel pipe and frames as shown in the Drawing._x000a_" u="1"/>
        <s v="Closure of Slab Opening" u="1"/>
        <s v="Pipework Ancillaries" u="1"/>
        <s v="Low Voltage Cables (1000V)_x000a_To supply and install new c/w termination work using XLPE/SWA/PVC (1kV) Cooper cable laid in trenches c/w accessories  From 415V MSB/MCC to New Air Compressor Panel by using 1 No. 4C x 35 sq. mm c/w 25mm x 3mm tinned earting copper tape." u="1"/>
        <s v="Low Voltage Cables (1000V)_x000a_To supply and install new c/w termination work using XLPE/SWA/PVC (1kV) Cooper cable laid in trenches c/w accessories From AMF Panel (House Alternator) to Generator by using 1 No. 4C x 120sq. mm c/w 25mm x 3mm tinned earting copper tape." u="1"/>
        <s v="Supply and install of complete solid earthing system (≤ 3 ohm) using 25mm² PVC Cu. Green Cable, 5/8&quot;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 u="1"/>
        <s v="To supply and install new of 150mm Dia. Dial Gauge with Transmitter for Air Receiver." u="1"/>
        <s v="Supply, test, deliver and install complete valve.  Rate to include for all storage, haulage and painting as specified." u="1"/>
        <s v="Supply all labour, plant, materials, transport, etc. for the proposed works in accordance with the specification and drawings or directed by the C.A" u="1"/>
        <s v="Dismantle and relocate the following panels and reinstall at new location. (Price to include supply, deliver and install a wall mounted terminal box for termination of existing outgoing cables from these panels (1 cable for each panel), and new cables for connection between the terminal box to the panels). Refer drawing 1057/P/E/4002." u="1"/>
        <s v="Supply and install power cable from MCC-TWPS to Actuator (ABV-1) comprising of 1 No. x 4 sqmm 4C PVC/SWA/PVC Copper Cable laid in trenches and cable tray" u="1"/>
        <s v="Supply and install power cable from MCC-TWPS to Actuator (ABV-2) comprising of 1 No. x 4 sqmm 4C PVC/SWA/PVC Copper Cable laid in trenches and cable tray" u="1"/>
        <s v="Supply and install power cable from MCC-TWPS to Actuator (ABV-3) comprising of 1 No. x 4 sqmm 4C PVC/SWA/PVC Copper Cable laid in trenches and cable tray" u="1"/>
        <s v="Supply and install power cable from MCC-TWPS to Actuator (ABV-4) comprising of 1 No. x 4 sqmm 4C PVC/SWA/PVC Copper Cable laid in trenches and cable tray" u="1"/>
        <s v="Supply and install power cable from MCC-TWPS to Actuator (ABV-5) comprising of 1 No. x 4 sqmm 4C PVC/SWA/PVC Copper Cable laid in trenches and cable tray" u="1"/>
        <s v="Supply and install power cable from MCC-TWPS to Actuator (ABV-6) comprising of 1 No. x 4 sqmm 4C PVC/SWA/PVC Copper Cable laid in trenches and cable tray" u="1"/>
        <s v="Emergency light 2x15W LED." u="1"/>
        <s v="REHABILITATION LIME SILO AND PREPARATION SYSTEM" u="1"/>
        <s v="Supply, deliver and fix 1000mm high 50mm dia hot dipped galvanised mild steel handrailing to stairs walkway to detail complete with bolts, nuts including painting.  Refer drawing: AIS/2520016/DTL/S/002" u="1"/>
        <s v="As-Built Drawings" u="1"/>
        <s v="CIVIL AND STRUCTURAL WORKS" u="1"/>
        <s v="To supply, deliver and install exial fan TDA 450/12AA/7-7/38, 5000cmh@150PA c/w L bracket support, starter panel, cabling and accessories." u="1"/>
        <s v="To carry out dismantling works and return to Air Selangor store / warehouse (within 50km) for the existing equipmet and replace it with New Panel c/w all accessories c/w instrument, equipment, base frame and other necessary accessories." u="1"/>
        <s v="Dismantling of all existing penstocks, valves, pipes, fittings, equipment, headstocks, supports, extension spindles, etc at the existing filters and  cart away to a designated area as instructed by the C.A.  (Rate shall include shift and transport to an approved location not exceeding 200KM or within Selangor)" u="1"/>
        <s v="Site Office _x000a_Provide and maintain one (1) no.C.A.'s temporary site office with minimum total floor area of 125 square metre complete with one (1) meeting room, Surau and two (2) washrooms and septic tank, furnitures, air conditioner, and all necessary office equipment as specified for the C.A.’s representatives and his staff including subsequent removal as directed.  Rate to include excavation, disposal of excavated material to location by C.A., backfilling, lean concrete, formwork, reinforcement, concreting, compaction and all necessary work." u="1"/>
        <s v="Provide monthly progress report, consist of one(1)  colour copy and two (2) copies black and white printed in suitably bound album for the duration of the Contract." u="1"/>
        <s v="Allow cost for seven (7) days rental of portable Gensets which are one duty, one stand-by (capacity to cater full load of the MSB) c/w temporary shelter, fuel, maintenance and all the other neccessary works and accessories during power shut down period at Sg. Serai WTP. The rate shall include dismantling and demobilisation of the genset, temporary shelter and etc." u="1"/>
        <s v="6m height mid hinged column  (foldable) hot-dipped galvanised lighting pole (flanged mounted type) c/w single arm bracket for luminaire floodlight, mounting board, flush top hinged service door , door stiffener, junction box IP54 c/w terminal block loop-in and loop-out box connection cables, heat shrinkable termination and holder, fuses and internal wiring using 2.5mm2 PVC/PVC and pole numbering sticker.    " u="1"/>
        <s v="Provide, maintain and removal contractor's services for the following but not limited to;" u="1"/>
        <s v="Dismantling and removing work of existing distribution board, reconnecting the existing cabling from existing panel to new distribution board as follows :- Existing Scada Panel, Flowmeter Panel Compartment, Bukit Tampoi Outlet Flowmeter Panel, Stesen Penganalisa Kualiti No.1, Stesen Penganalisa Kualiti No.2" u="1"/>
        <s v="Anchorages and holding down bolt assemblies" u="1"/>
        <s v="Quality Assurance/Quality Control (QA/QC)" u="1"/>
        <s v="Precast concrete footing (450mm x 450mm x 1200mm) for 10m and 12m pole c/w anchor bolt for mounting of flange mounted column." u="1"/>
        <s v="Using suitable excavated material to grading limits as per Specification Part B Clause 1.8" u="1"/>
        <s v="Supply &amp; Install SCM unit complete with measuring cell, transmitter, display PLC module with 8 no of I/O, data logger and all ancillary equipment, etc as detailed in the Specifications Clause 4.2  and Drawings." u="1"/>
        <s v="The Contractor is to allow for providing adequate first-aid equipment and sufficient number of approved safety helmets for the use of his workmen, Supervisory staff, Consultants' and Employer's representative. He must allow in his Tender all costs and expenses he deems necessary for the compliance of the above safety requirements. The Contractor is required to provide a team of qualified Site Safety Officer (SSO) together with Site Safety Supervisors (SSS), full time base at the Site." u="1"/>
        <s v="Reinforced concrete wall to stump as shown in the Drawing." u="1"/>
        <s v="To demolish existing pump's foundation and construct new pump's foundation as per design by Professional Engineer. Cost shall include reinforcement bar, foamwork, concrete, chemical anchor bolts, etc for a complete and solid foundation." u="1"/>
        <s v="Provision of manpower for supervision of Operation and Maintenance" u="1"/>
        <s v="Dismantling of existing street light pole, existing distribution board, cablings and reinstate the soil. " u="1"/>
        <s v="Where equipment is to be dismantled in whole or in part, rate/ cost shall include dismantle with proper tools and equipments.  Provide Registration Tag and keep it in the site safe location before transfer to the location as instructed by Employer." u="1"/>
        <s v="FINAL SUB-CIRCUIT WIRING WORKS" u="1"/>
        <s v="Covid 19 swab test as required by CIDB / MKN." u="1"/>
        <s v="F2: fair finish to walls" u="1"/>
        <s v="METALWORK" u="1"/>
        <s v="Allow necessary cost for local factory acceptance test and/or witness for Penstock. The cost shall include but not limited to all travelling expenses, accommodation (if necessary) and etc. for C.A. and consultants representatives." u="1"/>
        <s v="Anchorages and holding down bolt assemblies comprising 4 Nos. 20 mm Mild Steel HSFG bolts complete with all fixing and accessories including drilling holes through mild steel plate and existing slab. The items shall be deemed to include the repairing, touching up works to existing building and making good works to disturbed area." u="1"/>
        <s v="Electric Actuators for DN350mm butterfly valves, including electrical wiring, cabling &amp; conduit works, actuators, accessories and other associated electrical works " u="1"/>
        <s v="1 x 15W LED 6&quot; Dia. downlight fitting  with white rim, mirror reflector and glass diffuser" u="1"/>
        <s v="Complete Earthing system for Existing MSB and MCC-TWP inclusive of internal perimeter earthing complete with earthing terminal and minimum copper tape size of 25mm x 3mm. Minimum acceptable earthing value to be less than 1 ohm." u="1"/>
        <s v="To supply and install existing Anunciator to the new Intelligent Digital type with modbus protocol as per existing provided monitoring alarm and fault signal c/w wiring, bracket and other accessories to complete operation for 12 Indicator Lamp." u="1"/>
        <s v="To supply and install existing Anunciator to the new Intelligent Digital type with modbus protocol as per existing provided monitoring alarm and fault signal c/w wiring, bracket and other accessories to complete operation for 30 Indicator Lamp." u="1"/>
        <s v="SUPPLY AND ERECTION OF STRUCTURAL MEMBERS" u="1"/>
        <s v="100mm (W) x 75mm(D) trunking c/w support &amp; accessories" u="1"/>
        <s v="Supply and install uPVC Class C pipe works from ACH tank to SCM complete with flushing as shown in drawing." u="1"/>
        <s v="Occupational Safety and Health Requirements as per Specification:-" u="1"/>
        <s v="Compliance to all statutory obligation fee as required by the local by-law and by statut gazetted by the Government; i.e. CIDB, SPAN etc." u="1"/>
        <s v="To supply and install G.I. 0.6mm thickness TDC duct 18&quot; x 18&quot; x 13&quot; c/w bracket support, 300mm x 300mm x 500mm (B) single / D grille, elbow , coring and accessories." u="1"/>
        <s v="2C x 10mm² PVC/SWA/PVC Copper Cable direct buried underground from MSB to DB/PSH (Pendosan Room) c/w termination and cable accessories" u="1"/>
        <s v="Refurbishment Works" u="1"/>
        <s v="To supply and install new Control desk / console incorporating man machine interfaces (MMI), keyboards, etc. at the Control Room." u="1"/>
        <s v="Roof truss system and components as per specification including all connecting plates, bolts, nuts and other fastening." u="1"/>
        <s v="To supply and install new Control Generator / Alarm Panel (CG / AP) c/w two (2) No. of MVR for Generator Set No. 1._x000a_" u="1"/>
        <s v="Metal of stated roofing system and components to be designed by the contractor." u="1"/>
        <s v="To provide materials, tools and skillful personnel to conduct training for Air Selangor personnel as specified in the specification." u="1"/>
        <s v="Demolish and dismantling existing store" u="1"/>
        <s v="Supply, deliver and install Motor Control Centre Treated Water Pumping Station (MCC-TWPS), ASTA or KEMA type tested, Form 4B, cubicle metal clad, floor mounted with front and rear access, 50kA short-circuit rated 1250A 4P ACB 415V c/w transient voltage surge suppressor, over current and earth fault Microprocessor based relay, MCCBs, CTs, digital power meter, under voltage relay, auto-thermostat switch, indicator light, etc. where applicable as per specifications and drawings" u="1"/>
        <s v="6m height mid hinged column (fol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 u="1"/>
        <s v="DEMOLITION AND REFURBISHMENT WORKS" u="1"/>
        <s v="Provide one (1) no. of new project vehicle of 1.5 cc for the use of the C.A and his representatives throughout the Contract period, pay all toll cost (touchngo / RFID), parking, expenses on fuel and consumables, maintenance and replacement of the parts, insurances and taxes etc. throughout the costruction period and to be reverted to the Contractor three (3) months after the issuance of the Certificate of Practical Completion (CPC)." u="1"/>
        <s v="Supply &amp; Install Chemical Dosing pumpset (12 LPH) complete with complete with servo motor, weather proof control panel, R.C Plinth and all ancillary equipment, etc as detailed in the Specifications and Clause 4.1 Drawings.." u="1"/>
        <s v="16inch wall mounted fan c/w fan switch" u="1"/>
        <s v="Existing &quot;Isolator for Filter OD DB FM&quot; - 4C x 35mm² XLPE/SWA/PVC Copper Cable laid in Tray/Trunking from MSB (Treatment Plant)" u="1"/>
        <s v="Dismantling of existing pumpsets, and its ancillaries at the existing treated water pumping station and  cart away to a designated area as instructed by the C.A. (Rate shall include shift and transport to an approved location not exceeding 200KM or within Selangor)" u="1"/>
        <s v="Pump plinth.  Rate to include concrete binding agent and admixture or any other equivalent method to achieve concrete strength of 30 N/mm² at 7th days." u="1"/>
        <s v="Allow cost for the preparation of contract documentation, binding in hardcovers and stamping as specified in Air Selangor's Condition of Contract (Two (2) Original and five (5) Certified True Copies)." u="1"/>
        <s v="Inspect, test, reinstate the existing lime slurry tank to its original condition and carry out the necessary service, repair, make good, tightened and strengtht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To supply and install new of 150mm Dia. Dial Gauge with Transmitter for Jacket Water Engine Inlet." u="1"/>
        <s v="Mobilization and demobilization " u="1"/>
        <s v="The following items shall be deemed to include fixing to other work, supply of fixing components, and drilling or cutting of other work." u="1"/>
        <s v="Provide and maintain one (1) nos of project signboard as per Air Selangor requirement and to be removed upon completion of the project." u="1"/>
        <s v="Permits and Fees" u="1"/>
        <s v="Air condition point laid from existing DB Board in Electrical room using 3 nos 1C x 2.5 sq.mm PVC cable in conduit complete with switches, fixing, saddles, junction boxes,  etc." u="1"/>
        <s v="To supply and install new Control Generator / Alarm Panel (CG / AP) c/w two (2) No. of MVR for Generator Set No. 2._x000a_" u="1"/>
        <s v="Establishment of cabin store with floor area of at least 3.0m x 10.0m including the installation of door, windows, suitable furniture and fittings, suitable lighting and air conditioning, base slab, etc. The cabin shall be placed at the location selected by the C.A and shall be provided with gravel walkway as directed." u="1"/>
        <s v="Allow cost for Performance Bond. " u="1"/>
        <s v="FIRE CURTAIN_x000a_To dismantle existing fire curtain at switchgear control room c/w solenoid tripping device, cable, modification of fire alarm panel and all accessories." u="1"/>
        <s v="CHEMICAL DOSING ROOM" u="1"/>
        <s v="To supply and install new Outstation equipment including PLCs, modems, I/O modules, software and all ancillary equipment including power supply units, power cabling, fibre optic cabling, signal cabling from respective switchboard, instrument panel, marshalling panel, etc. for Master Station - at New Local Control Room" u="1"/>
        <s v="90W LED street light complete with  6 meters galvanize pole, accessories such as loop in loop out box, fuses, cable gland, concrete base and all others accessories works." u="1"/>
        <s v="4C x 16mm² PVC/SWA/PVC Copper Cable direct buried underground c/w termination &amp; accessories from Existing SSB to new F/P1 " u="1"/>
        <s v="DEMOLITION WORKS" u="1"/>
        <s v="supply, deliver, install, testing and commissioning Individual remote start/stop/emergency stop pushbutton stations pole mounted c/w control cabling and earthing as per Specifications and Drawings for Sampling Pump" u="1"/>
        <s v="Mobilization and demobilization of machinery, equipment and manpower for dismantling and demolition at the existing pump house, and etc." u="1"/>
        <s v="Control Cables_x000a_To supply and install new c/w termination work using Multicore Armoured cables laid in trenches c/w termination and accessories to complete installation to all related panel in the loop operation for interlock, monitoring and control signal. " u="1"/>
        <s v="Concrete plinth complete with sufficient opening for incoming / outgoing cabling. Detail as per drawing no: AIS/2520016/CB11/25/DTL/002." u="1"/>
        <s v="EMULSION PAINT OR ACRYLIC PAINT" u="1"/>
        <s v="Item for precast concrete shall be deemed to include reinforcement, formwork, joints, and finishes; and items for prestressed precast units shall include prestressing." u="1"/>
        <s v="Wiring using 2 x 1C - 1.5mm2 Cu. PVC cable c/w earthing in uPVC conduit and partly concealed uPVC conduit and one way 10A flush switch faceplate, back box and accessories for lighting point" u="1"/>
        <s v="Wiring using 2 x 1C - 1.5mm² Cu. PVC cable c/w earthing in uPVC conduit and partly concealed uPVC conduit and one way 10A flush switch faceplate, back box and accessories for lighting point" u="1"/>
        <s v="Galvanized Mild Steel : Handrails and balustrades; comprising of 50mm diameter for tubular handrails and 38mm diameter for intermediate and bottom rails; 50mm diameter for balustrade at maximum 1500mm spacing centre with 900mm high including all necessary welding and fixing accessories." u="1"/>
        <s v="CIVIL AND STRUCTURES" u="1"/>
        <s v="Temporary Safety Barricade" u="1"/>
        <s v="Supply &amp; Install SCM unit complete with measuring cell, transmitter, display PLC module with 8 no of I/O and all ancillary equipment, etc as detailed in the Specifications and Drawings." u="1"/>
        <s v="Allow cost to maintain the cleanliness of working area including ongoing housekeeping, water spraying to reduce dust mainly on main road, etc. to the requirement of the Authorities, clearing up the Sites as directed during progress and upon completion of the Works for the whole sites." u="1"/>
        <s v="To supply, deliver and install new, 160kW squirrel cage induction motor, 4 pole, IP55 protection of IEC standard with class F insulation complete with thermistor, heater and other accessories as per specification. Terminal box at site of the motor." u="1"/>
        <s v="REFURBISHMENT WORKS AT EXISTING PUMP HOUSE" u="1"/>
        <s v="Supply, deliver, install, testing and commissioning Individual remote start/stop/emergency stop pushbutton stations pole mounted c/w control cabling and earthing as per Specifications and Drawings for Treated Water Pump (For Pump Asset ID : 0212287586070)" u="1"/>
        <s v="Cutting existing 600mm DN MS pipe. Rate refers to one (1) no. of cut and to include excavation to affected pipeline section, all necessary cutting tools and equipment, cutting existing pipeline, removal of cut section to location as directed by AiS or to Contractor's own dump site." u="1"/>
        <s v="Replacement of Valves c/w Electric Actuator for Balancing Reservoir 1MG &amp; 2MG" u="1"/>
        <s v="Disconnect and dismantle of existing Sub Switchboard at the Treated water area and deliver to the approved location directed by C.A" u="1"/>
        <s v="To supply and install new of 150mm Dia. Dial Gauge with Transmitter for Engine Control Air." u="1"/>
        <s v="32A SPN metalclad distribution board  c/w 32A SPN MCB, 10A/20A MCB, RCCB, SPD &amp; cable termination_x000a_DB/CDR - CHEMICAL DOSING ROOM" u="1"/>
        <s v="Supply &amp; Install End Suction Centrifugal type pumpset (1000 LPH) complete with complete with weather proof control panel, R.C Plinth and all ancillary equipment, etc as detailed in the Specifications Clause 4.1 and Drawings." u="1"/>
        <s v="Allow cost for protection of all equipment (ie. chair, table, furnitures, cabinet, computers and etc) from dust and dirt, rearrangement of all furniture to existing condition" u="1"/>
        <s v="In earth for 450mm DN pipe, 2.0m - 3.0m" u="1"/>
        <s v="In earth for 600mm DN pipe, 2.0m - 3.0m" u="1"/>
        <s v="To supply, deliver and install new DN300 slanted seat tilting disk check valve at the discharge side of the pump." u="1"/>
        <s v="Replacement of Valves For Balancing Reservoir 1MG &amp; 2MG Bukit Tampoi WTP" u="1"/>
        <s v="Mackintosh Probe Test" u="1"/>
        <s v="Jointing c/w heat shrinkable outdoor termination kit &amp; accessories" u="1"/>
        <s v="Installation of 1 no. of SS316 Penstock (600mm x 600mm) c/w Electric Actuator at Bukit Tampoi WTP" u="1"/>
        <s v="110 VDC 50AH for GENSET 208AH SUPPLY SYSTEM_x000a_Supply and install new of Dual DC Charger System with single Battery Bank including enclosure for min capacity as existing c/w all accessories, monitoring, instrument, equipment, base frame and others where deem necessary to complete operation as per existing operation, drawings and specification. (Please Refer to As-Built Drwgs PNSB-P2S1-TW-GP-E-001)." u="1"/>
        <s v="Supply and install a new load cell system and its neccesary works complete with cabling for complete and efficient installation." u="1"/>
        <s v="Supply and install a new load cell system and its necessary works complete with cabling for complete and efficient installation." u="1"/>
        <s v="Inspection of existing SSB c/w modification/upgrading inclusive of supply and install new 32A TPN MCCB c/w all the other accessories for new Feeder Pillar for Compound Lighting (located at MSB Room) as per specification and dwg" u="1"/>
        <s v="Provide qualified and experienced (min 5 years) 33kV Chargeman on site (based on work executaion) to the approval of the C.A. The electrical chargeman should at least has category 'B' on Suruhanjaya Tenaga (ST) requirements." u="1"/>
        <s v="PROJECT REQUIREMENTS" u="1"/>
        <s v="Supply, deliver, install, testing and commissioning Individual remote start/stop/emergency stop pushbutton stations pole mounted c/w control cabling and earthing as per Specifications and Drawings for Treated Water Pump (48423651175)" u="1"/>
        <s v="Supply and install of heat shrinkable termination  for all cables &quot;IN&quot; and &quot;OUT&quot; as per drawing and specification. " u="1"/>
        <s v="Supply and install power cable from  SSB-FG to Instrument Panel No.1 comprising of 1 No. x 6 sqmm 4C PVC/SWA/PVC Copper Cable laid in trenches and cable tray" u="1"/>
        <s v="Supply and install power cable from  SSB-FG to Instrument Panel No.2 comprising of 1 No. x 6 sqmm 4C PVC/SWA/PVC Copper Cable laid in trenches and cable tray" u="1"/>
        <s v="Provide a Provisional Sum of Ringgit Malaysia: Fifty Thousand Only (RM 50,000.00) for related cost for the execution and completion of valve replacement / chamber reinstatement / pipeworks replacement / scouring facilities after further inspection and recommendation as according to the report to guarantee the functioning of the system to the satisfaction of C.A and / or to be used as any works directed by the C.A and to be deducted in whole or part if not required. " u="1"/>
        <s v="Flowmeters" u="1"/>
        <s v="32A SPN metalclad distribution board  c/w 32A SPN MCB, 10A/20A MCB, RCCB, SPD &amp; cable termination _x000a_DB/PSH" u="1"/>
        <s v="Supply &amp; Install Chemical Dosing pumpset (12 LPH) complete with complete with servo motor, weather proof control panel, R.C Plinth and all ancillary equipment, etc as detailed in the Specifications Clause 4.1 and  Drawings." u="1"/>
        <s v="To allow servicing work and make good including cleaning, tightening and test of the following interconnecting signal and power cable from location to destination terminal for Instrumentation and Sensors under (Dial Gauge Thermometer with Transmitter)." u="1"/>
        <s v="The following items for filling shall include compaction, and additional filling necessitated by settlement or penetration into underlying material as applicable." u="1"/>
        <s v="Upgrade and modify existing Sub Switchboard spare outgoing to suit new SSB-FG at Filter Gallery including circuit breaker, protection instrument, CT meter, etc for a complete and workable system as per drawing and specification" u="1"/>
        <s v="Special joints" u="1"/>
        <s v="F2: fair finish to trenches wall" u="1"/>
        <s v="Brickwall (230mm thick), reinforced with and including brick reinforcement, 'Exmet' or equivalent at every fourth course." u="1"/>
        <s v="INTERCONNECTING PIPEWORKS FROM INTAKE TO SEDIMENTATION CHAMBER" u="1"/>
        <s v="REMOVING DEBRIS" u="1"/>
        <s v="40mm (Consolidated) thick compacted asphaltic concrete wearing course, rolled with 8 ton roller." u="1"/>
        <s v="Supply and install control cable from Inlet Penstock Actuator (AV7-1)  comprising of  2.5mmsq Multicore PVC/SWA/PVC Auxiliary and Control cables laid in trenches and cable tray" u="1"/>
        <s v="Supply and install control cable from Inlet Penstock Actuator (AV8-1)  comprising of  2.5mmsq Multicore PVC/SWA/PVC Auxiliary and Control cables laid in trenches and cable tray" u="1"/>
        <s v="Supply and install control cable from Scour Penstock Actuator (AV1-5)  comprising of  2.5mmsq Multicore PVC/SWA/PVC Auxiliary and Control cables laid in trenches and cable tray" u="1"/>
        <s v="Supply and install control cable from Scour Penstock Actuator (AV2-5)  comprising of  2.5mmsq Multicore PVC/SWA/PVC Auxiliary and Control cables laid in trenches and cable tray" u="1"/>
        <s v="Supply and install control cable from Scour Penstock Actuator (AV3-5)  comprising of  2.5mmsq Multicore PVC/SWA/PVC Auxiliary and Control cables laid in trenches and cable tray" u="1"/>
        <s v="Supply and install control cable from Scour Penstock Actuator (AV4-5)  comprising of  2.5mmsq Multicore PVC/SWA/PVC Auxiliary and Control cables laid in trenches and cable tray" u="1"/>
        <s v="200W NW LED Floodlight (IP66)" u="1"/>
        <s v="600mm diameter opening." u="1"/>
        <s v="To supply, deliver, install, testing and commissioning as per Specifications and drawings" u="1"/>
        <s v="Staircase" u="1"/>
        <s v="TNB " u="1"/>
        <s v="Provision of all necessary piling plant and equipment, transportation to the Site, handling, assembling, and removal off the Site after completion of operation." u="1"/>
        <s v="Cabling from new 415V Main Switchboard to existing MSB terminal box  for Geotube MCC using 35 sq.mm/4C  XLPE/SWA/PVC (cu) cable c/w 35 sq mm/1C green PVC insulated earth copper cable." u="1"/>
        <s v="NEW STORE ROOM" u="1"/>
        <s v="Supply &amp; Install End Suction Centrifugal type pumpset (1000 LPH) complete with complete with weather proof control panel, R.C Plinth and all ancillary equipment, etc as detailed in the Specifications and Drawings." u="1"/>
        <s v="Supply and install of Street lighting luminaire 50W NW LED, asymmetric medium, IP 66 c/w clear &amp; hardened glass protector, die-cast aluminium housing and corrosion resistant polyester powder painted, surge protection device, built-in driver with pf&gt;0.95 and termination." u="1"/>
        <s v="50mm diameter opening." u="1"/>
        <s v="Dismantling of existing pumpsets, and its ancillaries at the existing treated water pumping station and  cart away to a designated area as instructed by the C.A. (Rate shall include shift and transport to an approved location)" u="1"/>
        <s v="HSFG bolts to BS 4604, nominal diameter 16 - 20 mm" u="1"/>
        <s v="Existing Filter and Filter Gallery" u="1"/>
        <s v="Supply and paint internal brickwall and concrete faces with two coats of approved emulsion paint. Rate to include one coat of primer and undercoat as specified." u="1"/>
        <s v="Earth Surface Preparation" u="1"/>
        <s v="New Ceiling " u="1"/>
        <s v="2C x 16mm² PVC/SWA/PVC Copper Cable laid in tray/trunking from MSB to intake c/w termination and cable accessories" u="1"/>
        <s v="230mm double brickwork in common bricks, joint racked in on both sides." u="1"/>
        <s v="Occupational Safety and Health Requirements as per Specification and AiS Requirements" u="1"/>
        <s v="TNB connection charges." u="1"/>
        <s v="AUTHORITIES' AND HSE REQUIREMENTS" u="1"/>
        <s v="Notes:_x000a_All provision sums are to be expended at the discretion and direction of C.A or deducted in whole or in part if not required" u="1"/>
        <s v="Allow sum for submission and registration of all switchgears and transformers installed to Authorities with endorsement by Electrical Service Engineer registered with ST." u="1"/>
        <s v="Individual Remote Sart/Stop/Emergency" u="1"/>
        <s v="DN450MM electromagnetic flowmeter c/w transmitter, indication, cabling, stainless steel IP67 pedestal panel, etc." u="1"/>
        <s v="EXISTING 415V MSB / MCC PANEL_x000a_To upgrade, service, recalibrate and supply, install, testing and commissioning of MSB &amp; MCC board and to change all ELR protection relay complete with all necessary protection, monitoring and control operational mechanism gears equipment  to work safe functioning in order. To povide temparory supply to make sure supply for Guard House is continiuous (100A) during shutdown. " u="1"/>
        <s v="Refurbish existing decorative pole compound lighting and to made good for installation. The price should included to dismantle the pole, rewiring, painting, reinstall and other nessessary work." u="1"/>
        <s v="Allow cost to maintain the works being kept clear of water in all situation and temporary drainage." u="1"/>
        <s v="Occupational health and safety plan." u="1"/>
        <s v="New weatherproof TNB metering panel complete with concrete plinth and pipe ducting. (To comply with TNB specification requirements)." u="1"/>
        <s v="Existing Lighting Power Distribution Board - 4C x 70mm² XLPE/SWA/PVC Copper Cable laid in Tray/Trunking from MSB (Treatment Plant)" u="1"/>
        <s v="3) The contractor shall note that PCFS roof trusses shall be designed to suit the ceiling, the location of water tanks and roof covering. In the case where the PCFS roof trusses are designed at centres which do not suit or facilitate the fixing of the ceiling, the contractors shall include in his design of the PCFS roof trusses for any additional bearers, tie-beams, ceiling joist, etc, required to facilitate the ceiling panels." u="1"/>
        <s v="Supply and install of External fuse c/w accessories for tapping from overhead cable to lantern" u="1"/>
        <s v="Identification marking or tagging on the new equipments shall be log life type to suite the environment condition subject to consultant approval." u="1"/>
        <s v="Complete solid earthing system (≤ 3 ohm) using 25mm x 3mm copper tape, 5/8&quot; x 12 feet copper earth electrode, heavy duty pre-cast earth chamber etc. as per drawing and specification for the feeder pillars (connection of the copper tape to the earth electrode shall be exothermic welded connection. The price shall be costed in until achieve less than ≤ 3 ohm." u="1"/>
        <s v="1 x 15W LED 6&quot; Dia.  downlight fitting  with white rim, mirror reflector and glass diffuser" u="1"/>
        <s v="Tie rod" u="1"/>
        <s v="F1: rough finish to plinth" u="1"/>
        <s v="ELECTRICAL WORKS" u="1"/>
        <s v="To provide manufacturer's scheduled servicing and maintaining of all major equipment and systems including consumable items during defect liability period. Services and maintenance shall comply with the manufacturer's requirement as directed by the C.A." u="1"/>
        <s v="Reinforced concrete walls to chambers." u="1"/>
        <s v="SUB-MAIN CABLING" u="1"/>
        <s v="Nominal diameter : 16mm" u="1"/>
        <s v="Temporary Works" u="1"/>
        <s v="To supply and install Instrument panels floor standing with 12 inch industrial grade touch panel c/w PLCs, communication protocol ready between Filter Gallery and future plant monitoring system, LPU, signal isolator, alarm annunciation, alarm monitoring, remote control, selector switches, push buttons, interposing relays all power and control cablings and all accessories for the control of valve actuators, monitoring of all electrical parameters and etc for a workable and complete system." u="1"/>
        <s v="Reinforced concrete wall to stump" u="1"/>
        <s v="150mm dia GI pipe for road crossing inclusive excavation, backfill, compaction and make good the surface as per existing " u="1"/>
        <s v="Rate for reinforcement shall be deemed to include labour for cutting, bending and placing._x000a_" u="1"/>
        <s v="Work Programme  in Microsoft Project in the form of Critical Path Method (CPM) / Gant Chart Format to S.O approval as per Specification." u="1"/>
        <s v="4) The contractors shall be note that he shall be solely responsible for the adequacy and the sufficiency of the PCFS roof trusses and including ten (10) years warranty on roof trusses (product) and workmanship. The contractors shall also to submit softcopy of design drawing to Engineer for review and joint inspection of trusses must be carried out before roofing works and after mechanical and electrical utilities and before ceiling works for acceptance and Professional Engineer (PE) must supervise fabrication, installation works and certify upon completion." u="1"/>
        <s v="600 mm DN flanged joints as shown in the Drawing." u="1"/>
        <s v="Base to steel column" u="1"/>
        <s v="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from new MSB to intake as per dwg." u="1"/>
        <s v="Allow cost for Contractor All Risks including Third Party/PublicLiability Insurance. (Note : Insurance shall be to cover the total contract sum and throughoutconstruction period including Defect Liability Period)." u="1"/>
        <s v="Pipework" u="1"/>
        <s v="Supply and install uPVC Class C sampling pipe works complete with flushing as shown in drawing." u="1"/>
        <s v="Allow cost for replacement work in stages as in accordance with the approved method statement to ensure minimal impact to the water supply" u="1"/>
        <s v="Scrap and prepare surface of existing road for resurfacing work" u="1"/>
        <s v="Nominal diameter : 12mm" u="1"/>
        <s v="Training" u="1"/>
        <s v="Supply and install 63A TPN metalclad epoxy Feeder Pillar 1 (IP56) electro-galvanized sheet steel with minimum thickness of 2mm inclusive of MCCBs, RCCBs, SPD, Timer with 24 hours spring reserve, switch socket outlet, 1 x 18W corrosive resistant fluorescent fitting, copper busbar and others accessories  painted with paint as C.A. requirement. Refer drawing no: AIS/2520016/CB11/25/SLD/001." u="1"/>
        <s v="Supply and install 63A TPN metalclad epoxy Feeder Pillar 2 (IP56) electro-galvanized sheet steel with minimum thickness of 2mm inclusive of MCCBs, RCCBs, SPD, Timer with 24 hours spring reserve, switch socket outlet, 1 x 18W corrosive resistant fluorescent fitting, copper busbar and others accessories  painted with paint as C.A. requirement. Refer drawing no: AIS/2520016/CB11/25/SLD/001." u="1"/>
        <s v="Preparing of platform level for piling works." u="1"/>
        <s v="Plastering to internal faces of brickwalls and concrete." u="1"/>
        <s v="4C x 10mm²  PVC/SWA/PVC Copper Cable direct buried underground from new F/P 1 to lighting poles c/w termination and cable accessories at services box" u="1"/>
        <s v="4C x 10mm²  PVC/SWA/PVC Copper Cable direct buried underground from new F/P 2 to lighting poles c/w termination and cable accessories at services box" u="1"/>
        <s v="Supply and deliver to site precast concrete slab cover with area of 1.0 m² for closure of slab opening at existing filter control console. Rate to include concrete, formwork, reinforcement ,paintings, all machineries required and etc. for complete installation." u="1"/>
        <s v="Allow cost for complying with the requirements of Construction Industry Development Board (CIDB)." u="1"/>
        <s v="Supply and install of complete solid earthing system (≤ 3 ohm) using 25mm x 3mm copper tape, 5/8&quot; x 12 feet copper earth electrode, heavy duty pre-cast earth chamber etc. as per drawing and specification for the feeder pillars (connection of the copper tape to the earth electrode shall be exothermic welded connection. The price shall be costed in until achieve less than ≤ 3 ohm." u="1"/>
        <s v="CONTRACTUAL REQUIREMENTS" u="1"/>
        <s v="Provide monthly progress report, health &amp;_x000a_safety report, set of digital records and four_x000a_(4) prints of progress coloured photographs_x000a_in suitably bound album for the duration of_x000a_the Contract Period." u="1"/>
        <s v="Provide monthly progress report, health &amp; safety report, set of digital records and four (4) prints of progress coloured photographs in suitably bound album for the duration of the Contract Period." u="1"/>
        <s v="Instrument Panel" u="1"/>
        <s v="Existing Air Blower Starter Panel (Filter Gallery) - 4C x 70mm² XLPE/SWA/PVC Copper Cable laid in Tray/Trunking from MSB (Treatment)" u="1"/>
        <s v="Insurance of the Works." u="1"/>
        <s v="2MW 6.6KV ALTERNATOR NO. 1_x000a_Upgrading, retrofitting and carry out full servicing work cleaning, inspect and test including 2MW 6.6kV Alternator for Generator Set No. 1 and not limited to the following;_x000a_1) Check and cleaning all housing, stator, rotor, Air Inlet / Outlet, Fan Blade, Rotor Rectifier and Other Accessories from dust, debris or unnecessay partical._x000a_2) Maintenance of sleeve and bearing, Oil Ring including change Grease and Lub Oil._x000a_3) Measurement of Rotor &amp; Stator vibration, polarisation and insulation test._x000a_4) Make good and retightening for all bolt and nuts and Mounting System. _x000a_5) Rotor Stator air gap clearance and shaft alignment._x000a_6) Rotating Diode, Exciter, PMG, Ground protection and other auxiliary system test._x000a_" u="1"/>
        <s v="2MW 6.6KV ALTERNATOR NO. 2_x000a_Upgrading, retrofitting and carry out full servicing work cleaning, inspect and test including 2MW 6.6kV Alternator for Generator Set No. 2 and not limited to the following;_x000a_1) Check and cleaning all housing, stator, rotor, Air Inlet / Outlet, Fan Blade, Rotor Rectifier and Other Accessories from dust, debris or unnecessay partical._x000a_2) Maintenance of sleeve and bearing, Oil Ring including change Grease and Lub Oil._x000a_3) Measurement of Rotor &amp; Stator vibration, polarisation and insulation test._x000a_4) Make good and retightening for all bolt and nuts and Mounting System. _x000a_5) Rotor Stator air gap clearance and shaft alignment._x000a_6) Rotating Diode, Exciter, PMG, Ground protection and other auxiliary system test._x000a_" u="1"/>
        <s v="Supply, deliver and fix 1000mm high 50mm dia hot dipped galvanised mild steel handrailing to stairs walkway to detail complete with bolts, nuts including painting Refer drawing: AIS/2520016/DTL/S/001  " u="1"/>
        <s v="Mild steel pipes and fittings, to SPAN specification with bitumen wrap externally and concrete lining internally as per Specification." u="1"/>
        <s v="Inspection of existing  LV main switchboard , FP/SL (intake area) and DB/SL (SSB room) and terminate / dismantle the DB/SL and deliver to the approved location directed by C.A" u="1"/>
        <s v="10mm Diameter bar. All reinforcing bars shall be off high tensile steel unless stated otherwise. The rates for all reinforcing steel shall include for all cutting, bending, placing and fixing, trying wires, saddles, spacers, rooling margins, wastage etc." u="1"/>
        <s v="Supply and install control cable from Outlet Valve Actuator (AV1-2)  comprising of  2.5mmsq Multicore PVC/SWA/PVC Auxiliary and Control cables laid in trenches and cable tray" u="1"/>
        <s v="Supply and install control cable from Outlet Valve Actuator (AV2-2)  comprising of  2.5mmsq Multicore PVC/SWA/PVC Auxiliary and Control cables laid in trenches and cable tray" u="1"/>
        <s v="Supply and install control cable from Outlet Valve Actuator (AV3-2)  comprising of  2.5mmsq Multicore PVC/SWA/PVC Auxiliary and Control cables laid in trenches and cable tray" u="1"/>
        <s v="Supply and install control cable from Outlet Valve Actuator (AV4-2)  comprising of  2.5mmsq Multicore PVC/SWA/PVC Auxiliary and Control cables laid in trenches and cable tray" u="1"/>
        <s v="Supply and install control cable from Outlet Valve Actuator (AV5-2)  comprising of  2.5mmsq Multicore PVC/SWA/PVC Auxiliary and Control cables laid in trenches and cable tray" u="1"/>
        <s v="Supply and install control cable from Outlet Valve Actuator (AV6-2)  comprising of  2.5mmsq Multicore PVC/SWA/PVC Auxiliary and Control cables laid in trenches and cable tray" u="1"/>
        <s v="Supply and install control cable from Outlet Valve Actuator (AV7-2)  comprising of  2.5mmsq Multicore PVC/SWA/PVC Auxiliary and Control cables laid in trenches and cable tray" u="1"/>
        <s v="Supply and install control cable from Outlet Valve Actuator (AV8-2)  comprising of  2.5mmsq Multicore PVC/SWA/PVC Auxiliary and Control cables laid in trenches and cable tray" u="1"/>
        <s v="PART B2 : (Electrical) NEW MCC AND ANCILLARY WORKS" u="1"/>
        <s v="PORTABLE VALVE EXERCISER" u="1"/>
        <s v="Supply and install power cable from MCC-TWPS to Air Compressor No.1 comprising of 1 No. x 4 sqmm 3C PVC/SWA/PVC Copper Cable laid underground and trenches c/w 4sqmm Earth Copper Cable" u="1"/>
        <s v="Supply and install power cable from MCC-TWPS to Air Compressor No.2 comprising of 1 No. x 4 sqmm 3C PVC/SWA/PVC Copper Cable laid underground and trenches c/w 4sqmm Earth Copper Cable" u="1"/>
        <s v="Nominal diameter : 20mm" u="1"/>
        <s v="b) Stores " u="1"/>
        <s v="STEEL STAIRCASE " u="1"/>
        <s v="d) Workmen accommodation" u="1"/>
        <s v="2) The design of the PCFS roof trusses shall be by an approved by JKR System Provider (S.P) and fabricated by a fabricator as defined and accordance with JKR-20600-0022-2001- Specification for Prefabricated Cold Form Steel Roof Trusses and drawings." u="1"/>
        <s v="Wiring using 2 x 1C - 1.5mm² Cu. PVC cable c/w earthing in concealed uPVC conduit and accessories for EMERGENCY lighting" u="1"/>
        <s v="Metal of stated roofing system and components to be _x000a_designed by the contractor." u="1"/>
        <s v="FINISHES" u="1"/>
        <s v="To provide adequately the requirements of working in confined space inclusive competent persons, personal protection equipment's (PPEs), apparatus, multi-gas detector, equipment's, signage's, ventilations, , training, procedures, requirement, documentation and  health requirement which in compliance with requirement of all relevant authorities and regulations, and Air Selangor.   " u="1"/>
        <s v="100W LED Street Lighting" u="1"/>
        <s v="Replace the damage drain with the similar type of drain along the perimeter of drainage at pump house and including all necessary transportation, equipment and etc all to C.A's approval" u="1"/>
        <s v="Blinding, 50 mm thick " u="1"/>
        <s v="Blinding, 75 mm thick " u="1"/>
        <s v="NEW MCC AND ANCILLARY WORKS" u="1"/>
        <s v="Supply and lay as specified 40mm granolithic floor finishes for New Control Room. " u="1"/>
        <s v="T16 starter bars drilled into existing pump plinth including other fixing accessories for complete installation." u="1"/>
        <s v="Cabling from new 415V Main Switchboard to existing MSB using 150 sq.mm/4C  XLPE/SWA/PVC (cu) cable c/w 150 sq mm/1C green PVC insulated earth copper cable." u="1"/>
        <s v="a) Air Selangor Sdn Bhd " u="1"/>
        <s v="Supply, deliver and install mild steel cement lined (MSCL) short piece pipe complete with flange adaptor, tie rods, gasket, bolt, nuts &amp; washer and other auxiliary items to complete valve installation. Location: 1MG Balancing Reservoir." u="1"/>
        <s v="Supply, deliver and install mild steel cement lined (MSCL) short piece pipe complete with flange adaptor, tie rods, gasket, bolt, nuts &amp; washer and other auxiliary items to complete valve installation. Location: 2MG Balancing Reservoir." u="1"/>
        <s v="To attend and complete full day training course of Air Selangor NIOSH Safety Passport Course for all employees or workers of the contractor and sub-contractor who are required to work at site (s). To obtain the Air Selangor Contractor's Safety Induction Card after completion of training course. To ensure that all employees and workers who are engaged for work at site (s) to have valid Air Selangor Contractor's Safety Induction card issued by Air Selangor. Card shall be displayed at all times when working at the Site (s) and/or the any Air Selangor premise (s)." u="1"/>
        <s v="a) Electricity" u="1"/>
        <s v="150 mm x 75 mm x 19.3 kg/m galvanized mild steel universal horizontal members to Grade 43A, BS 4360 (Rectangular Hollow Sections)" u="1"/>
        <s v="Moving and handling of all piling plant and equipment within the Site and from location to location as often as is, and whenever necessary for the execution of the whole piling operation." u="1"/>
        <s v="The following items shall be deemed to include the projections and intrusions" u="1"/>
        <s v="Inspect and test the existing knife gate valve and carry out the necessary service, repair, make good, tightened and strengthened with necessary brackets and supports to efficient working condition (Rate shall include supply the suitable parts and cart away existing parts to a approved location by C.A whichever needed.  Contractor shall submit the inspection report and obtain approval from C.A before carry out the necessary refurbishment work." u="1"/>
        <s v="Allow necessary modification / connection works to existing suction/delivery pipe to suit the new pumpsets and valves as detailed in the Specifications and Drawings." u="1"/>
        <s v="All modification, repairs, make good to the existing infrastructure/building /pipes and all other necessary works  for complete and efficient installation of new equipment to the existing Filter Tank and Filter Gallery " u="1"/>
        <s v="i. Testing" u="1"/>
        <s v="Filling material for excavation to remove unsuitable material" u="1"/>
        <s v="Mobilization and demobilization of labour, machinery, equipment, etc at site in order to carry out the emergency works." u="1"/>
        <s v="Supply and install control cable from Treated Water Pump (082602817420) comprising of  2.5mmsq Multicore PVC/SWA/PVC Auxiliary and Control cables" u="1"/>
        <s v="Supply and install control cable from Treated Water Pump (100856302181) comprising of  2.5mmsq Multicore PVC/SWA/PVC Auxiliary and Control cables" u="1"/>
        <s v="Supply and install control cable from Treated Water Pump (206063658557) comprising of  2.5mmsq Multicore PVC/SWA/PVC Auxiliary and Control cables" u="1"/>
        <s v="Supply and install control cable from Treated Water Pump (272277320544) comprising of  2.5mmsq Multicore PVC/SWA/PVC Auxiliary and Control cables" u="1"/>
        <s v="EXHAUST FAN _x000a_To make good and servicing existing exhaust fan at generator room c/w silencer, belting, electrical motor, bearing, lubricant, ductwork, netting, grill and all accessories." u="1"/>
        <s v="Pipelines" u="1"/>
        <s v="Service and make good for others related equipment to work safe functioning in order and not limited item as follows;_x000a_1) To replace inlet piping c/w filter and accessories _x000a_2) To replace corroded pipe c/w painting, fitting and others related equipment to work safe functioning in order._x000a_3) To make good the existing cooling tower housing/panel, fan blade and fin c/w new painting and necessary accessories._x000a__x000a_" u="1"/>
        <s v="Pre-Inspection shall be made for record and report of equipment's condition." u="1"/>
        <s v="Factory Acceptance Test (FAT) at manufacturer's origin location for materials and equipment testing either local or overseas. The FAT to be inspect and witness by five (5) authorized representative of the C.A. for the following  as per Specification 1.1.60:-" u="1"/>
      </sharedItems>
    </cacheField>
    <cacheField name="UNIT" numFmtId="0">
      <sharedItems containsBlank="1" count="17">
        <m/>
        <s v="L.S."/>
        <s v="NO"/>
        <s v="LOT"/>
        <s v="M"/>
        <s v="M²" u="1"/>
        <s v="SET" u="1"/>
        <s v="L.S" u="1"/>
        <s v="NO." u="1"/>
        <s v="Lot " u="1"/>
        <s v="TO" u="1"/>
        <s v="Prov. Sum" u="1"/>
        <s v="KG" u="1"/>
        <s v="sq.ft" u="1"/>
        <s v="M³" u="1"/>
        <s v="TON" u="1"/>
        <s v="Nos." u="1"/>
      </sharedItems>
    </cacheField>
    <cacheField name=" QTY" numFmtId="0">
      <sharedItems containsString="0" containsBlank="1" containsNumber="1" containsInteger="1" minValue="1" maxValue="1600"/>
    </cacheField>
    <cacheField name="RATE _x000a_(RM)" numFmtId="40">
      <sharedItems containsBlank="1" containsMixedTypes="1" containsNumber="1" containsInteger="1" minValue="0" maxValue="0"/>
    </cacheField>
    <cacheField name="AMOUNT_x000a_(RM)" numFmtId="40">
      <sharedItems containsBlank="1" containsMixedTypes="1" containsNumber="1" containsInteger="1" minValue="0" maxValue="15000"/>
    </cacheField>
    <cacheField name="Tenderer's Response" numFmtId="40">
      <sharedItems containsString="0" containsBlank="1" containsNumber="1" containsInteger="1" minValue="15000" maxValue="15000"/>
    </cacheField>
    <cacheField name="Navigate" numFmtId="40">
      <sharedItems/>
    </cacheField>
    <cacheField name="SECTION" numFmtId="40">
      <sharedItems containsBlank="1" count="30">
        <s v="A: General &amp; Preliminaries"/>
        <s v="B: Electrical Works"/>
        <s v="C: Provisional Sum"/>
        <s v="E: PROVISIONAL SUM" u="1"/>
        <s v="C1: RAW WATER PIPELINES, CIVIL AND STRUCTURAL WORKS" u="1"/>
        <m u="1"/>
        <s v="C: CIVIL WORKS" u="1"/>
        <s v="B: MECHANICAL, ELECTRICAL AND INSTRUMENTATION WORKS" u="1"/>
        <s v="C2: RAW WATER PIPELINES, MECHANICAL, ELECTRICAL AND INSTRUMENTATION WORKS" u="1"/>
        <s v="C: RAW WATER PIPELINES" u="1"/>
        <s v="D2: MSB ROOM, ELECTRICAL WORKS" u="1"/>
        <s v="B2: Ampang Intake WTP" u="1"/>
        <s v="SECTION - A GENERAL AND PRELIMINARIES" u="1"/>
        <s v="D: Electrical Work" u="1"/>
        <s v="D: PROVISIONAL COST" u="1"/>
        <s v="B2: INTAKE STATION, MECHANICAL AND ELECTRICAL WORKS" u="1"/>
        <s v="C: Mechanical Works" u="1"/>
        <s v="A: GENERAL AND PRELIMINARIES" u="1"/>
        <s v="D1: MSB ROOM, CIVIL AND STRUCTURAL WORKS" u="1"/>
        <s v="B: Civil Work" u="1"/>
        <s v="D: PROVISIONAL SUM" u="1"/>
        <s v="B3: Cheras Mile 11 WTP" u="1"/>
        <s v="C: MECHANICAL, ELECTRICAL AND INSTRUMENTATION WORKS" u="1"/>
        <s v="B: CIVIL AND STRUCTURAL WORKS" u="1"/>
        <s v="B4: Sg. Serai WTP" u="1"/>
        <s v="B: REHABILITATION WORK" u="1"/>
        <s v="B1: Bukit Nanas WTP" u="1"/>
        <s v="D: MSB ROOM" u="1"/>
        <s v="B: INTAKE STATION" u="1"/>
        <s v="B1: INTAKE STATION, CIVIL AND STRUCTURAL WORKS" u="1"/>
      </sharedItems>
    </cacheField>
    <cacheField name="SUB-SECTION" numFmtId="40">
      <sharedItems containsBlank="1" count="63">
        <s v="A: General &amp; Preliminaries"/>
        <s v="B: Electrical Works"/>
        <s v="C: Provisional Sum"/>
        <s v="" u="1"/>
        <s v="E: PROVISIONAL SUM" u="1"/>
        <s v="C1: RAW WATER PIPELINES, CIVIL AND STRUCTURAL WORKS" u="1"/>
        <s v="PART B2: (Mechanical) REHABILITATION LIME SILO &amp; PREPARATION SYSTEM" u="1"/>
        <m u="1"/>
        <s v="CONTRACTUAL REQUIREMENTS" u="1"/>
        <s v="B1: Electrical Works" u="1"/>
        <s v="C2:" u="1"/>
        <s v="B3: Electrical Works" u="1"/>
        <s v="C2: PENSTOCK AND VALVES REPLACEMENT" u="1"/>
        <s v="AUTHORITIES' AND HSE REQUIREMENTS" u="1"/>
        <s v="PROJECT REQUIREMENTS" u="1"/>
        <s v="REFURBISHMENT WORKS AT EXISTING PUMP HOUSE" u="1"/>
        <s v="B1: STEEL STAIRCASE AND MAINTENANCE PLATFORM" u="1"/>
        <s v="C2: RAW WATER PIPELINES, MECHANICAL, ELECTRICAL AND INSTRUMENTATION WORKS" u="1"/>
        <s v="C: RAW WATER PIPELINES" u="1"/>
        <s v="INSTRUMENTATION WORKS FOR FILTER AND FILTER GALLERY" u="1"/>
        <s v="C3: REHABILITATION LIME SILO &amp; PREPARATION SYSTEM" u="1"/>
        <s v="B3: REFURBISHMENT WORKS AT FILTER AND FILTERS GALLERY" u="1"/>
        <s v="C5: NEW MCC AND ANCILLARY WORKS" u="1"/>
        <s v="NEW MCC AND ANCILLARY WORKS" u="1"/>
        <s v="D2: MSB ROOM, ELECTRICAL WORKS" u="1"/>
        <s v="C4: NEW STREAMING CURRENT DETECTORS" u="1"/>
        <s v="PART B2 : (Electrical) Filter &amp; Filter Gallery" u="1"/>
        <s v="B2: Ampang Intake WTP" u="1"/>
        <s v="C6: ELECTRICAL WORKS AT FILTER AND FILTER GALLERY" u="1"/>
        <s v="CONTRACTOR'S REQUIREMENTS" u="1"/>
        <s v="SECTION - A GENERAL AND PRELIMINARIES" u="1"/>
        <s v="C7: ELECTRICAL WORKS FOR NEW SCM " u="1"/>
        <s v="B2: INTAKE STATION, MECHANICAL AND ELECTRICAL WORKS" u="1"/>
        <s v="A1: CONTRACTUAL REQUIREMENTS" u="1"/>
        <s v="PART B2 : (Mechanical) NEW STREAMING CURRENT DETECTORS" u="1"/>
        <s v="A3: AUTHORITIES' AND HSE REQUIREMENTS" u="1"/>
        <s v="ELECTRICAL WORKS AT FILTER &amp; FILTER GALLERY" u="1"/>
        <s v="B2: " u="1"/>
        <s v="B2: STEEL STAIRCASE " u="1"/>
        <s v="A: GENERAL AND PRELIMINARIES" u="1"/>
        <s v="B2: Electrical Works" u="1"/>
        <s v="D1: MSB ROOM, CIVIL AND STRUCTURAL WORKS" u="1"/>
        <s v="D: PROVISIONAL SUM" u="1"/>
        <s v="B3: Cheras Mile 11 WTP" u="1"/>
        <s v="B4: Electrical Works" u="1"/>
        <s v="A2: PROJECT REQUIREMENTS" u="1"/>
        <s v="B1: Civil Works" u="1"/>
        <s v="PART B1:(C&amp;S) Refurbishment Works at Filter and Filters Gallery" u="1"/>
        <s v="C1: UPGRADING TREATED WATER PUMPS WORKS" u="1"/>
        <s v="UPGRADING TREATED WATER PUMPS WORKS" u="1"/>
        <s v="REFURBISHMENT WORKS AT FILTER AND FILTERS GALLERY" u="1"/>
        <s v="C8: INSTRUMENTATION WORKS FOR FILTER AND FILTER GALLERY" u="1"/>
        <s v="ELECTRICAL WORKS FOR NEW SCM " u="1"/>
        <s v="A4: CONTRACTOR'S REQUIREMENTS" u="1"/>
        <s v="B4: Sg. Serai WTP" u="1"/>
        <s v="B2: REFURBISHMENT WORKS AT EXISTING PUMP HOUSE" u="1"/>
        <s v="B1: Bukit Nanas WTP" u="1"/>
        <s v="D: MSB ROOM" u="1"/>
        <s v="PART B2 : (Electrical) NEW MCC AND ANCILLARY WORKS" u="1"/>
        <s v="B1: " u="1"/>
        <s v="B1: STEEL STAIRCASE " u="1"/>
        <s v="B: INTAKE STATION" u="1"/>
        <s v="B1: INTAKE STATION, CIVIL AND STRUCTURAL WORKS" u="1"/>
      </sharedItems>
    </cacheField>
    <cacheField name="Cheat" numFmtId="43">
      <sharedItems longText="1"/>
    </cacheField>
    <cacheField name="Comment" numFmtId="0">
      <sharedItems containsNonDate="0" containsString="0" containsBlank="1"/>
    </cacheField>
  </cacheFields>
  <extLst>
    <ext xmlns:x14="http://schemas.microsoft.com/office/spreadsheetml/2009/9/main" uri="{725AE2AE-9491-48be-B2B4-4EB974FC3084}">
      <x14:pivotCacheDefinition pivotCacheId="7075283"/>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6" cacheId="225" applyNumberFormats="0" applyBorderFormats="0" applyFontFormats="0" applyPatternFormats="0" applyAlignmentFormats="0" applyWidthHeightFormats="1" dataCaption="Values" updatedVersion="8" minRefreshableVersion="3" itemPrintTitles="1" createdVersion="8" indent="0" compact="0" compactData="0" multipleFieldFilters="0">
  <location ref="B13:C17" firstHeaderRow="1" firstDataRow="1" firstDataCol="1"/>
  <pivotFields count="13">
    <pivotField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272"/>
        <item m="1" x="332"/>
        <item m="1" x="391"/>
        <item m="1" x="451"/>
        <item m="1" x="510"/>
        <item m="1" x="569"/>
        <item m="1" x="148"/>
        <item m="1" x="205"/>
        <item m="1" x="264"/>
        <item m="1" x="324"/>
        <item m="1" x="383"/>
        <item m="1" x="443"/>
        <item m="1" x="502"/>
        <item m="1" x="561"/>
        <item m="1" x="139"/>
        <item m="1" x="196"/>
        <item m="1" x="255"/>
        <item m="1" x="314"/>
        <item m="1" x="374"/>
        <item m="1" x="434"/>
        <item m="1" x="493"/>
        <item m="1" x="553"/>
        <item m="1" x="131"/>
        <item m="1" x="188"/>
        <item m="1" x="218"/>
        <item m="1" x="247"/>
        <item m="1" x="278"/>
        <item m="1" x="306"/>
        <item m="1" x="338"/>
        <item m="1" x="366"/>
        <item m="1" x="397"/>
        <item m="1" x="426"/>
        <item m="1" x="457"/>
        <item m="1" x="485"/>
        <item m="1" x="516"/>
        <item m="1" x="544"/>
        <item m="1" x="574"/>
        <item m="1" x="123"/>
        <item m="1" x="153"/>
        <item m="1" x="180"/>
        <item m="1" x="210"/>
        <item m="1" x="239"/>
        <item m="1" x="269"/>
        <item m="1" x="298"/>
        <item m="1" x="329"/>
        <item m="1" x="358"/>
        <item m="1" x="388"/>
        <item m="1" x="418"/>
        <item m="1" x="448"/>
        <item m="1" x="477"/>
        <item m="1" x="507"/>
        <item m="1" x="536"/>
        <item m="1" x="566"/>
        <item m="1" x="116"/>
        <item m="1" x="145"/>
        <item m="1" x="173"/>
        <item m="1" x="202"/>
        <item m="1" x="232"/>
        <item m="1" x="261"/>
        <item m="1" x="291"/>
        <item m="1" x="321"/>
        <item m="1" x="351"/>
        <item m="1" x="380"/>
        <item m="1" x="411"/>
        <item m="1" x="440"/>
        <item m="1" x="470"/>
        <item m="1" x="499"/>
        <item m="1" x="529"/>
        <item m="1" x="559"/>
        <item m="1" x="110"/>
        <item m="1" x="137"/>
        <item m="1" x="166"/>
        <item m="1" x="194"/>
        <item m="1" x="224"/>
        <item m="1" x="253"/>
        <item m="1" x="284"/>
        <item m="1" x="312"/>
        <item m="1" x="344"/>
        <item m="1" x="372"/>
        <item m="1" x="403"/>
        <item m="1" x="432"/>
        <item m="1" x="463"/>
        <item m="1" x="491"/>
        <item m="1" x="522"/>
        <item m="1" x="551"/>
        <item m="1" x="580"/>
        <item m="1" x="129"/>
        <item m="1" x="159"/>
        <item m="1" x="186"/>
        <item m="1" x="216"/>
        <item m="1" x="245"/>
        <item m="1" x="276"/>
        <item m="1" x="304"/>
        <item m="1" x="336"/>
        <item m="1" x="364"/>
        <item m="1" x="395"/>
        <item m="1" x="424"/>
        <item m="1" x="455"/>
        <item m="1" x="483"/>
        <item m="1" x="514"/>
        <item m="1" x="542"/>
        <item m="1" x="573"/>
        <item m="1" x="122"/>
        <item m="1" x="152"/>
        <item m="1" x="179"/>
        <item m="1" x="209"/>
        <item m="1" x="238"/>
        <item m="1" x="268"/>
        <item m="1" x="297"/>
        <item m="1" x="328"/>
        <item m="1" x="357"/>
        <item m="1" x="387"/>
        <item m="1" x="417"/>
        <item m="1" x="447"/>
        <item m="1" x="476"/>
        <item m="1" x="506"/>
        <item m="1" x="535"/>
        <item m="1" x="565"/>
        <item m="1" x="115"/>
        <item m="1" x="144"/>
        <item m="1" x="172"/>
        <item m="1" x="201"/>
        <item m="1" x="231"/>
        <item m="1" x="260"/>
        <item m="1" x="290"/>
        <item m="1" x="320"/>
        <item m="1" x="350"/>
        <item m="1" x="379"/>
        <item m="1" x="410"/>
        <item m="1" x="439"/>
        <item m="1" x="469"/>
        <item m="1" x="498"/>
        <item m="1" x="528"/>
        <item m="1" x="558"/>
        <item m="1" x="109"/>
        <item m="1" x="136"/>
        <item m="1" x="165"/>
        <item m="1" x="193"/>
        <item m="1" x="223"/>
        <item m="1" x="252"/>
        <item m="1" x="283"/>
        <item m="1" x="311"/>
        <item m="1" x="343"/>
        <item m="1" x="371"/>
        <item m="1" x="402"/>
        <item m="1" x="431"/>
        <item m="1" x="462"/>
        <item m="1" x="490"/>
        <item m="1" x="521"/>
        <item m="1" x="549"/>
        <item m="1" x="579"/>
        <item m="1" x="128"/>
        <item m="1" x="143"/>
        <item m="1" x="158"/>
        <item m="1" x="171"/>
        <item m="1" x="185"/>
        <item m="1" x="200"/>
        <item m="1" x="215"/>
        <item m="1" x="229"/>
        <item m="1" x="244"/>
        <item m="1" x="259"/>
        <item m="1" x="275"/>
        <item m="1" x="289"/>
        <item m="1" x="303"/>
        <item m="1" x="319"/>
        <item m="1" x="335"/>
        <item m="1" x="349"/>
        <item m="1" x="363"/>
        <item m="1" x="378"/>
        <item m="1" x="394"/>
        <item m="1" x="409"/>
        <item m="1" x="423"/>
        <item m="1" x="438"/>
        <item m="1" x="454"/>
        <item m="1" x="468"/>
        <item m="1" x="482"/>
        <item m="1" x="497"/>
        <item m="1" x="513"/>
        <item m="1" x="527"/>
        <item m="1" x="541"/>
        <item m="1" x="557"/>
        <item m="1" x="572"/>
        <item m="1" x="108"/>
        <item m="1" x="121"/>
        <item m="1" x="135"/>
        <item m="1" x="151"/>
        <item m="1" x="164"/>
        <item m="1" x="178"/>
        <item m="1" x="192"/>
        <item m="1" x="208"/>
        <item m="1" x="222"/>
        <item m="1" x="237"/>
        <item m="1" x="251"/>
        <item m="1" x="267"/>
        <item m="1" x="282"/>
        <item m="1" x="296"/>
        <item m="1" x="310"/>
        <item m="1" x="327"/>
        <item m="1" x="342"/>
        <item m="1" x="356"/>
        <item m="1" x="370"/>
        <item m="1" x="386"/>
        <item m="1" x="401"/>
        <item m="1" x="416"/>
        <item m="1" x="430"/>
        <item m="1" x="446"/>
        <item m="1" x="461"/>
        <item m="1" x="475"/>
        <item m="1" x="489"/>
        <item m="1" x="505"/>
        <item m="1" x="520"/>
        <item m="1" x="534"/>
        <item m="1" x="548"/>
        <item m="1" x="564"/>
        <item m="1" x="578"/>
        <item m="1" x="114"/>
        <item m="1" x="127"/>
        <item m="1" x="142"/>
        <item m="1" x="157"/>
        <item m="1" x="170"/>
        <item m="1" x="184"/>
        <item m="1" x="199"/>
        <item m="1" x="214"/>
        <item m="1" x="228"/>
        <item m="1" x="243"/>
        <item m="1" x="258"/>
        <item m="1" x="274"/>
        <item m="1" x="288"/>
        <item m="1" x="302"/>
        <item m="1" x="317"/>
        <item m="1" x="334"/>
        <item m="1" x="348"/>
        <item m="1" x="362"/>
        <item m="1" x="377"/>
        <item m="1" x="393"/>
        <item m="1" x="408"/>
        <item m="1" x="422"/>
        <item m="1" x="437"/>
        <item m="1" x="453"/>
        <item m="1" x="467"/>
        <item m="1" x="481"/>
        <item m="1" x="496"/>
        <item m="1" x="512"/>
        <item m="1" x="526"/>
        <item m="1" x="540"/>
        <item m="1" x="556"/>
        <item m="1" x="571"/>
        <item m="1" x="107"/>
        <item m="1" x="120"/>
        <item m="1" x="134"/>
        <item m="1" x="150"/>
        <item m="1" x="163"/>
        <item m="1" x="177"/>
        <item m="1" x="191"/>
        <item m="1" x="207"/>
        <item m="1" x="221"/>
        <item m="1" x="236"/>
        <item m="1" x="250"/>
        <item m="1" x="266"/>
        <item m="1" x="281"/>
        <item m="1" x="295"/>
        <item m="1" x="309"/>
        <item m="1" x="326"/>
        <item m="1" x="341"/>
        <item m="1" x="355"/>
        <item m="1" x="369"/>
        <item m="1" x="385"/>
        <item m="1" x="400"/>
        <item m="1" x="415"/>
        <item m="1" x="429"/>
        <item m="1" x="445"/>
        <item m="1" x="460"/>
        <item m="1" x="474"/>
        <item m="1" x="488"/>
        <item m="1" x="504"/>
        <item m="1" x="519"/>
        <item m="1" x="533"/>
        <item m="1" x="547"/>
        <item m="1" x="563"/>
        <item m="1" x="577"/>
        <item m="1" x="113"/>
        <item m="1" x="126"/>
        <item m="1" x="141"/>
        <item m="1" x="156"/>
        <item m="1" x="169"/>
        <item m="1" x="183"/>
        <item m="1" x="198"/>
        <item m="1" x="213"/>
        <item m="1" x="227"/>
        <item m="1" x="242"/>
        <item m="1" x="257"/>
        <item m="1" x="273"/>
        <item m="1" x="287"/>
        <item m="1" x="301"/>
        <item m="1" x="316"/>
        <item m="1" x="333"/>
        <item m="1" x="347"/>
        <item m="1" x="361"/>
        <item m="1" x="376"/>
        <item m="1" x="392"/>
        <item m="1" x="406"/>
        <item m="1" x="421"/>
        <item m="1" x="436"/>
        <item m="1" x="452"/>
        <item m="1" x="466"/>
        <item m="1" x="480"/>
        <item m="1" x="495"/>
        <item m="1" x="511"/>
        <item m="1" x="525"/>
        <item m="1" x="539"/>
        <item m="1" x="555"/>
        <item m="1" x="570"/>
        <item m="1" x="106"/>
        <item m="1" x="119"/>
        <item m="1" x="133"/>
        <item m="1" x="149"/>
        <item m="1" x="162"/>
        <item m="1" x="176"/>
        <item m="1" x="190"/>
        <item m="1" x="206"/>
        <item m="1" x="220"/>
        <item m="1" x="235"/>
        <item m="1" x="249"/>
        <item m="1" x="265"/>
        <item m="1" x="280"/>
        <item m="1" x="294"/>
        <item m="1" x="308"/>
        <item m="1" x="325"/>
        <item m="1" x="340"/>
        <item m="1" x="354"/>
        <item m="1" x="368"/>
        <item m="1" x="384"/>
        <item m="1" x="399"/>
        <item m="1" x="414"/>
        <item m="1" x="428"/>
        <item m="1" x="444"/>
        <item m="1" x="459"/>
        <item m="1" x="473"/>
        <item m="1" x="487"/>
        <item m="1" x="503"/>
        <item m="1" x="518"/>
        <item m="1" x="532"/>
        <item m="1" x="546"/>
        <item m="1" x="562"/>
        <item m="1" x="576"/>
        <item m="1" x="112"/>
        <item m="1" x="125"/>
        <item m="1" x="140"/>
        <item m="1" x="155"/>
        <item m="1" x="168"/>
        <item m="1" x="182"/>
        <item m="1" x="197"/>
        <item m="1" x="212"/>
        <item m="1" x="226"/>
        <item m="1" x="241"/>
        <item m="1" x="256"/>
        <item m="1" x="271"/>
        <item m="1" x="286"/>
        <item m="1" x="300"/>
        <item m="1" x="315"/>
        <item m="1" x="331"/>
        <item m="1" x="346"/>
        <item m="1" x="360"/>
        <item m="1" x="375"/>
        <item m="1" x="390"/>
        <item m="1" x="405"/>
        <item m="1" x="420"/>
        <item m="1" x="435"/>
        <item m="1" x="450"/>
        <item m="1" x="465"/>
        <item m="1" x="479"/>
        <item m="1" x="494"/>
        <item m="1" x="509"/>
        <item m="1" x="524"/>
        <item m="1" x="538"/>
        <item m="1" x="554"/>
        <item m="1" x="568"/>
        <item m="1" x="105"/>
        <item m="1" x="118"/>
        <item m="1" x="132"/>
        <item m="1" x="147"/>
        <item m="1" x="161"/>
        <item m="1" x="175"/>
        <item m="1" x="189"/>
        <item m="1" x="204"/>
        <item m="1" x="219"/>
        <item m="1" x="234"/>
        <item m="1" x="248"/>
        <item m="1" x="263"/>
        <item m="1" x="279"/>
        <item m="1" x="293"/>
        <item m="1" x="307"/>
        <item m="1" x="323"/>
        <item m="1" x="339"/>
        <item m="1" x="353"/>
        <item m="1" x="367"/>
        <item m="1" x="382"/>
        <item m="1" x="398"/>
        <item m="1" x="413"/>
        <item m="1" x="427"/>
        <item m="1" x="442"/>
        <item m="1" x="458"/>
        <item m="1" x="472"/>
        <item m="1" x="486"/>
        <item m="1" x="501"/>
        <item m="1" x="517"/>
        <item m="1" x="531"/>
        <item m="1" x="545"/>
        <item m="1" x="552"/>
        <item m="1" x="560"/>
        <item m="1" x="567"/>
        <item m="1" x="575"/>
        <item m="1" x="104"/>
        <item m="1" x="111"/>
        <item m="1" x="117"/>
        <item m="1" x="124"/>
        <item m="1" x="130"/>
        <item m="1" x="138"/>
        <item m="1" x="146"/>
        <item m="1" x="154"/>
        <item m="1" x="160"/>
        <item m="1" x="167"/>
        <item m="1" x="174"/>
        <item m="1" x="181"/>
        <item m="1" x="187"/>
        <item m="1" x="195"/>
        <item m="1" x="203"/>
        <item m="1" x="211"/>
        <item m="1" x="217"/>
        <item m="1" x="225"/>
        <item m="1" x="233"/>
        <item m="1" x="240"/>
        <item m="1" x="246"/>
        <item m="1" x="254"/>
        <item m="1" x="262"/>
        <item m="1" x="270"/>
        <item m="1" x="277"/>
        <item m="1" x="285"/>
        <item m="1" x="292"/>
        <item m="1" x="299"/>
        <item m="1" x="305"/>
        <item m="1" x="313"/>
        <item m="1" x="322"/>
        <item m="1" x="330"/>
        <item m="1" x="337"/>
        <item m="1" x="345"/>
        <item m="1" x="352"/>
        <item m="1" x="359"/>
        <item m="1" x="365"/>
        <item m="1" x="373"/>
        <item m="1" x="381"/>
        <item m="1" x="389"/>
        <item m="1" x="396"/>
        <item m="1" x="404"/>
        <item m="1" x="412"/>
        <item m="1" x="419"/>
        <item m="1" x="425"/>
        <item m="1" x="433"/>
        <item m="1" x="441"/>
        <item m="1" x="449"/>
        <item m="1" x="456"/>
        <item m="1" x="464"/>
        <item m="1" x="471"/>
        <item m="1" x="478"/>
        <item m="1" x="484"/>
        <item m="1" x="492"/>
        <item m="1" x="500"/>
        <item m="1" x="508"/>
        <item m="1" x="515"/>
        <item m="1" x="523"/>
        <item m="1" x="530"/>
        <item m="1" x="230"/>
        <item m="1" x="318"/>
        <item m="1" x="407"/>
        <item m="1" x="550"/>
        <item m="1" x="537"/>
        <item m="1" x="543"/>
      </items>
    </pivotField>
    <pivotField compact="0" outline="0" showAll="0" defaultSubtotal="0">
      <items count="1124">
        <item m="1" x="458"/>
        <item m="1" x="500"/>
        <item m="1" x="552"/>
        <item m="1" x="597"/>
        <item m="1" x="627"/>
        <item m="1" x="648"/>
        <item m="1" x="665"/>
        <item m="1" x="678"/>
        <item m="1" x="705"/>
        <item m="1" x="440"/>
        <item m="1" x="465"/>
        <item m="1" x="506"/>
        <item m="1" x="556"/>
        <item m="1" x="601"/>
        <item m="1" x="629"/>
        <item m="1" x="649"/>
        <item m="1" x="666"/>
        <item m="1" x="679"/>
        <item m="1" x="706"/>
        <item m="1" x="441"/>
        <item m="1" x="468"/>
        <item m="1" x="514"/>
        <item m="1" x="564"/>
        <item m="1" x="603"/>
        <item m="1" x="630"/>
        <item m="1" x="650"/>
        <item m="1" x="667"/>
        <item m="1" x="680"/>
        <item m="1" x="707"/>
        <item m="1" x="442"/>
        <item m="1" x="469"/>
        <item m="1" x="517"/>
        <item m="1" x="568"/>
        <item m="1" x="604"/>
        <item m="1" x="631"/>
        <item m="1" x="651"/>
        <item m="1" x="668"/>
        <item m="1" x="681"/>
        <item m="1" x="708"/>
        <item m="1" x="956"/>
        <item m="1" x="993"/>
        <item m="1" x="1037"/>
        <item m="1" x="1088"/>
        <item m="1" x="77"/>
        <item m="1" x="105"/>
        <item m="1" x="127"/>
        <item m="1" x="143"/>
        <item m="1" x="157"/>
        <item m="1" x="193"/>
        <item m="1" x="971"/>
        <item m="1" x="1001"/>
        <item m="1" x="1042"/>
        <item m="1" x="1092"/>
        <item m="1" x="81"/>
        <item m="1" x="108"/>
        <item m="1" x="128"/>
        <item m="1" x="476"/>
        <item m="1" x="524"/>
        <item m="1" x="576"/>
        <item m="1" x="612"/>
        <item m="1" x="637"/>
        <item m="1" x="657"/>
        <item m="1" x="672"/>
        <item m="1" x="689"/>
        <item m="1" x="732"/>
        <item m="1" x="449"/>
        <item m="1" x="481"/>
        <item m="1" x="528"/>
        <item m="1" x="580"/>
        <item m="1" x="615"/>
        <item m="1" x="639"/>
        <item m="1" x="658"/>
        <item m="1" x="673"/>
        <item m="1" x="690"/>
        <item m="1" x="733"/>
        <item m="1" x="1015"/>
        <item m="1" x="1065"/>
        <item m="1" x="1113"/>
        <item m="1" x="95"/>
        <item m="1" x="119"/>
        <item m="1" x="139"/>
        <item m="1" x="152"/>
        <item m="1" x="175"/>
        <item m="1" x="224"/>
        <item m="1" x="985"/>
        <item m="1" x="1021"/>
        <item m="1" x="1069"/>
        <item m="1" x="1117"/>
        <item m="1" x="98"/>
        <item m="1" x="122"/>
        <item m="1" x="140"/>
        <item m="1" x="153"/>
        <item m="1" x="176"/>
        <item m="1" x="495"/>
        <item m="1" x="547"/>
        <item m="1" x="593"/>
        <item m="1" x="623"/>
        <item x="0"/>
        <item m="1" x="697"/>
        <item m="1" x="746"/>
        <item m="1" x="802"/>
        <item m="1" x="857"/>
        <item m="1" x="909"/>
        <item m="1" x="981"/>
        <item m="1" x="1018"/>
        <item m="1" x="166"/>
        <item m="1" x="144"/>
        <item m="1" x="180"/>
        <item m="1" x="232"/>
        <item m="1" x="456"/>
        <item m="1" x="497"/>
        <item m="1" x="549"/>
        <item m="1" x="594"/>
        <item m="1" x="624"/>
        <item m="1" x="646"/>
        <item m="1" x="664"/>
        <item m="1" x="677"/>
        <item m="1" x="695"/>
        <item m="1" x="743"/>
        <item m="1" x="798"/>
        <item m="1" x="853"/>
        <item m="1" x="980"/>
        <item m="1" x="165"/>
        <item m="1" x="452"/>
        <item m="1" x="489"/>
        <item m="1" x="534"/>
        <item m="1" x="584"/>
        <item m="1" x="617"/>
        <item m="1" x="640"/>
        <item m="1" x="659"/>
        <item m="1" x="674"/>
        <item m="1" x="691"/>
        <item m="1" x="734"/>
        <item m="1" x="453"/>
        <item m="1" x="492"/>
        <item m="1" x="541"/>
        <item m="1" x="588"/>
        <item m="1" x="618"/>
        <item m="1" x="641"/>
        <item m="1" x="660"/>
        <item m="1" x="675"/>
        <item m="1" x="692"/>
        <item m="1" x="735"/>
        <item m="1" x="454"/>
        <item m="1" x="493"/>
        <item m="1" x="543"/>
        <item m="1" x="589"/>
        <item m="1" x="619"/>
        <item m="1" x="642"/>
        <item m="1" x="661"/>
        <item m="1" x="676"/>
        <item m="1" x="693"/>
        <item m="1" x="736"/>
        <item m="1" x="716"/>
        <item m="1" x="771"/>
        <item m="1" x="826"/>
        <item m="1" x="882"/>
        <item m="1" x="927"/>
        <item m="1" x="991"/>
        <item m="1" x="1035"/>
        <item m="1" x="1086"/>
        <item m="1" x="76"/>
        <item m="1" x="104"/>
        <item m="1" x="126"/>
        <item m="1" x="142"/>
        <item m="1" x="156"/>
        <item m="1" x="192"/>
        <item m="1" x="969"/>
        <item m="1" x="177"/>
        <item m="1" x="712"/>
        <item m="1" x="768"/>
        <item m="1" x="822"/>
        <item m="1" x="878"/>
        <item m="1" x="686"/>
        <item m="1" x="990"/>
        <item m="1" x="203"/>
        <item m="1" x="258"/>
        <item m="1" x="314"/>
        <item m="1" x="370"/>
        <item m="1" x="474"/>
        <item m="1" x="521"/>
        <item m="1" x="573"/>
        <item m="1" x="609"/>
        <item m="1" x="963"/>
        <item m="1" x="158"/>
        <item m="1" x="194"/>
        <item m="1" x="972"/>
        <item m="1" x="1006"/>
        <item m="1" x="1051"/>
        <item m="1" x="1098"/>
        <item m="1" x="84"/>
        <item m="1" x="109"/>
        <item m="1" x="129"/>
        <item m="1" x="145"/>
        <item m="1" x="1081"/>
        <item m="1" x="539"/>
        <item m="1" x="1052"/>
        <item m="1" x="512"/>
        <item m="1" x="1029"/>
        <item m="1" x="487"/>
        <item m="1" x="1002"/>
        <item m="1" x="463"/>
        <item m="1" x="986"/>
        <item m="1" x="587"/>
        <item m="1" x="1099"/>
        <item m="1" x="561"/>
        <item m="1" x="1074"/>
        <item m="1" x="531"/>
        <item m="1" x="1043"/>
        <item m="1" x="503"/>
        <item m="1" x="1022"/>
        <item m="1" x="479"/>
        <item m="1" x="994"/>
        <item m="1" x="602"/>
        <item m="1" x="1121"/>
        <item m="1" x="582"/>
        <item m="1" x="1093"/>
        <item m="1" x="554"/>
        <item m="1" x="1070"/>
        <item m="1" x="526"/>
        <item m="1" x="1038"/>
        <item m="1" x="276"/>
        <item m="1" x="787"/>
        <item m="1" x="247"/>
        <item m="1" x="758"/>
        <item m="1" x="220"/>
        <item m="1" x="727"/>
        <item m="1" x="567"/>
        <item m="1" x="1079"/>
        <item m="1" x="536"/>
        <item m="1" x="1047"/>
        <item m="1" x="508"/>
        <item m="1" x="1025"/>
        <item m="1" x="483"/>
        <item m="1" x="997"/>
        <item m="1" x="459"/>
        <item m="1" x="1123"/>
        <item m="1" x="585"/>
        <item m="1" x="1095"/>
        <item m="1" x="557"/>
        <item m="1" x="1072"/>
        <item m="1" x="529"/>
        <item m="1" x="1040"/>
        <item m="1" x="501"/>
        <item m="1" x="1019"/>
        <item m="1" x="477"/>
        <item m="1" x="815"/>
        <item m="1" x="274"/>
        <item m="1" x="784"/>
        <item m="1" x="243"/>
        <item m="1" x="754"/>
        <item m="1" x="216"/>
        <item m="1" x="723"/>
        <item m="1" x="184"/>
        <item m="1" x="698"/>
        <item m="1" x="329"/>
        <item m="1" x="838"/>
        <item m="1" x="297"/>
        <item m="1" x="808"/>
        <item m="1" x="267"/>
        <item m="1" x="777"/>
        <item m="1" x="236"/>
        <item m="1" x="747"/>
        <item m="1" x="208"/>
        <item m="1" x="717"/>
        <item m="1" x="355"/>
        <item m="1" x="864"/>
        <item m="1" x="323"/>
        <item m="1" x="832"/>
        <item m="1" x="292"/>
        <item m="1" x="803"/>
        <item m="1" x="262"/>
        <item m="1" x="772"/>
        <item m="1" x="230"/>
        <item m="1" x="741"/>
        <item m="1" x="379"/>
        <item m="1" x="889"/>
        <item m="1" x="350"/>
        <item m="1" x="858"/>
        <item m="1" x="318"/>
        <item m="1" x="827"/>
        <item m="1" x="286"/>
        <item m="1" x="796"/>
        <item m="1" x="256"/>
        <item m="1" x="766"/>
        <item m="1" x="400"/>
        <item m="1" x="910"/>
        <item m="1" x="374"/>
        <item m="1" x="883"/>
        <item m="1" x="344"/>
        <item m="1" x="851"/>
        <item m="1" x="312"/>
        <item m="1" x="1101"/>
        <item m="1" x="563"/>
        <item m="1" x="1076"/>
        <item m="1" x="533"/>
        <item m="1" x="1045"/>
        <item m="1" x="505"/>
        <item m="1" x="178"/>
        <item m="1" x="201"/>
        <item m="1" x="225"/>
        <item m="1" x="251"/>
        <item m="1" x="277"/>
        <item m="1" x="304"/>
        <item m="1" x="332"/>
        <item m="1" x="358"/>
        <item m="1" x="381"/>
        <item m="1" x="207"/>
        <item m="1" x="229"/>
        <item m="1" x="255"/>
        <item m="1" x="28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714"/>
        <item m="1" x="739"/>
        <item m="1" x="764"/>
        <item m="1" x="791"/>
        <item m="1" x="443"/>
        <item m="1" x="470"/>
        <item m="1" x="518"/>
        <item m="1" x="569"/>
        <item m="1" x="605"/>
        <item m="1" x="632"/>
        <item m="1" x="652"/>
        <item m="1" x="669"/>
        <item m="1" x="682"/>
        <item m="1" x="709"/>
        <item m="1" x="444"/>
        <item m="1" x="471"/>
        <item m="1" x="519"/>
        <item m="1" x="570"/>
        <item m="1" x="606"/>
        <item m="1" x="633"/>
        <item m="1" x="653"/>
        <item m="1" x="670"/>
        <item m="1" x="683"/>
        <item m="1" x="710"/>
        <item m="1" x="159"/>
        <item m="1" x="195"/>
        <item m="1" x="973"/>
        <item m="1" x="1007"/>
        <item m="1" x="1056"/>
        <item m="1" x="1103"/>
        <item m="1" x="85"/>
        <item m="1" x="110"/>
        <item m="1" x="130"/>
        <item m="1" x="146"/>
        <item m="1" x="160"/>
        <item m="1" x="196"/>
        <item m="1" x="974"/>
        <item m="1" x="1008"/>
        <item m="1" x="1057"/>
        <item m="1" x="1104"/>
        <item m="1" x="86"/>
        <item m="1" x="111"/>
        <item m="1" x="131"/>
        <item m="1" x="147"/>
        <item m="1" x="161"/>
        <item m="1" x="197"/>
        <item m="1" x="975"/>
        <item m="1" x="1009"/>
        <item m="1" x="1058"/>
        <item m="1" x="1105"/>
        <item m="1" x="87"/>
        <item m="1" x="112"/>
        <item m="1" x="132"/>
        <item m="1" x="148"/>
        <item m="1" x="162"/>
        <item m="1" x="198"/>
        <item m="1" x="976"/>
        <item m="1" x="1010"/>
        <item m="1" x="1059"/>
        <item m="1" x="1106"/>
        <item m="1" x="88"/>
        <item m="1" x="113"/>
        <item m="1" x="133"/>
        <item m="1" x="149"/>
        <item m="1" x="163"/>
        <item m="1" x="199"/>
        <item m="1" x="977"/>
        <item m="1" x="1011"/>
        <item m="1" x="1060"/>
        <item m="1" x="1107"/>
        <item m="1" x="89"/>
        <item m="1" x="114"/>
        <item m="1" x="134"/>
        <item m="1" x="150"/>
        <item m="1" x="164"/>
        <item m="1" x="200"/>
        <item m="1" x="978"/>
        <item m="1" x="1012"/>
        <item m="1" x="1061"/>
        <item m="1" x="1108"/>
        <item m="1" x="90"/>
        <item m="1" x="115"/>
        <item m="1" x="135"/>
        <item m="1" x="167"/>
        <item m="1" x="206"/>
        <item m="1" x="979"/>
        <item m="1" x="1013"/>
        <item m="1" x="1062"/>
        <item m="1" x="1109"/>
        <item m="1" x="91"/>
        <item m="1" x="116"/>
        <item m="1" x="136"/>
        <item m="1" x="151"/>
        <item m="1" x="173"/>
        <item m="1" x="214"/>
        <item m="1" x="154"/>
        <item m="1" x="288"/>
        <item m="1" x="346"/>
        <item m="1" x="396"/>
        <item m="1" x="427"/>
        <item m="1" x="439"/>
        <item m="1" x="445"/>
        <item m="1" x="472"/>
        <item m="1" x="155"/>
        <item m="1" x="930"/>
        <item m="1" x="955"/>
        <item m="1" x="967"/>
        <item m="1" x="498"/>
        <item m="1" x="1016"/>
        <item m="1" x="616"/>
        <item m="1" x="82"/>
        <item m="1" x="599"/>
        <item m="1" x="1118"/>
        <item m="1" x="578"/>
        <item m="1" x="1089"/>
        <item m="1" x="550"/>
        <item m="1" x="1066"/>
        <item m="1" x="522"/>
        <item m="1" x="1033"/>
        <item m="1" x="628"/>
        <item m="1" x="99"/>
        <item m="1" x="613"/>
        <item m="1" x="78"/>
        <item m="1" x="595"/>
        <item m="1" x="1114"/>
        <item m="1" x="574"/>
        <item m="1" x="1084"/>
        <item m="1" x="545"/>
        <item m="1" x="1063"/>
        <item m="1" x="638"/>
        <item m="1" x="106"/>
        <item m="1" x="625"/>
        <item m="1" x="96"/>
        <item m="1" x="610"/>
        <item m="1" x="74"/>
        <item m="1" x="591"/>
        <item m="1" x="1111"/>
        <item m="1" x="571"/>
        <item m="1" x="1082"/>
        <item m="1" x="647"/>
        <item m="1" x="120"/>
        <item m="1" x="636"/>
        <item m="1" x="103"/>
        <item m="1" x="622"/>
        <item m="1" x="94"/>
        <item m="1" x="608"/>
        <item m="1" x="73"/>
        <item m="1" x="590"/>
        <item m="1" x="1110"/>
        <item m="1" x="656"/>
        <item m="1" x="125"/>
        <item m="1" x="645"/>
        <item m="1" x="118"/>
        <item m="1" x="635"/>
        <item m="1" x="102"/>
        <item m="1" x="621"/>
        <item m="1" x="93"/>
        <item m="1" x="607"/>
        <item m="1" x="72"/>
        <item m="1" x="663"/>
        <item m="1" x="138"/>
        <item m="1" x="655"/>
        <item m="1" x="124"/>
        <item m="1" x="644"/>
        <item m="1" x="117"/>
        <item m="1" x="634"/>
        <item m="1" x="101"/>
        <item m="1" x="188"/>
        <item m="1" x="702"/>
        <item m="1" x="171"/>
        <item m="1" x="839"/>
        <item m="1" x="299"/>
        <item m="1" x="810"/>
        <item m="1" x="269"/>
        <item m="1" x="779"/>
        <item m="1" x="238"/>
        <item m="1" x="749"/>
        <item m="1" x="210"/>
        <item m="1" x="719"/>
        <item m="1" x="181"/>
        <item m="1" x="865"/>
        <item m="1" x="325"/>
        <item m="1" x="834"/>
        <item m="1" x="294"/>
        <item m="1" x="805"/>
        <item m="1" x="264"/>
        <item m="1" x="774"/>
        <item m="1" x="233"/>
        <item m="1" x="744"/>
        <item m="1" x="204"/>
        <item m="1" x="890"/>
        <item m="1" x="352"/>
        <item m="1" x="861"/>
        <item m="1" x="320"/>
        <item m="1" x="829"/>
        <item m="1" x="289"/>
        <item m="1" x="799"/>
        <item m="1" x="259"/>
        <item m="1" x="769"/>
        <item m="1" x="227"/>
        <item m="1" x="911"/>
        <item m="1" x="376"/>
        <item m="1" x="886"/>
        <item m="1" x="347"/>
        <item m="1" x="854"/>
        <item m="1" x="315"/>
        <item m="1" x="823"/>
        <item m="1" x="283"/>
        <item m="1" x="794"/>
        <item m="1" x="253"/>
        <item m="1" x="928"/>
        <item m="1" x="397"/>
        <item m="1" x="906"/>
        <item m="1" x="371"/>
        <item m="1" x="879"/>
        <item m="1" x="341"/>
        <item m="1" x="848"/>
        <item m="1" x="309"/>
        <item m="1" x="819"/>
        <item m="1" x="279"/>
        <item m="1" x="942"/>
        <item m="1" x="413"/>
        <item m="1" x="924"/>
        <item m="1" x="392"/>
        <item m="1" x="901"/>
        <item m="1" x="366"/>
        <item m="1" x="874"/>
        <item m="1" x="337"/>
        <item m="1" x="845"/>
        <item m="1" x="306"/>
        <item m="1" x="952"/>
        <item m="1" x="424"/>
        <item m="1" x="939"/>
        <item m="1" x="409"/>
        <item m="1" x="920"/>
        <item m="1" x="388"/>
        <item m="1" x="897"/>
        <item m="1" x="362"/>
        <item m="1" x="871"/>
        <item m="1" x="334"/>
        <item m="1" x="960"/>
        <item m="1" x="432"/>
        <item m="1" x="949"/>
        <item m="1" x="420"/>
        <item m="1" x="935"/>
        <item m="1" x="405"/>
        <item m="1" x="917"/>
        <item m="1" x="385"/>
        <item m="1" x="894"/>
        <item m="1" x="359"/>
        <item m="1" x="965"/>
        <item m="1" x="436"/>
        <item m="1" x="958"/>
        <item m="1" x="429"/>
        <item m="1" x="946"/>
        <item m="1" x="417"/>
        <item m="1" x="932"/>
        <item m="1" x="402"/>
        <item m="1" x="914"/>
        <item m="1" x="382"/>
        <item m="1" x="868"/>
        <item m="1" x="330"/>
        <item m="1" x="840"/>
        <item m="1" x="300"/>
        <item m="1" x="811"/>
        <item m="1" x="270"/>
        <item m="1" x="780"/>
        <item m="1" x="239"/>
        <item m="1" x="750"/>
        <item m="1" x="211"/>
        <item m="1" x="892"/>
        <item m="1" x="356"/>
        <item m="1" x="866"/>
        <item m="1" x="326"/>
        <item m="1" x="835"/>
        <item m="1" x="295"/>
        <item m="1" x="806"/>
        <item m="1" x="265"/>
        <item m="1" x="775"/>
        <item m="1" x="234"/>
        <item m="1" x="913"/>
        <item m="1" x="380"/>
        <item m="1" x="891"/>
        <item m="1" x="353"/>
        <item m="1" x="862"/>
        <item m="1" x="321"/>
        <item m="1" x="830"/>
        <item m="1" x="290"/>
        <item m="1" x="800"/>
        <item m="1" x="260"/>
        <item m="1" x="931"/>
        <item m="1" x="401"/>
        <item m="1" x="912"/>
        <item m="1" x="377"/>
        <item m="1" x="887"/>
        <item m="1" x="348"/>
        <item m="1" x="855"/>
        <item m="1" x="316"/>
        <item m="1" x="824"/>
        <item m="1" x="284"/>
        <item m="1" x="944"/>
        <item m="1" x="416"/>
        <item m="1" x="929"/>
        <item m="1" x="398"/>
        <item m="1" x="907"/>
        <item m="1" x="372"/>
        <item m="1" x="880"/>
        <item m="1" x="342"/>
        <item m="1" x="849"/>
        <item m="1" x="310"/>
        <item m="1" x="954"/>
        <item m="1" x="428"/>
        <item m="1" x="943"/>
        <item m="1" x="414"/>
        <item m="1" x="925"/>
        <item m="1" x="393"/>
        <item m="1" x="902"/>
        <item m="1" x="367"/>
        <item m="1" x="875"/>
        <item m="1" x="338"/>
        <item m="1" x="962"/>
        <item m="1" x="435"/>
        <item m="1" x="953"/>
        <item m="1" x="425"/>
        <item m="1" x="940"/>
        <item m="1" x="410"/>
        <item m="1" x="921"/>
        <item m="1" x="389"/>
        <item m="1" x="898"/>
        <item m="1" x="363"/>
        <item m="1" x="966"/>
        <item m="1" x="438"/>
        <item m="1" x="961"/>
        <item m="1" x="433"/>
        <item m="1" x="950"/>
        <item m="1" x="421"/>
        <item m="1" x="936"/>
        <item m="1" x="406"/>
        <item m="1" x="246"/>
        <item m="1" x="757"/>
        <item m="1" x="219"/>
        <item m="1" x="726"/>
        <item m="1" x="187"/>
        <item m="1" x="701"/>
        <item m="1" x="170"/>
        <item m="1" x="685"/>
        <item m="1" x="1050"/>
        <item m="1" x="511"/>
        <item m="1" x="1028"/>
        <item m="1" x="486"/>
        <item m="1" x="1000"/>
        <item m="1" x="462"/>
        <item m="1" x="984"/>
        <item m="1" x="447"/>
        <item m="1" x="968"/>
        <item m="1" x="560"/>
        <item m="1" x="786"/>
        <item m="1" x="245"/>
        <item m="1" x="756"/>
        <item m="1" x="218"/>
        <item m="1" x="725"/>
        <item m="1" x="186"/>
        <item m="1" x="700"/>
        <item m="1" x="169"/>
        <item m="1" x="684"/>
        <item m="1" x="298"/>
        <item m="1" x="809"/>
        <item m="1" x="268"/>
        <item m="1" x="778"/>
        <item m="1" x="237"/>
        <item m="1" x="748"/>
        <item m="1" x="209"/>
        <item m="1" x="718"/>
        <item m="1" x="179"/>
        <item m="1" x="694"/>
        <item m="1" x="324"/>
        <item m="1" x="833"/>
        <item m="1" x="293"/>
        <item m="1" x="804"/>
        <item m="1" x="263"/>
        <item m="1" x="773"/>
        <item m="1" x="231"/>
        <item m="1" x="742"/>
        <item m="1" x="202"/>
        <item m="1" x="711"/>
        <item m="1" x="351"/>
        <item m="1" x="859"/>
        <item m="1" x="319"/>
        <item m="1" x="828"/>
        <item m="1" x="287"/>
        <item m="1" x="797"/>
        <item m="1" x="257"/>
        <item m="1" x="767"/>
        <item m="1" x="226"/>
        <item m="1" x="737"/>
        <item m="1" x="375"/>
        <item m="1" x="884"/>
        <item m="1" x="345"/>
        <item m="1" x="852"/>
        <item m="1" x="313"/>
        <item m="1" x="821"/>
        <item m="1" x="282"/>
        <item m="1" x="793"/>
        <item m="1" x="252"/>
        <item m="1" x="762"/>
        <item m="1" x="395"/>
        <item m="1" x="904"/>
        <item m="1" x="369"/>
        <item m="1" x="877"/>
        <item m="1" x="340"/>
        <item m="1" x="847"/>
        <item m="1" x="308"/>
        <item m="1" x="818"/>
        <item m="1" x="278"/>
        <item m="1" x="790"/>
        <item m="1" x="412"/>
        <item m="1" x="923"/>
        <item m="1" x="391"/>
        <item m="1" x="900"/>
        <item m="1" x="365"/>
        <item m="1" x="873"/>
        <item m="1" x="336"/>
        <item m="1" x="844"/>
        <item m="1" x="305"/>
        <item m="1" x="816"/>
        <item m="1" x="423"/>
        <item m="1" x="938"/>
        <item m="1" x="408"/>
        <item m="1" x="919"/>
        <item m="1" x="387"/>
        <item m="1" x="896"/>
        <item m="1" x="361"/>
        <item m="1" x="870"/>
        <item m="1" x="333"/>
        <item m="1" x="842"/>
        <item m="1" x="431"/>
        <item m="1" x="948"/>
        <item m="1" x="419"/>
        <item m="1" x="934"/>
        <item m="1" x="404"/>
        <item m="1" x="916"/>
        <item m="1" x="384"/>
        <item m="1" x="538"/>
        <item m="1" x="1049"/>
        <item m="1" x="510"/>
        <item m="1" x="1027"/>
        <item m="1" x="485"/>
        <item m="1" x="999"/>
        <item m="1" x="461"/>
        <item m="1" x="983"/>
        <item m="1" x="446"/>
        <item m="1" x="1097"/>
        <item m="1" x="559"/>
        <item m="1" x="1073"/>
        <item m="1" x="530"/>
        <item m="1" x="1041"/>
        <item m="1" x="502"/>
        <item m="1" x="1020"/>
        <item m="1" x="478"/>
        <item m="1" x="992"/>
        <item m="1" x="455"/>
        <item m="1" x="1120"/>
        <item m="1" x="581"/>
        <item m="1" x="1091"/>
        <item m="1" x="553"/>
        <item m="1" x="1068"/>
        <item m="1" x="525"/>
        <item m="1" x="1036"/>
        <item m="1" x="496"/>
        <item m="1" x="1014"/>
        <item m="1" x="473"/>
        <item m="1" x="80"/>
        <item m="1" x="598"/>
        <item m="1" x="1116"/>
        <item m="1" x="577"/>
        <item m="1" x="1087"/>
        <item m="1" x="548"/>
        <item m="1" x="275"/>
        <item m="1" x="785"/>
        <item m="1" x="244"/>
        <item m="1" x="755"/>
        <item m="1" x="217"/>
        <item m="1" x="724"/>
        <item m="1" x="185"/>
        <item m="1" x="699"/>
        <item m="1" x="1080"/>
        <item m="1" x="537"/>
        <item m="1" x="1048"/>
        <item m="1" x="509"/>
        <item m="1" x="1026"/>
        <item m="1" x="484"/>
        <item m="1" x="998"/>
        <item m="1" x="460"/>
        <item m="1" x="982"/>
        <item m="1" x="586"/>
        <item m="1" x="1096"/>
        <item m="1" x="540"/>
        <item m="1" x="1053"/>
        <item m="1" x="513"/>
        <item m="1" x="250"/>
        <item m="1" x="761"/>
        <item m="1" x="223"/>
        <item m="1" x="730"/>
        <item m="1" x="191"/>
        <item m="1" x="1055"/>
        <item m="1" x="516"/>
        <item m="1" x="1032"/>
        <item m="1" x="491"/>
        <item m="1" x="1005"/>
        <item m="1" x="467"/>
        <item m="1" x="989"/>
        <item m="1" x="451"/>
        <item m="1" x="970"/>
        <item m="1" x="566"/>
        <item m="1" x="1078"/>
        <item m="1" x="789"/>
        <item m="1" x="249"/>
        <item m="1" x="760"/>
        <item m="1" x="222"/>
        <item m="1" x="729"/>
        <item m="1" x="190"/>
        <item m="1" x="704"/>
        <item m="1" x="174"/>
        <item m="1" x="688"/>
        <item m="1" x="303"/>
        <item m="1" x="814"/>
        <item m="1" x="273"/>
        <item m="1" x="783"/>
        <item m="1" x="242"/>
        <item m="1" x="753"/>
        <item m="1" x="215"/>
        <item m="1" x="722"/>
        <item m="1" x="183"/>
        <item m="1" x="542"/>
        <item m="1" x="1054"/>
        <item m="1" x="515"/>
        <item m="1" x="1031"/>
        <item m="1" x="490"/>
        <item m="1" x="1004"/>
        <item m="1" x="466"/>
        <item m="1" x="988"/>
        <item m="1" x="450"/>
        <item m="1" x="1102"/>
        <item m="1" x="565"/>
        <item m="1" x="1077"/>
        <item m="1" x="535"/>
        <item m="1" x="1046"/>
        <item m="1" x="507"/>
        <item m="1" x="1024"/>
        <item m="1" x="482"/>
        <item m="1" x="996"/>
        <item m="1" x="731"/>
        <item m="1" x="558"/>
        <item m="1" x="168"/>
        <item x="33"/>
        <item x="34"/>
        <item x="35"/>
        <item x="36"/>
        <item m="1" x="945"/>
        <item m="1" x="957"/>
        <item m="1" x="964"/>
        <item m="1" x="860"/>
        <item m="1" x="885"/>
        <item m="1" x="905"/>
        <item m="1" x="620"/>
        <item m="1" x="92"/>
        <item m="1" x="671"/>
        <item m="1" x="141"/>
        <item m="1" x="662"/>
        <item m="1" x="137"/>
        <item m="1" x="654"/>
        <item m="1" x="123"/>
        <item m="1" x="643"/>
        <item m="1" x="1030"/>
        <item m="1" x="488"/>
        <item m="1" x="1003"/>
        <item m="1" x="464"/>
        <item m="1" x="987"/>
        <item m="1" x="448"/>
        <item m="1" x="1100"/>
        <item m="1" x="562"/>
        <item m="1" x="1075"/>
        <item m="1" x="532"/>
        <item m="1" x="1044"/>
        <item m="1" x="504"/>
        <item m="1" x="1023"/>
        <item m="1" x="480"/>
        <item m="1" x="995"/>
        <item m="1" x="457"/>
        <item m="1" x="1122"/>
        <item m="1" x="583"/>
        <item m="1" x="1094"/>
        <item m="1" x="555"/>
        <item m="1" x="1071"/>
        <item m="1" x="527"/>
        <item m="1" x="1039"/>
        <item m="1" x="499"/>
        <item m="1" x="1017"/>
        <item m="1" x="475"/>
        <item m="1" x="83"/>
        <item m="1" x="600"/>
        <item m="1" x="1119"/>
        <item m="1" x="579"/>
        <item m="1" x="1090"/>
        <item m="1" x="551"/>
        <item m="1" x="1067"/>
        <item m="1" x="523"/>
        <item m="1" x="1034"/>
        <item m="1" x="494"/>
        <item m="1" x="100"/>
        <item m="1" x="614"/>
        <item m="1" x="79"/>
        <item m="1" x="596"/>
        <item m="1" x="1115"/>
        <item m="1" x="575"/>
        <item m="1" x="1085"/>
        <item m="1" x="546"/>
        <item m="1" x="1064"/>
        <item m="1" x="520"/>
        <item m="1" x="107"/>
        <item m="1" x="626"/>
        <item m="1" x="97"/>
        <item m="1" x="611"/>
        <item m="1" x="75"/>
        <item m="1" x="592"/>
        <item m="1" x="1112"/>
        <item m="1" x="572"/>
        <item m="1" x="1083"/>
        <item m="1" x="544"/>
        <item m="1" x="121"/>
        <item m="1" x="788"/>
        <item m="1" x="248"/>
        <item m="1" x="759"/>
        <item m="1" x="221"/>
        <item m="1" x="728"/>
        <item m="1" x="189"/>
        <item m="1" x="703"/>
        <item m="1" x="172"/>
        <item m="1" x="687"/>
        <item m="1" x="301"/>
        <item m="1" x="812"/>
        <item m="1" x="271"/>
        <item m="1" x="781"/>
        <item m="1" x="240"/>
        <item m="1" x="751"/>
        <item m="1" x="212"/>
        <item m="1" x="720"/>
        <item m="1" x="182"/>
        <item m="1" x="696"/>
        <item m="1" x="327"/>
        <item m="1" x="836"/>
        <item m="1" x="296"/>
        <item m="1" x="807"/>
        <item m="1" x="266"/>
        <item m="1" x="776"/>
        <item m="1" x="235"/>
        <item m="1" x="745"/>
        <item m="1" x="205"/>
        <item m="1" x="715"/>
        <item m="1" x="354"/>
        <item m="1" x="863"/>
        <item m="1" x="322"/>
        <item m="1" x="831"/>
        <item m="1" x="291"/>
        <item m="1" x="801"/>
        <item m="1" x="261"/>
        <item m="1" x="770"/>
        <item m="1" x="228"/>
        <item m="1" x="740"/>
        <item m="1" x="378"/>
        <item m="1" x="888"/>
        <item m="1" x="349"/>
        <item m="1" x="856"/>
        <item m="1" x="317"/>
        <item m="1" x="825"/>
        <item m="1" x="285"/>
        <item m="1" x="795"/>
        <item m="1" x="254"/>
        <item m="1" x="765"/>
        <item m="1" x="399"/>
        <item m="1" x="908"/>
        <item m="1" x="373"/>
        <item m="1" x="881"/>
        <item m="1" x="343"/>
        <item m="1" x="850"/>
        <item m="1" x="311"/>
        <item m="1" x="820"/>
        <item m="1" x="280"/>
        <item m="1" x="792"/>
        <item m="1" x="415"/>
        <item m="1" x="926"/>
        <item m="1" x="394"/>
        <item m="1" x="903"/>
        <item m="1" x="368"/>
        <item m="1" x="876"/>
        <item m="1" x="339"/>
        <item m="1" x="846"/>
        <item m="1" x="307"/>
        <item m="1" x="817"/>
        <item m="1" x="426"/>
        <item m="1" x="941"/>
        <item m="1" x="411"/>
        <item m="1" x="922"/>
        <item m="1" x="390"/>
        <item m="1" x="899"/>
        <item m="1" x="364"/>
        <item m="1" x="872"/>
        <item m="1" x="335"/>
        <item m="1" x="843"/>
        <item m="1" x="434"/>
        <item m="1" x="951"/>
        <item m="1" x="422"/>
        <item m="1" x="937"/>
        <item m="1" x="407"/>
        <item m="1" x="918"/>
        <item m="1" x="386"/>
        <item m="1" x="895"/>
        <item m="1" x="360"/>
        <item m="1" x="869"/>
        <item m="1" x="437"/>
        <item m="1" x="959"/>
        <item m="1" x="430"/>
        <item m="1" x="947"/>
        <item m="1" x="418"/>
        <item m="1" x="933"/>
        <item m="1" x="403"/>
        <item m="1" x="915"/>
        <item m="1" x="383"/>
        <item m="1" x="893"/>
        <item m="1" x="331"/>
        <item m="1" x="841"/>
        <item m="1" x="302"/>
        <item m="1" x="813"/>
        <item m="1" x="272"/>
        <item m="1" x="782"/>
        <item m="1" x="241"/>
        <item m="1" x="752"/>
        <item m="1" x="213"/>
        <item m="1" x="721"/>
        <item m="1" x="357"/>
        <item m="1" x="867"/>
        <item m="1" x="328"/>
        <item m="1" x="837"/>
        <item x="71"/>
        <item m="1" x="713"/>
        <item m="1" x="738"/>
        <item m="1" x="763"/>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compact="0" outline="0" showAll="0" defaultSubtotal="0">
      <items count="1505">
        <item m="1" x="340"/>
        <item m="1" x="1070"/>
        <item m="1" x="1364"/>
        <item m="1" x="240"/>
        <item m="1" x="975"/>
        <item m="1" x="264"/>
        <item m="1" x="1309"/>
        <item m="1" x="827"/>
        <item m="1" x="408"/>
        <item m="1" x="590"/>
        <item m="1" x="1425"/>
        <item m="1" x="492"/>
        <item m="1" x="1203"/>
        <item m="1" x="600"/>
        <item x="11"/>
        <item m="1" x="345"/>
        <item m="1" x="983"/>
        <item m="1" x="358"/>
        <item m="1" x="258"/>
        <item m="1" x="1023"/>
        <item m="1" x="675"/>
        <item m="1" x="144"/>
        <item m="1" x="267"/>
        <item m="1" x="1213"/>
        <item m="1" x="569"/>
        <item m="1" x="1030"/>
        <item m="1" x="286"/>
        <item m="1" x="1006"/>
        <item m="1" x="529"/>
        <item m="1" x="452"/>
        <item m="1" x="278"/>
        <item m="1" x="1265"/>
        <item m="1" x="460"/>
        <item m="1" x="302"/>
        <item m="1" x="1106"/>
        <item m="1" x="762"/>
        <item m="1" x="1178"/>
        <item m="1" x="924"/>
        <item m="1" x="544"/>
        <item m="1" x="734"/>
        <item m="1" x="1091"/>
        <item m="1" x="691"/>
        <item m="1" x="905"/>
        <item m="1" x="204"/>
        <item m="1" x="1321"/>
        <item m="1" x="224"/>
        <item m="1" x="679"/>
        <item m="1" x="1192"/>
        <item m="1" x="619"/>
        <item m="1" x="200"/>
        <item m="1" x="499"/>
        <item m="1" x="490"/>
        <item m="1" x="1311"/>
        <item m="1" x="1249"/>
        <item m="1" x="623"/>
        <item m="1" x="1259"/>
        <item m="1" x="1410"/>
        <item m="1" x="385"/>
        <item m="1" x="1038"/>
        <item m="1" x="934"/>
        <item m="1" x="950"/>
        <item m="1" x="936"/>
        <item m="1" x="542"/>
        <item m="1" x="300"/>
        <item m="1" x="1341"/>
        <item m="1" x="608"/>
        <item m="1" x="995"/>
        <item m="1" x="686"/>
        <item m="1" x="1495"/>
        <item m="1" x="362"/>
        <item m="1" x="1401"/>
        <item m="1" x="752"/>
        <item m="1" x="853"/>
        <item m="1" x="858"/>
        <item m="1" x="366"/>
        <item m="1" x="397"/>
        <item m="1" x="646"/>
        <item x="30"/>
        <item m="1" x="844"/>
        <item m="1" x="1352"/>
        <item m="1" x="1015"/>
        <item m="1" x="994"/>
        <item m="1" x="489"/>
        <item m="1" x="871"/>
        <item m="1" x="248"/>
        <item m="1" x="976"/>
        <item m="1" x="578"/>
        <item m="1" x="328"/>
        <item m="1" x="681"/>
        <item m="1" x="167"/>
        <item m="1" x="712"/>
        <item m="1" x="605"/>
        <item m="1" x="1168"/>
        <item m="1" x="537"/>
        <item m="1" x="1363"/>
        <item m="1" x="1475"/>
        <item m="1" x="1329"/>
        <item m="1" x="1338"/>
        <item m="1" x="766"/>
        <item m="1" x="1429"/>
        <item x="32"/>
        <item m="1" x="357"/>
        <item m="1" x="1138"/>
        <item m="1" x="838"/>
        <item m="1" x="803"/>
        <item m="1" x="804"/>
        <item m="1" x="322"/>
        <item m="1" x="262"/>
        <item m="1" x="320"/>
        <item m="1" x="337"/>
        <item m="1" x="763"/>
        <item m="1" x="764"/>
        <item m="1" x="1483"/>
        <item m="1" x="1484"/>
        <item m="1" x="1128"/>
        <item m="1" x="722"/>
        <item m="1" x="1415"/>
        <item m="1" x="249"/>
        <item m="1" x="802"/>
        <item m="1" x="373"/>
        <item m="1" x="528"/>
        <item m="1" x="606"/>
        <item m="1" x="1485"/>
        <item m="1" x="128"/>
        <item m="1" x="1257"/>
        <item m="1" x="109"/>
        <item m="1" x="694"/>
        <item m="1" x="584"/>
        <item m="1" x="193"/>
        <item m="1" x="575"/>
        <item m="1" x="696"/>
        <item m="1" x="160"/>
        <item m="1" x="1411"/>
        <item m="1" x="787"/>
        <item m="1" x="601"/>
        <item m="1" x="1277"/>
        <item m="1" x="922"/>
        <item m="1" x="1072"/>
        <item m="1" x="1241"/>
        <item m="1" x="202"/>
        <item m="1" x="1337"/>
        <item m="1" x="501"/>
        <item m="1" x="620"/>
        <item m="1" x="870"/>
        <item m="1" x="1325"/>
        <item m="1" x="242"/>
        <item m="1" x="260"/>
        <item m="1" x="742"/>
        <item m="1" x="1198"/>
        <item m="1" x="779"/>
        <item m="1" x="1441"/>
        <item m="1" x="341"/>
        <item m="1" x="836"/>
        <item x="3"/>
        <item m="1" x="1446"/>
        <item m="1" x="988"/>
        <item m="1" x="342"/>
        <item m="1" x="781"/>
        <item m="1" x="206"/>
        <item m="1" x="911"/>
        <item m="1" x="588"/>
        <item m="1" x="383"/>
        <item m="1" x="115"/>
        <item m="1" x="1036"/>
        <item m="1" x="728"/>
        <item m="1" x="472"/>
        <item m="1" x="589"/>
        <item m="1" x="899"/>
        <item m="1" x="1133"/>
        <item m="1" x="1032"/>
        <item m="1" x="674"/>
        <item m="1" x="1420"/>
        <item m="1" x="702"/>
        <item m="1" x="951"/>
        <item m="1" x="172"/>
        <item m="1" x="703"/>
        <item m="1" x="234"/>
        <item m="1" x="944"/>
        <item x="47"/>
        <item m="1" x="973"/>
        <item m="1" x="774"/>
        <item m="1" x="788"/>
        <item m="1" x="1353"/>
        <item m="1" x="491"/>
        <item m="1" x="425"/>
        <item m="1" x="1157"/>
        <item m="1" x="402"/>
        <item m="1" x="1086"/>
        <item m="1" x="1089"/>
        <item m="1" x="576"/>
        <item m="1" x="372"/>
        <item m="1" x="1431"/>
        <item m="1" x="1219"/>
        <item m="1" x="1208"/>
        <item m="1" x="1145"/>
        <item m="1" x="1087"/>
        <item m="1" x="1390"/>
        <item m="1" x="1400"/>
        <item m="1" x="317"/>
        <item m="1" x="602"/>
        <item m="1" x="1301"/>
        <item m="1" x="1262"/>
        <item m="1" x="1153"/>
        <item m="1" x="952"/>
        <item m="1" x="610"/>
        <item m="1" x="371"/>
        <item x="10"/>
        <item m="1" x="146"/>
        <item m="1" x="359"/>
        <item m="1" x="627"/>
        <item m="1" x="457"/>
        <item m="1" x="194"/>
        <item m="1" x="346"/>
        <item m="1" x="776"/>
        <item m="1" x="885"/>
        <item m="1" x="210"/>
        <item m="1" x="479"/>
        <item m="1" x="1376"/>
        <item m="1" x="1488"/>
        <item m="1" x="1434"/>
        <item m="1" x="257"/>
        <item m="1" x="475"/>
        <item m="1" x="955"/>
        <item m="1" x="236"/>
        <item m="1" x="678"/>
        <item m="1" x="671"/>
        <item m="1" x="645"/>
        <item m="1" x="469"/>
        <item m="1" x="1051"/>
        <item m="1" x="462"/>
        <item m="1" x="1149"/>
        <item m="1" x="485"/>
        <item m="1" x="1147"/>
        <item m="1" x="847"/>
        <item m="1" x="213"/>
        <item m="1" x="1417"/>
        <item m="1" x="954"/>
        <item m="1" x="841"/>
        <item m="1" x="972"/>
        <item m="1" x="1263"/>
        <item m="1" x="1093"/>
        <item m="1" x="946"/>
        <item m="1" x="769"/>
        <item m="1" x="157"/>
        <item m="1" x="979"/>
        <item m="1" x="568"/>
        <item m="1" x="581"/>
        <item m="1" x="630"/>
        <item m="1" x="1264"/>
        <item m="1" x="981"/>
        <item m="1" x="310"/>
        <item m="1" x="968"/>
        <item m="1" x="137"/>
        <item m="1" x="1220"/>
        <item m="1" x="436"/>
        <item m="1" x="1256"/>
        <item m="1" x="1115"/>
        <item m="1" x="1419"/>
        <item m="1" x="729"/>
        <item m="1" x="1283"/>
        <item m="1" x="1108"/>
        <item m="1" x="1281"/>
        <item m="1" x="1166"/>
        <item m="1" x="969"/>
        <item m="1" x="450"/>
        <item m="1" x="652"/>
        <item m="1" x="1201"/>
        <item m="1" x="1005"/>
        <item m="1" x="296"/>
        <item m="1" x="352"/>
        <item m="1" x="111"/>
        <item m="1" x="806"/>
        <item m="1" x="1020"/>
        <item m="1" x="289"/>
        <item m="1" x="805"/>
        <item m="1" x="1362"/>
        <item m="1" x="178"/>
        <item m="1" x="888"/>
        <item m="1" x="325"/>
        <item m="1" x="470"/>
        <item m="1" x="869"/>
        <item m="1" x="309"/>
        <item m="1" x="587"/>
        <item m="1" x="760"/>
        <item m="1" x="736"/>
        <item m="1" x="116"/>
        <item m="1" x="848"/>
        <item m="1" x="252"/>
        <item m="1" x="388"/>
        <item m="1" x="131"/>
        <item m="1" x="962"/>
        <item m="1" x="1185"/>
        <item m="1" x="1412"/>
        <item m="1" x="866"/>
        <item m="1" x="1317"/>
        <item m="1" x="570"/>
        <item m="1" x="707"/>
        <item m="1" x="708"/>
        <item m="1" x="823"/>
        <item m="1" x="455"/>
        <item m="1" x="1372"/>
        <item m="1" x="272"/>
        <item m="1" x="1381"/>
        <item m="1" x="1114"/>
        <item m="1" x="961"/>
        <item m="1" x="1180"/>
        <item m="1" x="1179"/>
        <item m="1" x="1336"/>
        <item m="1" x="1335"/>
        <item m="1" x="121"/>
        <item m="1" x="120"/>
        <item m="1" x="395"/>
        <item m="1" x="777"/>
        <item m="1" x="1002"/>
        <item m="1" x="265"/>
        <item m="1" x="495"/>
        <item m="1" x="622"/>
        <item m="1" x="1099"/>
        <item m="1" x="1450"/>
        <item m="1" x="574"/>
        <item m="1" x="288"/>
        <item m="1" x="1135"/>
        <item m="1" x="723"/>
        <item m="1" x="1001"/>
        <item m="1" x="830"/>
        <item m="1" x="1027"/>
        <item m="1" x="837"/>
        <item m="1" x="339"/>
        <item m="1" x="609"/>
        <item m="1" x="1118"/>
        <item m="1" x="558"/>
        <item m="1" x="1227"/>
        <item m="1" x="368"/>
        <item m="1" x="628"/>
        <item m="1" x="119"/>
        <item m="1" x="284"/>
        <item m="1" x="405"/>
        <item m="1" x="473"/>
        <item m="1" x="118"/>
        <item m="1" x="283"/>
        <item m="1" x="1100"/>
        <item m="1" x="515"/>
        <item m="1" x="1190"/>
        <item m="1" x="526"/>
        <item m="1" x="824"/>
        <item m="1" x="1422"/>
        <item m="1" x="330"/>
        <item m="1" x="1069"/>
        <item m="1" x="1328"/>
        <item m="1" x="336"/>
        <item m="1" x="481"/>
        <item m="1" x="182"/>
        <item m="1" x="621"/>
        <item m="1" x="1119"/>
        <item m="1" x="1501"/>
        <item m="1" x="813"/>
        <item m="1" x="211"/>
        <item m="1" x="217"/>
        <item m="1" x="382"/>
        <item m="1" x="329"/>
        <item m="1" x="369"/>
        <item m="1" x="285"/>
        <item m="1" x="631"/>
        <item m="1" x="876"/>
        <item m="1" x="1222"/>
        <item m="1" x="503"/>
        <item m="1" x="401"/>
        <item m="1" x="271"/>
        <item m="1" x="1396"/>
        <item m="1" x="1170"/>
        <item m="1" x="201"/>
        <item m="1" x="727"/>
        <item m="1" x="546"/>
        <item m="1" x="710"/>
        <item m="1" x="711"/>
        <item m="1" x="1095"/>
        <item m="1" x="978"/>
        <item m="1" x="1167"/>
        <item m="1" x="767"/>
        <item m="1" x="1462"/>
        <item m="1" x="189"/>
        <item m="1" x="1189"/>
        <item m="1" x="316"/>
        <item m="1" x="229"/>
        <item m="1" x="953"/>
        <item m="1" x="270"/>
        <item m="1" x="129"/>
        <item m="1" x="1409"/>
        <item m="1" x="1142"/>
        <item m="1" x="1040"/>
        <item m="1" x="353"/>
        <item m="1" x="1034"/>
        <item m="1" x="706"/>
        <item m="1" x="314"/>
        <item m="1" x="654"/>
        <item m="1" x="500"/>
        <item m="1" x="498"/>
        <item m="1" x="640"/>
        <item m="1" x="519"/>
        <item m="1" x="1481"/>
        <item m="1" x="203"/>
        <item m="1" x="518"/>
        <item m="1" x="1377"/>
        <item m="1" x="255"/>
        <item m="1" x="453"/>
        <item m="1" x="1229"/>
        <item m="1" x="458"/>
        <item m="1" x="775"/>
        <item m="1" x="701"/>
        <item m="1" x="230"/>
        <item m="1" x="394"/>
        <item m="1" x="207"/>
        <item m="1" x="523"/>
        <item m="1" x="1028"/>
        <item m="1" x="1375"/>
        <item m="1" x="1391"/>
        <item m="1" x="980"/>
        <item m="1" x="232"/>
        <item m="1" x="507"/>
        <item m="1" x="104"/>
        <item m="1" x="333"/>
        <item m="1" x="171"/>
        <item m="1" x="292"/>
        <item m="1" x="1439"/>
        <item m="1" x="199"/>
        <item m="1" x="790"/>
        <item m="1" x="1346"/>
        <item m="1" x="1065"/>
        <item m="1" x="514"/>
        <item m="1" x="822"/>
        <item m="1" x="1244"/>
        <item m="1" x="1137"/>
        <item m="1" x="348"/>
        <item m="1" x="536"/>
        <item m="1" x="1156"/>
        <item m="1" x="755"/>
        <item m="1" x="798"/>
        <item m="1" x="845"/>
        <item m="1" x="1300"/>
        <item m="1" x="512"/>
        <item m="1" x="1399"/>
        <item m="1" x="356"/>
        <item m="1" x="280"/>
        <item m="1" x="313"/>
        <item m="1" x="463"/>
        <item m="1" x="1295"/>
        <item m="1" x="945"/>
        <item m="1" x="295"/>
        <item m="1" x="438"/>
        <item m="1" x="386"/>
        <item m="1" x="276"/>
        <item m="1" x="1048"/>
        <item m="1" x="277"/>
        <item m="1" x="1046"/>
        <item m="1" x="103"/>
        <item m="1" x="650"/>
        <item m="1" x="451"/>
        <item m="1" x="1011"/>
        <item m="1" x="251"/>
        <item m="1" x="161"/>
        <item m="1" x="1255"/>
        <item m="1" x="807"/>
        <item m="1" x="461"/>
        <item m="1" x="1405"/>
        <item m="1" x="403"/>
        <item m="1" x="919"/>
        <item m="1" x="571"/>
        <item m="1" x="1084"/>
        <item m="1" x="1082"/>
        <item m="1" x="1394"/>
        <item m="1" x="965"/>
        <item m="1" x="1215"/>
        <item m="1" x="446"/>
        <item m="1" x="233"/>
        <item m="1" x="753"/>
        <item m="1" x="987"/>
        <item m="1" x="1022"/>
        <item m="1" x="1164"/>
        <item m="1" x="541"/>
        <item m="1" x="1500"/>
        <item m="1" x="165"/>
        <item m="1" x="231"/>
        <item m="1" x="1144"/>
        <item m="1" x="412"/>
        <item m="1" x="817"/>
        <item m="1" x="586"/>
        <item m="1" x="1207"/>
        <item m="1" x="604"/>
        <item m="1" x="1502"/>
        <item m="1" x="1306"/>
        <item m="1" x="1085"/>
        <item m="1" x="1214"/>
        <item m="1" x="1242"/>
        <item m="1" x="1282"/>
        <item m="1" x="1303"/>
        <item m="1" x="293"/>
        <item m="1" x="294"/>
        <item m="1" x="1136"/>
        <item m="1" x="1103"/>
        <item m="1" x="854"/>
        <item m="1" x="530"/>
        <item m="1" x="471"/>
        <item m="1" x="493"/>
        <item m="1" x="105"/>
        <item m="1" x="531"/>
        <item m="1" x="406"/>
        <item m="1" x="1297"/>
        <item m="1" x="1188"/>
        <item m="1" x="563"/>
        <item m="1" x="441"/>
        <item m="1" x="1226"/>
        <item m="1" x="1331"/>
        <item m="1" x="347"/>
        <item m="1" x="572"/>
        <item m="1" x="1092"/>
        <item m="1" x="577"/>
        <item m="1" x="993"/>
        <item m="1" x="535"/>
        <item m="1" x="389"/>
        <item m="1" x="1113"/>
        <item m="1" x="559"/>
        <item m="1" x="1271"/>
        <item m="1" x="1270"/>
        <item m="1" x="410"/>
        <item m="1" x="908"/>
        <item m="1" x="662"/>
        <item m="1" x="1210"/>
        <item m="1" x="1356"/>
        <item m="1" x="134"/>
        <item m="1" x="275"/>
        <item m="1" x="984"/>
        <item m="1" x="521"/>
        <item m="1" x="520"/>
        <item m="1" x="1447"/>
        <item m="1" x="1448"/>
        <item m="1" x="1129"/>
        <item m="1" x="1342"/>
        <item m="1" x="868"/>
        <item m="1" x="967"/>
        <item m="1" x="174"/>
        <item m="1" x="184"/>
        <item m="1" x="474"/>
        <item m="1" x="1223"/>
        <item m="1" x="127"/>
        <item m="1" x="1224"/>
        <item m="1" x="758"/>
        <item m="1" x="1314"/>
        <item m="1" x="365"/>
        <item m="1" x="225"/>
        <item m="1" x="1397"/>
        <item m="1" x="1090"/>
        <item m="1" x="477"/>
        <item m="1" x="948"/>
        <item m="1" x="741"/>
        <item m="1" x="704"/>
        <item m="1" x="852"/>
        <item m="1" x="1308"/>
        <item m="1" x="1280"/>
        <item m="1" x="898"/>
        <item m="1" x="179"/>
        <item m="1" x="417"/>
        <item m="1" x="947"/>
        <item m="1" x="349"/>
        <item m="1" x="772"/>
        <item m="1" x="1236"/>
        <item m="1" x="253"/>
        <item m="1" x="192"/>
        <item m="1" x="1302"/>
        <item m="1" x="638"/>
        <item m="1" x="909"/>
        <item m="1" x="447"/>
        <item m="1" x="635"/>
        <item m="1" x="716"/>
        <item m="1" x="423"/>
        <item m="1" x="561"/>
        <item m="1" x="404"/>
        <item m="1" x="685"/>
        <item m="1" x="1047"/>
        <item m="1" x="1003"/>
        <item m="1" x="1493"/>
        <item m="1" x="689"/>
        <item m="1" x="261"/>
        <item m="1" x="756"/>
        <item m="1" x="1284"/>
        <item m="1" x="956"/>
        <item m="1" x="773"/>
        <item m="1" x="169"/>
        <item m="1" x="796"/>
        <item m="1" x="486"/>
        <item m="1" x="476"/>
        <item m="1" x="724"/>
        <item m="1" x="170"/>
        <item m="1" x="239"/>
        <item m="1" x="1389"/>
        <item m="1" x="1435"/>
        <item m="1" x="1035"/>
        <item m="1" x="1385"/>
        <item m="1" x="719"/>
        <item m="1" x="1140"/>
        <item m="1" x="117"/>
        <item m="1" x="1479"/>
        <item m="1" x="778"/>
        <item m="1" x="720"/>
        <item m="1" x="1120"/>
        <item m="1" x="903"/>
        <item m="1" x="344"/>
        <item m="1" x="637"/>
        <item m="1" x="1132"/>
        <item m="1" x="585"/>
        <item m="1" x="698"/>
        <item m="1" x="877"/>
        <item m="1" x="195"/>
        <item m="1" x="918"/>
        <item m="1" x="687"/>
        <item m="1" x="1260"/>
        <item m="1" x="1503"/>
        <item m="1" x="1031"/>
        <item m="1" x="828"/>
        <item m="1" x="1305"/>
        <item m="1" x="1202"/>
        <item m="1" x="173"/>
        <item m="1" x="737"/>
        <item m="1" x="656"/>
        <item m="1" x="533"/>
        <item m="1" x="989"/>
        <item m="1" x="839"/>
        <item m="1" x="1161"/>
        <item m="1" x="449"/>
        <item m="1" x="307"/>
        <item m="1" x="219"/>
        <item m="1" x="607"/>
        <item m="1" x="431"/>
        <item m="1" x="163"/>
        <item m="1" x="1045"/>
        <item m="1" x="456"/>
        <item m="1" x="851"/>
        <item m="1" x="649"/>
        <item m="1" x="483"/>
        <item m="1" x="982"/>
        <item m="1" x="1101"/>
        <item m="1" x="1018"/>
        <item m="1" x="1245"/>
        <item x="15"/>
        <item m="1" x="363"/>
        <item m="1" x="1239"/>
        <item m="1" x="846"/>
        <item m="1" x="1322"/>
        <item m="1" x="303"/>
        <item m="1" x="913"/>
        <item m="1" x="1110"/>
        <item m="1" x="1347"/>
        <item m="1" x="1251"/>
        <item m="1" x="381"/>
        <item m="1" x="991"/>
        <item m="1" x="1126"/>
        <item m="1" x="560"/>
        <item m="1" x="376"/>
        <item m="1" x="651"/>
        <item m="1" x="237"/>
        <item m="1" x="1152"/>
        <item m="1" x="926"/>
        <item m="1" x="222"/>
        <item m="1" x="1134"/>
        <item m="1" x="1163"/>
        <item m="1" x="135"/>
        <item m="1" x="335"/>
        <item m="1" x="709"/>
        <item m="1" x="188"/>
        <item m="1" x="439"/>
        <item m="1" x="1014"/>
        <item m="1" x="326"/>
        <item m="1" x="1258"/>
        <item m="1" x="818"/>
        <item m="1" x="676"/>
        <item m="1" x="971"/>
        <item m="1" x="668"/>
        <item m="1" x="690"/>
        <item m="1" x="664"/>
        <item m="1" x="901"/>
        <item m="1" x="565"/>
        <item m="1" x="287"/>
        <item m="1" x="1275"/>
        <item m="1" x="164"/>
        <item m="1" x="1171"/>
        <item m="1" x="393"/>
        <item m="1" x="865"/>
        <item m="1" x="1473"/>
        <item m="1" x="180"/>
        <item m="1" x="624"/>
        <item m="1" x="123"/>
        <item m="1" x="882"/>
        <item m="1" x="1111"/>
        <item m="1" x="1482"/>
        <item m="1" x="497"/>
        <item m="1" x="422"/>
        <item m="1" x="797"/>
        <item m="1" x="430"/>
        <item m="1" x="1102"/>
        <item m="1" x="1466"/>
        <item m="1" x="319"/>
        <item m="1" x="784"/>
        <item m="1" x="482"/>
        <item m="1" x="1139"/>
        <item m="1" x="250"/>
        <item m="1" x="639"/>
        <item m="1" x="1248"/>
        <item m="1" x="1486"/>
        <item m="1" x="168"/>
        <item m="1" x="831"/>
        <item m="1" x="594"/>
        <item m="1" x="970"/>
        <item m="1" x="1024"/>
        <item m="1" x="1162"/>
        <item m="1" x="930"/>
        <item m="1" x="133"/>
        <item m="1" x="516"/>
        <item m="1" x="384"/>
        <item m="1" x="768"/>
        <item m="1" x="361"/>
        <item m="1" x="1357"/>
        <item m="1" x="1037"/>
        <item m="1" x="1253"/>
        <item m="1" x="440"/>
        <item m="1" x="1494"/>
        <item m="1" x="912"/>
        <item m="1" x="435"/>
        <item m="1" x="1477"/>
        <item m="1" x="1476"/>
        <item m="1" x="185"/>
        <item m="1" x="312"/>
        <item m="1" x="355"/>
        <item m="1" x="1489"/>
        <item m="1" x="591"/>
        <item m="1" x="860"/>
        <item m="1" x="592"/>
        <item m="1" x="739"/>
        <item m="1" x="1359"/>
        <item m="1" x="332"/>
        <item m="1" x="959"/>
        <item m="1" x="175"/>
        <item m="1" x="1272"/>
        <item m="1" x="943"/>
        <item m="1" x="740"/>
        <item m="1" x="459"/>
        <item m="1" x="923"/>
        <item m="1" x="502"/>
        <item m="1" x="198"/>
        <item m="1" x="1141"/>
        <item m="1" x="887"/>
        <item m="1" x="1383"/>
        <item m="1" x="1250"/>
        <item m="1" x="517"/>
        <item m="1" x="415"/>
        <item m="1" x="196"/>
        <item m="1" x="974"/>
        <item m="1" x="122"/>
        <item m="1" x="1299"/>
        <item m="1" x="496"/>
        <item m="1" x="433"/>
        <item m="1" x="872"/>
        <item m="1" x="238"/>
        <item m="1" x="1408"/>
        <item m="1" x="205"/>
        <item m="1" x="857"/>
        <item m="1" x="789"/>
        <item m="1" x="1148"/>
        <item m="1" x="580"/>
        <item m="1" x="1197"/>
        <item m="1" x="113"/>
        <item m="1" x="1423"/>
        <item m="1" x="717"/>
        <item m="1" x="176"/>
        <item m="1" x="142"/>
        <item m="1" x="1487"/>
        <item m="1" x="1169"/>
        <item m="1" x="1266"/>
        <item m="1" x="427"/>
        <item m="1" x="538"/>
        <item m="1" x="1320"/>
        <item m="1" x="291"/>
        <item m="1" x="667"/>
        <item m="1" x="282"/>
        <item m="1" x="765"/>
        <item m="1" x="878"/>
        <item m="1" x="1288"/>
        <item m="1" x="1298"/>
        <item m="1" x="1313"/>
        <item m="1" x="904"/>
        <item m="1" x="886"/>
        <item m="1" x="360"/>
        <item m="1" x="527"/>
        <item m="1" x="1155"/>
        <item m="1" x="110"/>
        <item m="1" x="1285"/>
        <item m="1" x="648"/>
        <item m="1" x="241"/>
        <item m="1" x="791"/>
        <item m="1" x="759"/>
        <item m="1" x="1218"/>
        <item m="1" x="399"/>
        <item m="1" x="929"/>
        <item m="1" x="1294"/>
        <item m="1" x="733"/>
        <item m="1" x="549"/>
        <item m="1" x="454"/>
        <item m="1" x="855"/>
        <item m="1" x="1360"/>
        <item m="1" x="567"/>
        <item m="1" x="304"/>
        <item m="1" x="731"/>
        <item m="1" x="725"/>
        <item m="1" x="1430"/>
        <item m="1" x="1414"/>
        <item m="1" x="1465"/>
        <item m="1" x="1480"/>
        <item m="1" x="364"/>
        <item m="1" x="387"/>
        <item m="1" x="751"/>
        <item m="1" x="540"/>
        <item m="1" x="1361"/>
        <item m="1" x="298"/>
        <item m="1" x="467"/>
        <item m="1" x="1088"/>
        <item m="1" x="566"/>
        <item m="1" x="738"/>
        <item m="1" x="815"/>
        <item m="1" x="599"/>
        <item m="1" x="880"/>
        <item m="1" x="879"/>
        <item m="1" x="323"/>
        <item m="1" x="1316"/>
        <item m="1" x="138"/>
        <item m="1" x="226"/>
        <item m="1" x="927"/>
        <item m="1" x="801"/>
        <item m="1" x="782"/>
        <item m="1" x="245"/>
        <item m="1" x="1200"/>
        <item m="1" x="1469"/>
        <item m="1" x="243"/>
        <item m="1" x="1041"/>
        <item m="1" x="1471"/>
        <item m="1" x="859"/>
        <item m="1" x="1073"/>
        <item m="1" x="1472"/>
        <item m="1" x="1387"/>
        <item m="1" x="963"/>
        <item m="1" x="1217"/>
        <item m="1" x="468"/>
        <item m="1" x="1378"/>
        <item m="1" x="1009"/>
        <item m="1" x="1112"/>
        <item m="1" x="1228"/>
        <item m="1" x="1384"/>
        <item m="1" x="414"/>
        <item m="1" x="256"/>
        <item m="1" x="1221"/>
        <item m="1" x="1438"/>
        <item m="1" x="1187"/>
        <item m="1" x="1199"/>
        <item x="55"/>
        <item m="1" x="1382"/>
        <item m="1" x="214"/>
        <item m="1" x="949"/>
        <item m="1" x="1491"/>
        <item m="1" x="1158"/>
        <item m="1" x="416"/>
        <item m="1" x="820"/>
        <item m="1" x="484"/>
        <item m="1" x="921"/>
        <item m="1" x="159"/>
        <item m="1" x="351"/>
        <item m="1" x="442"/>
        <item m="1" x="443"/>
        <item m="1" x="444"/>
        <item m="1" x="274"/>
        <item m="1" x="273"/>
        <item m="1" x="379"/>
        <item m="1" x="643"/>
        <item m="1" x="1044"/>
        <item m="1" x="315"/>
        <item m="1" x="1492"/>
        <item m="1" x="254"/>
        <item m="1" x="508"/>
        <item m="1" x="190"/>
        <item m="1" x="140"/>
        <item m="1" x="1279"/>
        <item m="1" x="1104"/>
        <item m="1" x="532"/>
        <item m="1" x="246"/>
        <item m="1" x="1296"/>
        <item m="1" x="420"/>
        <item m="1" x="1343"/>
        <item m="1" x="155"/>
        <item m="1" x="413"/>
        <item m="1" x="1026"/>
        <item m="1" x="786"/>
        <item m="1" x="1323"/>
        <item m="1" x="1000"/>
        <item m="1" x="761"/>
        <item m="1" x="1379"/>
        <item m="1" x="705"/>
        <item m="1" x="1274"/>
        <item m="1" x="1427"/>
        <item m="1" x="197"/>
        <item m="1" x="1461"/>
        <item m="1" x="653"/>
        <item m="1" x="856"/>
        <item m="1" x="398"/>
        <item m="1" x="1267"/>
        <item m="1" x="126"/>
        <item m="1" x="1373"/>
        <item m="1" x="695"/>
        <item m="1" x="1172"/>
        <item m="1" x="1173"/>
        <item m="1" x="1174"/>
        <item m="1" x="1175"/>
        <item m="1" x="1176"/>
        <item m="1" x="1177"/>
        <item m="1" x="1463"/>
        <item m="1" x="1464"/>
        <item m="1" x="1230"/>
        <item m="1" x="1231"/>
        <item m="1" x="1232"/>
        <item m="1" x="1233"/>
        <item m="1" x="1234"/>
        <item m="1" x="1235"/>
        <item m="1" x="670"/>
        <item m="1" x="562"/>
        <item m="1" x="1122"/>
        <item m="1" x="799"/>
        <item m="1" x="1497"/>
        <item m="1" x="1498"/>
        <item m="1" x="1496"/>
        <item m="1" x="1499"/>
        <item m="1" x="1097"/>
        <item m="1" x="1098"/>
        <item m="1" x="1395"/>
        <item m="1" x="488"/>
        <item m="1" x="726"/>
        <item m="1" x="1348"/>
        <item m="1" x="832"/>
        <item m="1" x="1123"/>
        <item m="1" x="829"/>
        <item m="1" x="411"/>
        <item m="1" x="693"/>
        <item m="1" x="1269"/>
        <item m="1" x="1182"/>
        <item m="1" x="108"/>
        <item m="1" x="1358"/>
        <item m="1" x="297"/>
        <item m="1" x="977"/>
        <item m="1" x="1053"/>
        <item m="1" x="1054"/>
        <item m="1" x="1055"/>
        <item m="1" x="1056"/>
        <item m="1" x="1057"/>
        <item m="1" x="1058"/>
        <item m="1" x="1059"/>
        <item m="1" x="1060"/>
        <item m="1" x="1061"/>
        <item m="1" x="1062"/>
        <item m="1" x="1063"/>
        <item m="1" x="1064"/>
        <item m="1" x="147"/>
        <item m="1" x="148"/>
        <item m="1" x="149"/>
        <item m="1" x="150"/>
        <item m="1" x="151"/>
        <item m="1" x="152"/>
        <item m="1" x="153"/>
        <item m="1" x="154"/>
        <item m="1" x="611"/>
        <item m="1" x="612"/>
        <item m="1" x="613"/>
        <item m="1" x="614"/>
        <item m="1" x="615"/>
        <item m="1" x="616"/>
        <item m="1" x="617"/>
        <item m="1" x="618"/>
        <item m="1" x="890"/>
        <item m="1" x="891"/>
        <item m="1" x="892"/>
        <item m="1" x="893"/>
        <item m="1" x="894"/>
        <item m="1" x="895"/>
        <item m="1" x="896"/>
        <item m="1" x="897"/>
        <item m="1" x="1350"/>
        <item m="1" x="1351"/>
        <item m="1" x="937"/>
        <item m="1" x="938"/>
        <item m="1" x="939"/>
        <item m="1" x="940"/>
        <item m="1" x="941"/>
        <item m="1" x="942"/>
        <item m="1" x="1365"/>
        <item m="1" x="1366"/>
        <item m="1" x="1367"/>
        <item m="1" x="1368"/>
        <item m="1" x="1369"/>
        <item m="1" x="1370"/>
        <item m="1" x="743"/>
        <item m="1" x="744"/>
        <item m="1" x="745"/>
        <item m="1" x="746"/>
        <item m="1" x="747"/>
        <item m="1" x="748"/>
        <item m="1" x="749"/>
        <item m="1" x="750"/>
        <item m="1" x="1453"/>
        <item m="1" x="1454"/>
        <item m="1" x="1455"/>
        <item m="1" x="1456"/>
        <item m="1" x="1457"/>
        <item m="1" x="1458"/>
        <item m="1" x="1459"/>
        <item m="1" x="1460"/>
        <item m="1" x="550"/>
        <item m="1" x="551"/>
        <item m="1" x="552"/>
        <item m="1" x="553"/>
        <item m="1" x="554"/>
        <item m="1" x="555"/>
        <item m="1" x="556"/>
        <item m="1" x="557"/>
        <item m="1" x="1074"/>
        <item m="1" x="1075"/>
        <item m="1" x="1076"/>
        <item m="1" x="1077"/>
        <item m="1" x="1033"/>
        <item m="1" x="809"/>
        <item m="1" x="632"/>
        <item m="1" x="633"/>
        <item m="1" x="634"/>
        <item m="1" x="636"/>
        <item m="1" x="935"/>
        <item m="1" x="834"/>
        <item m="1" x="324"/>
        <item m="1" x="426"/>
        <item m="1" x="1042"/>
        <item m="1" x="136"/>
        <item m="1" x="850"/>
        <item m="1" x="396"/>
        <item m="1" x="780"/>
        <item m="1" x="957"/>
        <item m="1" x="1312"/>
        <item m="1" x="505"/>
        <item m="1" x="1181"/>
        <item m="1" x="1444"/>
        <item m="1" x="1191"/>
        <item m="1" x="1416"/>
        <item m="1" x="867"/>
        <item m="1" x="227"/>
        <item m="1" x="1080"/>
        <item m="1" x="1081"/>
        <item m="1" x="478"/>
        <item m="1" x="795"/>
        <item m="1" x="221"/>
        <item m="1" x="1068"/>
        <item m="1" x="792"/>
        <item m="1" x="595"/>
        <item m="1" x="1184"/>
        <item m="1" x="660"/>
        <item m="1" x="697"/>
        <item m="1" x="511"/>
        <item m="1" x="1240"/>
        <item m="1" x="1205"/>
        <item m="1" x="1392"/>
        <item m="1" x="106"/>
        <item m="1" x="1013"/>
        <item m="1" x="1326"/>
        <item m="1" x="785"/>
        <item m="1" x="819"/>
        <item m="1" x="990"/>
        <item m="1" x="1107"/>
        <item m="1" x="1237"/>
        <item m="1" x="1165"/>
        <item m="1" x="1478"/>
        <item m="1" x="881"/>
        <item m="1" x="642"/>
        <item m="1" x="812"/>
        <item m="1" x="1276"/>
        <item m="1" x="513"/>
        <item m="1" x="424"/>
        <item m="1" x="1504"/>
        <item m="1" x="1109"/>
        <item m="1" x="419"/>
        <item m="1" x="669"/>
        <item m="1" x="665"/>
        <item m="1" x="1468"/>
        <item m="1" x="666"/>
        <item m="1" x="721"/>
        <item m="1" x="800"/>
        <item m="1" x="209"/>
        <item m="1" x="1403"/>
        <item m="1" x="1421"/>
        <item m="1" x="543"/>
        <item m="1" x="1304"/>
        <item m="1" x="997"/>
        <item m="1" x="998"/>
        <item m="1" x="999"/>
        <item m="1" x="378"/>
        <item m="1" x="1426"/>
        <item m="1" x="139"/>
        <item m="1" x="162"/>
        <item m="1" x="1490"/>
        <item m="1" x="864"/>
        <item m="1" x="1125"/>
        <item m="1" x="421"/>
        <item m="1" x="1344"/>
        <item m="1" x="1286"/>
        <item m="1" x="582"/>
        <item m="1" x="1124"/>
        <item m="1" x="466"/>
        <item m="1" x="659"/>
        <item m="1" x="114"/>
        <item m="1" x="771"/>
        <item m="1" x="1467"/>
        <item m="1" x="186"/>
        <item m="1" x="269"/>
        <item m="1" x="1293"/>
        <item m="1" x="1428"/>
        <item m="1" x="714"/>
        <item m="1" x="407"/>
        <item m="1" x="268"/>
        <item m="1" x="428"/>
        <item m="1" x="464"/>
        <item m="1" x="1043"/>
        <item m="1" x="143"/>
        <item m="1" x="343"/>
        <item m="1" x="1243"/>
        <item m="1" x="1007"/>
        <item m="1" x="629"/>
        <item m="1" x="958"/>
        <item m="1" x="1254"/>
        <item m="1" x="1333"/>
        <item m="1" x="1290"/>
        <item m="1" x="1355"/>
        <item m="1" x="1327"/>
        <item m="1" x="840"/>
        <item m="1" x="112"/>
        <item m="1" x="1160"/>
        <item m="1" x="434"/>
        <item m="1" x="183"/>
        <item m="1" x="985"/>
        <item m="1" x="525"/>
        <item x="1"/>
        <item x="2"/>
        <item x="4"/>
        <item x="5"/>
        <item x="6"/>
        <item x="7"/>
        <item x="8"/>
        <item x="9"/>
        <item m="1" x="843"/>
        <item m="1" x="794"/>
        <item m="1" x="907"/>
        <item m="1" x="644"/>
        <item x="12"/>
        <item x="13"/>
        <item x="14"/>
        <item m="1" x="757"/>
        <item x="17"/>
        <item x="18"/>
        <item x="19"/>
        <item x="20"/>
        <item x="23"/>
        <item x="24"/>
        <item x="25"/>
        <item x="26"/>
        <item m="1" x="1324"/>
        <item m="1" x="933"/>
        <item m="1" x="1289"/>
        <item x="28"/>
        <item x="29"/>
        <item x="31"/>
        <item x="33"/>
        <item m="1" x="311"/>
        <item x="35"/>
        <item x="36"/>
        <item x="37"/>
        <item x="38"/>
        <item x="39"/>
        <item x="40"/>
        <item x="45"/>
        <item m="1" x="166"/>
        <item m="1" x="655"/>
        <item m="1" x="487"/>
        <item m="1" x="220"/>
        <item x="48"/>
        <item x="49"/>
        <item m="1" x="299"/>
        <item x="51"/>
        <item m="1" x="583"/>
        <item m="1" x="1078"/>
        <item m="1" x="688"/>
        <item m="1" x="480"/>
        <item m="1" x="1021"/>
        <item x="54"/>
        <item m="1" x="906"/>
        <item m="1" x="132"/>
        <item m="1" x="1216"/>
        <item m="1" x="1083"/>
        <item m="1" x="279"/>
        <item m="1" x="1016"/>
        <item m="1" x="301"/>
        <item m="1" x="1386"/>
        <item m="1" x="1121"/>
        <item m="1" x="1159"/>
        <item m="1" x="826"/>
        <item m="1" x="1339"/>
        <item m="1" x="677"/>
        <item m="1" x="1012"/>
        <item m="1" x="1452"/>
        <item m="1" x="718"/>
        <item m="1" x="700"/>
        <item m="1" x="208"/>
        <item m="1" x="1374"/>
        <item m="1" x="1117"/>
        <item m="1" x="914"/>
        <item m="1" x="579"/>
        <item m="1" x="181"/>
        <item m="1" x="825"/>
        <item m="1" x="1146"/>
        <item m="1" x="1211"/>
        <item m="1" x="334"/>
        <item m="1" x="920"/>
        <item m="1" x="597"/>
        <item m="1" x="400"/>
        <item m="1" x="547"/>
        <item m="1" x="925"/>
        <item m="1" x="1010"/>
        <item m="1" x="1238"/>
        <item m="1" x="931"/>
        <item m="1" x="1449"/>
        <item m="1" x="1206"/>
        <item m="1" x="350"/>
        <item m="1" x="259"/>
        <item m="1" x="808"/>
        <item m="1" x="964"/>
        <item m="1" x="494"/>
        <item x="62"/>
        <item x="59"/>
        <item x="63"/>
        <item m="1" x="770"/>
        <item m="1" x="917"/>
        <item m="1" x="1406"/>
        <item x="67"/>
        <item m="1" x="374"/>
        <item m="1" x="996"/>
        <item m="1" x="504"/>
        <item m="1" x="884"/>
        <item m="1" x="966"/>
        <item m="1" x="290"/>
        <item m="1" x="1436"/>
        <item m="1" x="1437"/>
        <item m="1" x="266"/>
        <item m="1" x="409"/>
        <item x="78"/>
        <item m="1" x="1071"/>
        <item m="1" x="663"/>
        <item m="1" x="683"/>
        <item m="1" x="658"/>
        <item m="1" x="889"/>
        <item m="1" x="1252"/>
        <item x="86"/>
        <item m="1" x="986"/>
        <item x="88"/>
        <item m="1" x="1150"/>
        <item m="1" x="1151"/>
        <item x="95"/>
        <item m="1" x="641"/>
        <item m="1" x="1371"/>
        <item x="98"/>
        <item m="1" x="1079"/>
        <item m="1" x="1067"/>
        <item m="1" x="811"/>
        <item m="1" x="680"/>
        <item m="1" x="598"/>
        <item m="1" x="1345"/>
        <item m="1" x="863"/>
        <item m="1" x="318"/>
        <item m="1" x="1349"/>
        <item m="1" x="916"/>
        <item m="1" x="1440"/>
        <item m="1" x="338"/>
        <item m="1" x="1310"/>
        <item m="1" x="932"/>
        <item m="1" x="218"/>
        <item m="1" x="187"/>
        <item m="1" x="1008"/>
        <item m="1" x="593"/>
        <item m="1" x="1287"/>
        <item m="1" x="1247"/>
        <item m="1" x="1186"/>
        <item x="90"/>
        <item x="96"/>
        <item x="99"/>
        <item m="1" x="1196"/>
        <item m="1" x="392"/>
        <item m="1" x="380"/>
        <item m="1" x="1451"/>
        <item m="1" x="1131"/>
        <item m="1" x="672"/>
        <item m="1" x="509"/>
        <item m="1" x="960"/>
        <item m="1" x="1330"/>
        <item m="1" x="177"/>
        <item m="1" x="692"/>
        <item m="1" x="814"/>
        <item m="1" x="228"/>
        <item m="1" x="107"/>
        <item m="1" x="1432"/>
        <item m="1" x="1433"/>
        <item m="1" x="783"/>
        <item m="1" x="1315"/>
        <item m="1" x="141"/>
        <item m="1" x="158"/>
        <item m="1" x="370"/>
        <item m="1" x="1212"/>
        <item m="1" x="1183"/>
        <item m="1" x="735"/>
        <item m="1" x="390"/>
        <item m="1" x="391"/>
        <item m="1" x="1025"/>
        <item m="1" x="793"/>
        <item m="1" x="125"/>
        <item m="1" x="862"/>
        <item m="1" x="1209"/>
        <item m="1" x="1292"/>
        <item m="1" x="873"/>
        <item m="1" x="732"/>
        <item m="1" x="321"/>
        <item m="1" x="810"/>
        <item m="1" x="874"/>
        <item m="1" x="861"/>
        <item m="1" x="1019"/>
        <item m="1" x="875"/>
        <item m="1" x="715"/>
        <item m="1" x="1402"/>
        <item m="1" x="1445"/>
        <item m="1" x="305"/>
        <item m="1" x="306"/>
        <item m="1" x="308"/>
        <item m="1" x="1398"/>
        <item m="1" x="524"/>
        <item m="1" x="928"/>
        <item m="1" x="1404"/>
        <item m="1" x="1143"/>
        <item m="1" x="545"/>
        <item m="1" x="1004"/>
        <item m="1" x="244"/>
        <item x="87"/>
        <item m="1" x="432"/>
        <item m="1" x="1380"/>
        <item m="1" x="573"/>
        <item m="1" x="625"/>
        <item m="1" x="331"/>
        <item m="1" x="212"/>
        <item m="1" x="429"/>
        <item m="1" x="883"/>
        <item m="1" x="534"/>
        <item m="1" x="1340"/>
        <item m="1" x="418"/>
        <item m="1" x="1039"/>
        <item m="1" x="699"/>
        <item m="1" x="327"/>
        <item x="58"/>
        <item m="1" x="375"/>
        <item m="1" x="1246"/>
        <item m="1" x="1195"/>
        <item m="1" x="1334"/>
        <item m="1" x="626"/>
        <item m="1" x="1066"/>
        <item m="1" x="564"/>
        <item m="1" x="1225"/>
        <item m="1" x="1413"/>
        <item x="68"/>
        <item m="1" x="1105"/>
        <item m="1" x="910"/>
        <item m="1" x="1278"/>
        <item m="1" x="661"/>
        <item m="1" x="130"/>
        <item m="1" x="156"/>
        <item m="1" x="215"/>
        <item m="1" x="1388"/>
        <item m="1" x="465"/>
        <item m="1" x="1418"/>
        <item m="1" x="1261"/>
        <item m="1" x="281"/>
        <item m="1" x="1194"/>
        <item m="1" x="603"/>
        <item m="1" x="1470"/>
        <item m="1" x="713"/>
        <item m="1" x="842"/>
        <item m="1" x="367"/>
        <item m="1" x="1127"/>
        <item m="1" x="263"/>
        <item m="1" x="1096"/>
        <item m="1" x="835"/>
        <item m="1" x="1204"/>
        <item m="1" x="145"/>
        <item m="1" x="730"/>
        <item m="1" x="596"/>
        <item m="1" x="1268"/>
        <item m="1" x="216"/>
        <item m="1" x="684"/>
        <item m="1" x="354"/>
        <item m="1" x="437"/>
        <item x="85"/>
        <item m="1" x="1130"/>
        <item m="1" x="1094"/>
        <item m="1" x="548"/>
        <item m="1" x="1273"/>
        <item m="1" x="1474"/>
        <item m="1" x="539"/>
        <item m="1" x="647"/>
        <item m="1" x="506"/>
        <item m="1" x="992"/>
        <item m="1" x="235"/>
        <item m="1" x="1319"/>
        <item m="1" x="821"/>
        <item m="1" x="833"/>
        <item m="1" x="1116"/>
        <item m="1" x="1307"/>
        <item m="1" x="1332"/>
        <item m="1" x="1193"/>
        <item m="1" x="522"/>
        <item m="1" x="1407"/>
        <item m="1" x="1017"/>
        <item m="1" x="1354"/>
        <item m="1" x="1318"/>
        <item m="1" x="754"/>
        <item m="1" x="1052"/>
        <item m="1" x="1424"/>
        <item m="1" x="223"/>
        <item m="1" x="124"/>
        <item m="1" x="849"/>
        <item m="1" x="816"/>
        <item m="1" x="510"/>
        <item m="1" x="1291"/>
        <item m="1" x="247"/>
        <item m="1" x="377"/>
        <item m="1" x="682"/>
        <item m="1" x="1029"/>
        <item m="1" x="1154"/>
        <item m="1" x="915"/>
        <item m="1" x="191"/>
        <item m="1" x="657"/>
        <item x="100"/>
        <item m="1" x="1393"/>
        <item m="1" x="902"/>
        <item m="1" x="900"/>
        <item m="1" x="673"/>
        <item m="1" x="448"/>
        <item x="0"/>
        <item x="16"/>
        <item m="1" x="1050"/>
        <item x="46"/>
        <item m="1" x="445"/>
        <item x="52"/>
        <item x="53"/>
        <item x="56"/>
        <item x="57"/>
        <item x="60"/>
        <item x="61"/>
        <item x="64"/>
        <item x="65"/>
        <item x="66"/>
        <item x="69"/>
        <item x="70"/>
        <item x="71"/>
        <item x="72"/>
        <item x="73"/>
        <item x="74"/>
        <item x="75"/>
        <item x="76"/>
        <item x="77"/>
        <item x="79"/>
        <item x="80"/>
        <item x="81"/>
        <item x="82"/>
        <item x="83"/>
        <item x="84"/>
        <item x="89"/>
        <item x="91"/>
        <item x="92"/>
        <item x="93"/>
        <item x="94"/>
        <item x="97"/>
        <item x="101"/>
        <item x="102"/>
        <item m="1" x="1049"/>
        <item x="27"/>
        <item x="21"/>
        <item x="22"/>
        <item x="41"/>
        <item m="1" x="1443"/>
        <item x="42"/>
        <item x="43"/>
        <item x="44"/>
        <item x="50"/>
        <item m="1" x="1442"/>
        <item x="34"/>
      </items>
    </pivotField>
    <pivotField compact="0" outline="0" showAll="0" defaultSubtotal="0">
      <items count="17">
        <item m="1" x="7"/>
        <item x="1"/>
        <item x="3"/>
        <item m="1" x="9"/>
        <item x="4"/>
        <item m="1" x="5"/>
        <item m="1" x="14"/>
        <item x="2"/>
        <item m="1" x="6"/>
        <item x="0"/>
        <item m="1" x="12"/>
        <item m="1" x="8"/>
        <item m="1" x="13"/>
        <item m="1" x="10"/>
        <item m="1" x="16"/>
        <item m="1" x="11"/>
        <item m="1" x="15"/>
      </items>
    </pivotField>
    <pivotField compact="0" outline="0" showAll="0" defaultSubtotal="0"/>
    <pivotField compact="0" outline="0" showAll="0" defaultSubtotal="0"/>
    <pivotField dataField="1" compact="0" outline="0" showAll="0" defaultSubtotal="0"/>
    <pivotField compact="0" outline="0" subtotalTop="0" showAll="0" defaultSubtotal="0"/>
    <pivotField compact="0" outline="0" subtotalTop="0" showAll="0" defaultSubtotal="0"/>
    <pivotField axis="axisRow" compact="0" outline="0" showAll="0" sortType="ascending" defaultSubtotal="0">
      <items count="30">
        <item x="0"/>
        <item m="1" x="17"/>
        <item m="1" x="23"/>
        <item m="1" x="19"/>
        <item x="1"/>
        <item m="1" x="28"/>
        <item m="1" x="7"/>
        <item m="1" x="25"/>
        <item m="1" x="26"/>
        <item m="1" x="29"/>
        <item m="1" x="11"/>
        <item m="1" x="15"/>
        <item m="1" x="21"/>
        <item m="1" x="24"/>
        <item m="1" x="6"/>
        <item m="1" x="16"/>
        <item m="1" x="22"/>
        <item x="2"/>
        <item m="1" x="9"/>
        <item m="1" x="4"/>
        <item m="1" x="8"/>
        <item m="1" x="13"/>
        <item m="1" x="27"/>
        <item m="1" x="14"/>
        <item m="1" x="20"/>
        <item m="1" x="18"/>
        <item m="1" x="10"/>
        <item m="1" x="3"/>
        <item m="1" x="12"/>
        <item m="1" x="5"/>
      </items>
    </pivotField>
    <pivotField compact="0" outline="0" subtotalTop="0" showAll="0" defaultSubtotal="0"/>
    <pivotField compact="0" outline="0" showAll="0" defaultSubtotal="0"/>
    <pivotField compact="0" outline="0" subtotalTop="0" showAll="0" defaultSubtotal="0"/>
  </pivotFields>
  <rowFields count="1">
    <field x="9"/>
  </rowFields>
  <rowItems count="4">
    <i>
      <x/>
    </i>
    <i>
      <x v="4"/>
    </i>
    <i>
      <x v="17"/>
    </i>
    <i t="grand">
      <x/>
    </i>
  </rowItems>
  <colItems count="1">
    <i/>
  </colItems>
  <dataFields count="1">
    <dataField name="AMOUNT (RM) " fld="6" baseField="7" baseItem="3" numFmtId="4"/>
  </dataFields>
  <formats count="42">
    <format dxfId="1094">
      <pivotArea field="2" type="button" dataOnly="0" labelOnly="1" outline="0"/>
    </format>
    <format dxfId="1093">
      <pivotArea dataOnly="0" labelOnly="1" grandRow="1" outline="0" fieldPosition="0"/>
    </format>
    <format dxfId="1092">
      <pivotArea type="all" dataOnly="0" outline="0" fieldPosition="0"/>
    </format>
    <format dxfId="1091">
      <pivotArea outline="0" collapsedLevelsAreSubtotals="1" fieldPosition="0"/>
    </format>
    <format dxfId="1090">
      <pivotArea dataOnly="0" labelOnly="1" grandRow="1" outline="0" fieldPosition="0"/>
    </format>
    <format dxfId="1089">
      <pivotArea dataOnly="0" labelOnly="1" outline="0" axis="axisValues" fieldPosition="0"/>
    </format>
    <format dxfId="1088">
      <pivotArea dataOnly="0" labelOnly="1" grandRow="1" outline="0" fieldPosition="0"/>
    </format>
    <format dxfId="1087">
      <pivotArea field="0" type="button" dataOnly="0" labelOnly="1" outline="0"/>
    </format>
    <format dxfId="1086">
      <pivotArea field="1" type="button" dataOnly="0" labelOnly="1" outline="0"/>
    </format>
    <format dxfId="1085">
      <pivotArea field="2" type="button" dataOnly="0" labelOnly="1" outline="0"/>
    </format>
    <format dxfId="1084">
      <pivotArea field="3" type="button" dataOnly="0" labelOnly="1" outline="0"/>
    </format>
    <format dxfId="1083">
      <pivotArea field="0" type="button" dataOnly="0" labelOnly="1" outline="0"/>
    </format>
    <format dxfId="1082">
      <pivotArea field="1" type="button" dataOnly="0" labelOnly="1" outline="0"/>
    </format>
    <format dxfId="1081">
      <pivotArea field="2" type="button" dataOnly="0" labelOnly="1" outline="0"/>
    </format>
    <format dxfId="1080">
      <pivotArea field="3" type="button" dataOnly="0" labelOnly="1" outline="0"/>
    </format>
    <format dxfId="1079">
      <pivotArea field="9" type="button" dataOnly="0" labelOnly="1" outline="0" axis="axisRow" fieldPosition="0"/>
    </format>
    <format dxfId="1078">
      <pivotArea dataOnly="0" labelOnly="1" outline="0" axis="axisValues" fieldPosition="0"/>
    </format>
    <format dxfId="1077">
      <pivotArea dataOnly="0" labelOnly="1" outline="0" fieldPosition="0">
        <references count="1">
          <reference field="9" count="0"/>
        </references>
      </pivotArea>
    </format>
    <format dxfId="1076">
      <pivotArea outline="0" fieldPosition="0">
        <references count="1">
          <reference field="4294967294" count="1">
            <x v="0"/>
          </reference>
        </references>
      </pivotArea>
    </format>
    <format dxfId="1075">
      <pivotArea field="9" type="button" dataOnly="0" labelOnly="1" outline="0" axis="axisRow" fieldPosition="0"/>
    </format>
    <format dxfId="1074">
      <pivotArea dataOnly="0" labelOnly="1" outline="0" fieldPosition="0">
        <references count="1">
          <reference field="9" count="0"/>
        </references>
      </pivotArea>
    </format>
    <format dxfId="1073">
      <pivotArea dataOnly="0" labelOnly="1" outline="0" fieldPosition="0">
        <references count="1">
          <reference field="9" count="0"/>
        </references>
      </pivotArea>
    </format>
    <format dxfId="1072">
      <pivotArea type="all" dataOnly="0" outline="0" fieldPosition="0"/>
    </format>
    <format dxfId="1071">
      <pivotArea field="9" type="button" dataOnly="0" labelOnly="1" outline="0" axis="axisRow" fieldPosition="0"/>
    </format>
    <format dxfId="1070">
      <pivotArea dataOnly="0" labelOnly="1" outline="0" fieldPosition="0">
        <references count="1">
          <reference field="9" count="0"/>
        </references>
      </pivotArea>
    </format>
    <format dxfId="1069">
      <pivotArea dataOnly="0" labelOnly="1" grandRow="1" outline="0" fieldPosition="0"/>
    </format>
    <format dxfId="1068">
      <pivotArea dataOnly="0" labelOnly="1" outline="0" axis="axisValues" fieldPosition="0"/>
    </format>
    <format dxfId="1067">
      <pivotArea field="9" type="button" dataOnly="0" labelOnly="1" outline="0" axis="axisRow" fieldPosition="0"/>
    </format>
    <format dxfId="1066">
      <pivotArea dataOnly="0" labelOnly="1" outline="0" axis="axisValues" fieldPosition="0"/>
    </format>
    <format dxfId="1065">
      <pivotArea dataOnly="0" labelOnly="1" outline="0" fieldPosition="0">
        <references count="1">
          <reference field="9" count="0"/>
        </references>
      </pivotArea>
    </format>
    <format dxfId="1064">
      <pivotArea grandRow="1" outline="0" collapsedLevelsAreSubtotals="1" fieldPosition="0"/>
    </format>
    <format dxfId="1063">
      <pivotArea grandRow="1" outline="0" collapsedLevelsAreSubtotals="1" fieldPosition="0"/>
    </format>
    <format dxfId="1062">
      <pivotArea dataOnly="0" labelOnly="1" grandRow="1" outline="0" fieldPosition="0"/>
    </format>
    <format dxfId="1061">
      <pivotArea outline="0" fieldPosition="0">
        <references count="1">
          <reference field="9" count="0" selected="0"/>
        </references>
      </pivotArea>
    </format>
    <format dxfId="1060">
      <pivotArea dataOnly="0" labelOnly="1" outline="0" fieldPosition="0">
        <references count="1">
          <reference field="9" count="0"/>
        </references>
      </pivotArea>
    </format>
    <format dxfId="1059">
      <pivotArea type="all" dataOnly="0" outline="0" fieldPosition="0"/>
    </format>
    <format dxfId="1058">
      <pivotArea outline="0" collapsedLevelsAreSubtotals="1" fieldPosition="0"/>
    </format>
    <format dxfId="1057">
      <pivotArea field="9" type="button" dataOnly="0" labelOnly="1" outline="0" axis="axisRow" fieldPosition="0"/>
    </format>
    <format dxfId="1056">
      <pivotArea dataOnly="0" labelOnly="1" outline="0" fieldPosition="0">
        <references count="1">
          <reference field="9" count="0"/>
        </references>
      </pivotArea>
    </format>
    <format dxfId="1055">
      <pivotArea dataOnly="0" labelOnly="1" grandRow="1" outline="0" fieldPosition="0"/>
    </format>
    <format dxfId="1054">
      <pivotArea dataOnly="0" labelOnly="1" outline="0" axis="axisValues" fieldPosition="0"/>
    </format>
    <format dxfId="1053">
      <pivotArea grandRow="1"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2" cacheId="225"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6:D16"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272"/>
        <item m="1" x="332"/>
        <item m="1" x="391"/>
        <item m="1" x="451"/>
        <item m="1" x="510"/>
        <item m="1" x="569"/>
        <item m="1" x="148"/>
        <item m="1" x="205"/>
        <item m="1" x="264"/>
        <item m="1" x="324"/>
        <item m="1" x="383"/>
        <item m="1" x="443"/>
        <item m="1" x="502"/>
        <item m="1" x="561"/>
        <item m="1" x="139"/>
        <item m="1" x="196"/>
        <item m="1" x="255"/>
        <item m="1" x="314"/>
        <item m="1" x="374"/>
        <item m="1" x="434"/>
        <item m="1" x="493"/>
        <item m="1" x="553"/>
        <item m="1" x="131"/>
        <item m="1" x="188"/>
        <item m="1" x="218"/>
        <item m="1" x="247"/>
        <item m="1" x="278"/>
        <item m="1" x="306"/>
        <item m="1" x="338"/>
        <item m="1" x="366"/>
        <item m="1" x="397"/>
        <item m="1" x="426"/>
        <item m="1" x="457"/>
        <item m="1" x="485"/>
        <item m="1" x="516"/>
        <item m="1" x="544"/>
        <item m="1" x="574"/>
        <item m="1" x="123"/>
        <item m="1" x="153"/>
        <item m="1" x="180"/>
        <item m="1" x="210"/>
        <item m="1" x="239"/>
        <item m="1" x="269"/>
        <item m="1" x="298"/>
        <item m="1" x="329"/>
        <item m="1" x="358"/>
        <item m="1" x="388"/>
        <item m="1" x="418"/>
        <item m="1" x="448"/>
        <item m="1" x="477"/>
        <item m="1" x="507"/>
        <item m="1" x="536"/>
        <item m="1" x="566"/>
        <item m="1" x="116"/>
        <item m="1" x="145"/>
        <item m="1" x="173"/>
        <item m="1" x="202"/>
        <item m="1" x="232"/>
        <item m="1" x="261"/>
        <item m="1" x="291"/>
        <item m="1" x="321"/>
        <item m="1" x="351"/>
        <item m="1" x="380"/>
        <item m="1" x="411"/>
        <item m="1" x="440"/>
        <item m="1" x="470"/>
        <item m="1" x="499"/>
        <item m="1" x="529"/>
        <item m="1" x="559"/>
        <item m="1" x="110"/>
        <item m="1" x="137"/>
        <item m="1" x="166"/>
        <item m="1" x="194"/>
        <item m="1" x="224"/>
        <item m="1" x="253"/>
        <item m="1" x="284"/>
        <item m="1" x="312"/>
        <item m="1" x="344"/>
        <item m="1" x="372"/>
        <item m="1" x="403"/>
        <item m="1" x="432"/>
        <item m="1" x="463"/>
        <item m="1" x="491"/>
        <item m="1" x="522"/>
        <item m="1" x="551"/>
        <item m="1" x="580"/>
        <item m="1" x="129"/>
        <item m="1" x="159"/>
        <item m="1" x="186"/>
        <item m="1" x="216"/>
        <item m="1" x="245"/>
        <item m="1" x="276"/>
        <item m="1" x="304"/>
        <item m="1" x="336"/>
        <item m="1" x="364"/>
        <item m="1" x="395"/>
        <item m="1" x="424"/>
        <item m="1" x="455"/>
        <item m="1" x="483"/>
        <item m="1" x="514"/>
        <item m="1" x="542"/>
        <item m="1" x="573"/>
        <item m="1" x="122"/>
        <item m="1" x="152"/>
        <item m="1" x="179"/>
        <item m="1" x="209"/>
        <item m="1" x="238"/>
        <item m="1" x="268"/>
        <item m="1" x="297"/>
        <item m="1" x="328"/>
        <item m="1" x="357"/>
        <item m="1" x="387"/>
        <item m="1" x="417"/>
        <item m="1" x="447"/>
        <item m="1" x="476"/>
        <item m="1" x="506"/>
        <item m="1" x="535"/>
        <item m="1" x="565"/>
        <item m="1" x="115"/>
        <item m="1" x="144"/>
        <item m="1" x="172"/>
        <item m="1" x="201"/>
        <item m="1" x="231"/>
        <item m="1" x="260"/>
        <item m="1" x="290"/>
        <item m="1" x="320"/>
        <item m="1" x="350"/>
        <item m="1" x="379"/>
        <item m="1" x="410"/>
        <item m="1" x="439"/>
        <item m="1" x="469"/>
        <item m="1" x="498"/>
        <item m="1" x="528"/>
        <item m="1" x="558"/>
        <item m="1" x="109"/>
        <item m="1" x="136"/>
        <item m="1" x="165"/>
        <item m="1" x="193"/>
        <item m="1" x="223"/>
        <item m="1" x="252"/>
        <item m="1" x="283"/>
        <item m="1" x="311"/>
        <item m="1" x="343"/>
        <item m="1" x="371"/>
        <item m="1" x="402"/>
        <item m="1" x="431"/>
        <item m="1" x="462"/>
        <item m="1" x="490"/>
        <item m="1" x="521"/>
        <item m="1" x="549"/>
        <item m="1" x="579"/>
        <item m="1" x="128"/>
        <item m="1" x="143"/>
        <item m="1" x="158"/>
        <item m="1" x="171"/>
        <item m="1" x="185"/>
        <item m="1" x="200"/>
        <item m="1" x="215"/>
        <item m="1" x="229"/>
        <item m="1" x="244"/>
        <item m="1" x="259"/>
        <item m="1" x="275"/>
        <item m="1" x="289"/>
        <item m="1" x="303"/>
        <item m="1" x="319"/>
        <item m="1" x="335"/>
        <item m="1" x="349"/>
        <item m="1" x="363"/>
        <item m="1" x="378"/>
        <item m="1" x="394"/>
        <item m="1" x="409"/>
        <item m="1" x="423"/>
        <item m="1" x="438"/>
        <item m="1" x="454"/>
        <item m="1" x="468"/>
        <item m="1" x="482"/>
        <item m="1" x="497"/>
        <item m="1" x="513"/>
        <item m="1" x="527"/>
        <item m="1" x="541"/>
        <item m="1" x="557"/>
        <item m="1" x="572"/>
        <item m="1" x="108"/>
        <item m="1" x="121"/>
        <item m="1" x="135"/>
        <item m="1" x="151"/>
        <item m="1" x="164"/>
        <item m="1" x="178"/>
        <item m="1" x="192"/>
        <item m="1" x="208"/>
        <item m="1" x="222"/>
        <item m="1" x="237"/>
        <item m="1" x="251"/>
        <item m="1" x="267"/>
        <item m="1" x="282"/>
        <item m="1" x="296"/>
        <item m="1" x="310"/>
        <item m="1" x="327"/>
        <item m="1" x="342"/>
        <item m="1" x="356"/>
        <item m="1" x="370"/>
        <item m="1" x="386"/>
        <item m="1" x="401"/>
        <item m="1" x="416"/>
        <item m="1" x="430"/>
        <item m="1" x="446"/>
        <item m="1" x="461"/>
        <item m="1" x="475"/>
        <item m="1" x="489"/>
        <item m="1" x="505"/>
        <item m="1" x="520"/>
        <item m="1" x="534"/>
        <item m="1" x="548"/>
        <item m="1" x="564"/>
        <item m="1" x="578"/>
        <item m="1" x="114"/>
        <item m="1" x="127"/>
        <item m="1" x="142"/>
        <item m="1" x="157"/>
        <item m="1" x="170"/>
        <item m="1" x="184"/>
        <item m="1" x="199"/>
        <item m="1" x="214"/>
        <item m="1" x="228"/>
        <item m="1" x="243"/>
        <item m="1" x="258"/>
        <item m="1" x="274"/>
        <item m="1" x="288"/>
        <item m="1" x="302"/>
        <item m="1" x="317"/>
        <item m="1" x="334"/>
        <item m="1" x="348"/>
        <item m="1" x="362"/>
        <item m="1" x="377"/>
        <item m="1" x="393"/>
        <item m="1" x="408"/>
        <item m="1" x="422"/>
        <item m="1" x="437"/>
        <item m="1" x="453"/>
        <item m="1" x="467"/>
        <item m="1" x="481"/>
        <item m="1" x="496"/>
        <item m="1" x="512"/>
        <item m="1" x="526"/>
        <item m="1" x="540"/>
        <item m="1" x="556"/>
        <item m="1" x="571"/>
        <item m="1" x="107"/>
        <item m="1" x="120"/>
        <item m="1" x="134"/>
        <item m="1" x="150"/>
        <item m="1" x="163"/>
        <item m="1" x="177"/>
        <item m="1" x="191"/>
        <item m="1" x="207"/>
        <item m="1" x="221"/>
        <item m="1" x="236"/>
        <item m="1" x="250"/>
        <item m="1" x="266"/>
        <item m="1" x="281"/>
        <item m="1" x="295"/>
        <item m="1" x="309"/>
        <item m="1" x="326"/>
        <item m="1" x="341"/>
        <item m="1" x="355"/>
        <item m="1" x="369"/>
        <item m="1" x="385"/>
        <item m="1" x="400"/>
        <item m="1" x="415"/>
        <item m="1" x="429"/>
        <item m="1" x="445"/>
        <item m="1" x="460"/>
        <item m="1" x="474"/>
        <item m="1" x="488"/>
        <item m="1" x="504"/>
        <item m="1" x="519"/>
        <item m="1" x="533"/>
        <item m="1" x="547"/>
        <item m="1" x="563"/>
        <item m="1" x="577"/>
        <item m="1" x="113"/>
        <item m="1" x="126"/>
        <item m="1" x="141"/>
        <item m="1" x="156"/>
        <item m="1" x="169"/>
        <item m="1" x="183"/>
        <item m="1" x="198"/>
        <item m="1" x="213"/>
        <item m="1" x="227"/>
        <item m="1" x="242"/>
        <item m="1" x="257"/>
        <item m="1" x="273"/>
        <item m="1" x="287"/>
        <item m="1" x="301"/>
        <item m="1" x="316"/>
        <item m="1" x="333"/>
        <item m="1" x="347"/>
        <item m="1" x="361"/>
        <item m="1" x="376"/>
        <item m="1" x="392"/>
        <item m="1" x="406"/>
        <item m="1" x="421"/>
        <item m="1" x="436"/>
        <item m="1" x="452"/>
        <item m="1" x="466"/>
        <item m="1" x="480"/>
        <item m="1" x="495"/>
        <item m="1" x="511"/>
        <item m="1" x="525"/>
        <item m="1" x="539"/>
        <item m="1" x="555"/>
        <item m="1" x="570"/>
        <item m="1" x="106"/>
        <item m="1" x="119"/>
        <item m="1" x="133"/>
        <item m="1" x="149"/>
        <item m="1" x="162"/>
        <item m="1" x="176"/>
        <item m="1" x="190"/>
        <item m="1" x="206"/>
        <item m="1" x="220"/>
        <item m="1" x="235"/>
        <item m="1" x="249"/>
        <item m="1" x="265"/>
        <item m="1" x="280"/>
        <item m="1" x="294"/>
        <item m="1" x="308"/>
        <item m="1" x="325"/>
        <item m="1" x="340"/>
        <item m="1" x="354"/>
        <item m="1" x="368"/>
        <item m="1" x="384"/>
        <item m="1" x="399"/>
        <item m="1" x="414"/>
        <item m="1" x="428"/>
        <item m="1" x="444"/>
        <item m="1" x="459"/>
        <item m="1" x="473"/>
        <item m="1" x="487"/>
        <item m="1" x="503"/>
        <item m="1" x="518"/>
        <item m="1" x="532"/>
        <item m="1" x="546"/>
        <item m="1" x="562"/>
        <item m="1" x="576"/>
        <item m="1" x="112"/>
        <item m="1" x="125"/>
        <item m="1" x="140"/>
        <item m="1" x="155"/>
        <item m="1" x="168"/>
        <item m="1" x="182"/>
        <item m="1" x="197"/>
        <item m="1" x="212"/>
        <item m="1" x="226"/>
        <item m="1" x="241"/>
        <item m="1" x="256"/>
        <item m="1" x="271"/>
        <item m="1" x="286"/>
        <item m="1" x="300"/>
        <item m="1" x="315"/>
        <item m="1" x="331"/>
        <item m="1" x="346"/>
        <item m="1" x="360"/>
        <item m="1" x="375"/>
        <item m="1" x="390"/>
        <item m="1" x="405"/>
        <item m="1" x="420"/>
        <item m="1" x="435"/>
        <item m="1" x="450"/>
        <item m="1" x="465"/>
        <item m="1" x="479"/>
        <item m="1" x="494"/>
        <item m="1" x="509"/>
        <item m="1" x="524"/>
        <item m="1" x="538"/>
        <item m="1" x="554"/>
        <item m="1" x="568"/>
        <item m="1" x="105"/>
        <item m="1" x="118"/>
        <item m="1" x="132"/>
        <item m="1" x="147"/>
        <item m="1" x="161"/>
        <item m="1" x="175"/>
        <item m="1" x="189"/>
        <item m="1" x="204"/>
        <item m="1" x="219"/>
        <item m="1" x="234"/>
        <item m="1" x="248"/>
        <item m="1" x="263"/>
        <item m="1" x="279"/>
        <item m="1" x="293"/>
        <item m="1" x="307"/>
        <item m="1" x="323"/>
        <item m="1" x="339"/>
        <item m="1" x="353"/>
        <item m="1" x="367"/>
        <item m="1" x="382"/>
        <item m="1" x="398"/>
        <item m="1" x="413"/>
        <item m="1" x="427"/>
        <item m="1" x="442"/>
        <item m="1" x="458"/>
        <item m="1" x="472"/>
        <item m="1" x="486"/>
        <item m="1" x="501"/>
        <item m="1" x="517"/>
        <item m="1" x="531"/>
        <item m="1" x="545"/>
        <item m="1" x="552"/>
        <item m="1" x="560"/>
        <item m="1" x="567"/>
        <item m="1" x="575"/>
        <item m="1" x="104"/>
        <item m="1" x="111"/>
        <item m="1" x="117"/>
        <item m="1" x="124"/>
        <item m="1" x="130"/>
        <item m="1" x="138"/>
        <item m="1" x="146"/>
        <item m="1" x="154"/>
        <item m="1" x="160"/>
        <item m="1" x="167"/>
        <item m="1" x="174"/>
        <item m="1" x="181"/>
        <item m="1" x="187"/>
        <item m="1" x="195"/>
        <item m="1" x="203"/>
        <item m="1" x="211"/>
        <item m="1" x="217"/>
        <item m="1" x="225"/>
        <item m="1" x="233"/>
        <item m="1" x="240"/>
        <item m="1" x="246"/>
        <item m="1" x="254"/>
        <item m="1" x="262"/>
        <item m="1" x="270"/>
        <item m="1" x="277"/>
        <item m="1" x="285"/>
        <item m="1" x="292"/>
        <item m="1" x="299"/>
        <item m="1" x="305"/>
        <item m="1" x="313"/>
        <item m="1" x="322"/>
        <item m="1" x="330"/>
        <item m="1" x="337"/>
        <item m="1" x="345"/>
        <item m="1" x="352"/>
        <item m="1" x="359"/>
        <item m="1" x="365"/>
        <item m="1" x="373"/>
        <item m="1" x="381"/>
        <item m="1" x="389"/>
        <item m="1" x="396"/>
        <item m="1" x="404"/>
        <item m="1" x="412"/>
        <item m="1" x="419"/>
        <item m="1" x="425"/>
        <item m="1" x="433"/>
        <item m="1" x="441"/>
        <item m="1" x="449"/>
        <item m="1" x="456"/>
        <item m="1" x="464"/>
        <item m="1" x="471"/>
        <item m="1" x="478"/>
        <item m="1" x="484"/>
        <item m="1" x="492"/>
        <item m="1" x="500"/>
        <item m="1" x="508"/>
        <item m="1" x="515"/>
        <item m="1" x="523"/>
        <item m="1" x="530"/>
        <item m="1" x="230"/>
        <item m="1" x="318"/>
        <item m="1" x="407"/>
        <item m="1" x="550"/>
        <item m="1" x="537"/>
        <item m="1" x="543"/>
      </items>
    </pivotField>
    <pivotField compact="0" showAll="0" defaultSubtotal="0">
      <items count="1124">
        <item m="1" x="458"/>
        <item m="1" x="500"/>
        <item m="1" x="552"/>
        <item m="1" x="597"/>
        <item m="1" x="627"/>
        <item m="1" x="648"/>
        <item m="1" x="665"/>
        <item m="1" x="678"/>
        <item m="1" x="705"/>
        <item m="1" x="440"/>
        <item m="1" x="465"/>
        <item m="1" x="506"/>
        <item m="1" x="556"/>
        <item m="1" x="601"/>
        <item m="1" x="629"/>
        <item m="1" x="649"/>
        <item m="1" x="666"/>
        <item m="1" x="679"/>
        <item m="1" x="706"/>
        <item m="1" x="441"/>
        <item m="1" x="468"/>
        <item m="1" x="514"/>
        <item m="1" x="564"/>
        <item m="1" x="603"/>
        <item m="1" x="630"/>
        <item m="1" x="650"/>
        <item m="1" x="667"/>
        <item m="1" x="680"/>
        <item m="1" x="707"/>
        <item m="1" x="442"/>
        <item m="1" x="469"/>
        <item m="1" x="517"/>
        <item m="1" x="568"/>
        <item m="1" x="604"/>
        <item m="1" x="631"/>
        <item m="1" x="651"/>
        <item m="1" x="668"/>
        <item m="1" x="681"/>
        <item m="1" x="708"/>
        <item m="1" x="697"/>
        <item m="1" x="746"/>
        <item m="1" x="802"/>
        <item m="1" x="857"/>
        <item m="1" x="909"/>
        <item m="1" x="981"/>
        <item m="1" x="1018"/>
        <item m="1" x="166"/>
        <item m="1" x="956"/>
        <item m="1" x="993"/>
        <item m="1" x="1037"/>
        <item m="1" x="1088"/>
        <item m="1" x="77"/>
        <item m="1" x="105"/>
        <item m="1" x="127"/>
        <item m="1" x="143"/>
        <item m="1" x="157"/>
        <item m="1" x="193"/>
        <item m="1" x="971"/>
        <item m="1" x="1001"/>
        <item m="1" x="1042"/>
        <item m="1" x="1092"/>
        <item m="1" x="81"/>
        <item m="1" x="108"/>
        <item m="1" x="128"/>
        <item m="1" x="144"/>
        <item m="1" x="180"/>
        <item m="1" x="232"/>
        <item m="1" x="456"/>
        <item m="1" x="497"/>
        <item m="1" x="549"/>
        <item m="1" x="594"/>
        <item m="1" x="624"/>
        <item m="1" x="646"/>
        <item m="1" x="664"/>
        <item m="1" x="677"/>
        <item m="1" x="695"/>
        <item m="1" x="743"/>
        <item m="1" x="798"/>
        <item m="1" x="853"/>
        <item m="1" x="980"/>
        <item m="1" x="165"/>
        <item m="1" x="476"/>
        <item m="1" x="524"/>
        <item m="1" x="576"/>
        <item m="1" x="612"/>
        <item m="1" x="637"/>
        <item m="1" x="657"/>
        <item m="1" x="672"/>
        <item m="1" x="689"/>
        <item m="1" x="732"/>
        <item m="1" x="449"/>
        <item m="1" x="481"/>
        <item m="1" x="528"/>
        <item m="1" x="580"/>
        <item m="1" x="615"/>
        <item m="1" x="639"/>
        <item m="1" x="658"/>
        <item m="1" x="673"/>
        <item m="1" x="690"/>
        <item m="1" x="733"/>
        <item m="1" x="452"/>
        <item m="1" x="489"/>
        <item m="1" x="534"/>
        <item m="1" x="584"/>
        <item m="1" x="617"/>
        <item m="1" x="640"/>
        <item m="1" x="659"/>
        <item m="1" x="674"/>
        <item m="1" x="691"/>
        <item m="1" x="734"/>
        <item m="1" x="453"/>
        <item m="1" x="492"/>
        <item m="1" x="541"/>
        <item m="1" x="588"/>
        <item m="1" x="618"/>
        <item m="1" x="641"/>
        <item m="1" x="660"/>
        <item m="1" x="675"/>
        <item m="1" x="692"/>
        <item m="1" x="735"/>
        <item m="1" x="454"/>
        <item m="1" x="493"/>
        <item m="1" x="543"/>
        <item m="1" x="589"/>
        <item m="1" x="619"/>
        <item m="1" x="642"/>
        <item m="1" x="661"/>
        <item m="1" x="676"/>
        <item m="1" x="693"/>
        <item m="1" x="736"/>
        <item m="1" x="716"/>
        <item m="1" x="771"/>
        <item m="1" x="826"/>
        <item m="1" x="882"/>
        <item m="1" x="927"/>
        <item m="1" x="991"/>
        <item m="1" x="1035"/>
        <item m="1" x="1086"/>
        <item m="1" x="76"/>
        <item m="1" x="104"/>
        <item m="1" x="126"/>
        <item m="1" x="142"/>
        <item m="1" x="156"/>
        <item m="1" x="192"/>
        <item m="1" x="969"/>
        <item m="1" x="177"/>
        <item m="1" x="1015"/>
        <item m="1" x="1065"/>
        <item m="1" x="1113"/>
        <item m="1" x="95"/>
        <item m="1" x="119"/>
        <item m="1" x="139"/>
        <item m="1" x="152"/>
        <item m="1" x="175"/>
        <item m="1" x="224"/>
        <item m="1" x="985"/>
        <item m="1" x="1021"/>
        <item m="1" x="1069"/>
        <item m="1" x="1117"/>
        <item m="1" x="98"/>
        <item m="1" x="122"/>
        <item m="1" x="140"/>
        <item m="1" x="153"/>
        <item m="1" x="176"/>
        <item m="1" x="203"/>
        <item m="1" x="258"/>
        <item m="1" x="314"/>
        <item m="1" x="370"/>
        <item m="1" x="474"/>
        <item m="1" x="521"/>
        <item m="1" x="573"/>
        <item m="1" x="609"/>
        <item m="1" x="712"/>
        <item m="1" x="768"/>
        <item m="1" x="822"/>
        <item m="1" x="878"/>
        <item m="1" x="686"/>
        <item m="1" x="990"/>
        <item m="1" x="495"/>
        <item m="1" x="547"/>
        <item m="1" x="593"/>
        <item m="1" x="623"/>
        <item x="0"/>
        <item m="1" x="963"/>
        <item m="1" x="158"/>
        <item m="1" x="194"/>
        <item m="1" x="972"/>
        <item m="1" x="1006"/>
        <item m="1" x="1051"/>
        <item m="1" x="1098"/>
        <item m="1" x="84"/>
        <item m="1" x="109"/>
        <item m="1" x="129"/>
        <item m="1" x="145"/>
        <item m="1" x="1081"/>
        <item m="1" x="539"/>
        <item m="1" x="1052"/>
        <item m="1" x="512"/>
        <item m="1" x="1029"/>
        <item m="1" x="487"/>
        <item m="1" x="1002"/>
        <item m="1" x="463"/>
        <item m="1" x="986"/>
        <item m="1" x="587"/>
        <item m="1" x="1099"/>
        <item m="1" x="561"/>
        <item m="1" x="1074"/>
        <item m="1" x="531"/>
        <item m="1" x="1043"/>
        <item m="1" x="503"/>
        <item m="1" x="1022"/>
        <item m="1" x="479"/>
        <item m="1" x="994"/>
        <item m="1" x="602"/>
        <item m="1" x="1121"/>
        <item m="1" x="582"/>
        <item m="1" x="1093"/>
        <item m="1" x="554"/>
        <item m="1" x="1070"/>
        <item m="1" x="526"/>
        <item m="1" x="1038"/>
        <item m="1" x="276"/>
        <item m="1" x="787"/>
        <item m="1" x="247"/>
        <item m="1" x="758"/>
        <item m="1" x="220"/>
        <item m="1" x="727"/>
        <item m="1" x="567"/>
        <item m="1" x="1079"/>
        <item m="1" x="536"/>
        <item m="1" x="1047"/>
        <item m="1" x="508"/>
        <item m="1" x="1025"/>
        <item m="1" x="483"/>
        <item m="1" x="997"/>
        <item m="1" x="459"/>
        <item m="1" x="1123"/>
        <item m="1" x="585"/>
        <item m="1" x="1095"/>
        <item m="1" x="557"/>
        <item m="1" x="1072"/>
        <item m="1" x="529"/>
        <item m="1" x="1040"/>
        <item m="1" x="501"/>
        <item m="1" x="1019"/>
        <item m="1" x="477"/>
        <item m="1" x="815"/>
        <item m="1" x="274"/>
        <item m="1" x="784"/>
        <item m="1" x="243"/>
        <item m="1" x="754"/>
        <item m="1" x="216"/>
        <item m="1" x="723"/>
        <item m="1" x="184"/>
        <item m="1" x="698"/>
        <item m="1" x="329"/>
        <item m="1" x="838"/>
        <item m="1" x="297"/>
        <item m="1" x="808"/>
        <item m="1" x="267"/>
        <item m="1" x="777"/>
        <item m="1" x="236"/>
        <item m="1" x="747"/>
        <item m="1" x="208"/>
        <item m="1" x="717"/>
        <item m="1" x="355"/>
        <item m="1" x="864"/>
        <item m="1" x="323"/>
        <item m="1" x="832"/>
        <item m="1" x="292"/>
        <item m="1" x="803"/>
        <item m="1" x="262"/>
        <item m="1" x="772"/>
        <item m="1" x="230"/>
        <item m="1" x="741"/>
        <item m="1" x="379"/>
        <item m="1" x="889"/>
        <item m="1" x="350"/>
        <item m="1" x="858"/>
        <item m="1" x="318"/>
        <item m="1" x="827"/>
        <item m="1" x="286"/>
        <item m="1" x="796"/>
        <item m="1" x="256"/>
        <item m="1" x="766"/>
        <item m="1" x="400"/>
        <item m="1" x="910"/>
        <item m="1" x="374"/>
        <item m="1" x="883"/>
        <item m="1" x="344"/>
        <item m="1" x="851"/>
        <item m="1" x="312"/>
        <item m="1" x="1101"/>
        <item m="1" x="563"/>
        <item m="1" x="1076"/>
        <item m="1" x="533"/>
        <item m="1" x="1045"/>
        <item m="1" x="505"/>
        <item m="1" x="178"/>
        <item m="1" x="201"/>
        <item m="1" x="225"/>
        <item m="1" x="251"/>
        <item m="1" x="277"/>
        <item m="1" x="304"/>
        <item m="1" x="332"/>
        <item m="1" x="358"/>
        <item m="1" x="381"/>
        <item m="1" x="207"/>
        <item m="1" x="229"/>
        <item m="1" x="255"/>
        <item m="1" x="28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714"/>
        <item m="1" x="739"/>
        <item m="1" x="764"/>
        <item m="1" x="791"/>
        <item m="1" x="443"/>
        <item m="1" x="470"/>
        <item m="1" x="518"/>
        <item m="1" x="569"/>
        <item m="1" x="605"/>
        <item m="1" x="632"/>
        <item m="1" x="652"/>
        <item m="1" x="669"/>
        <item m="1" x="682"/>
        <item m="1" x="709"/>
        <item m="1" x="444"/>
        <item m="1" x="471"/>
        <item m="1" x="519"/>
        <item m="1" x="570"/>
        <item m="1" x="606"/>
        <item m="1" x="633"/>
        <item m="1" x="653"/>
        <item m="1" x="670"/>
        <item m="1" x="683"/>
        <item m="1" x="710"/>
        <item m="1" x="159"/>
        <item m="1" x="195"/>
        <item m="1" x="973"/>
        <item m="1" x="1007"/>
        <item m="1" x="1056"/>
        <item m="1" x="1103"/>
        <item m="1" x="85"/>
        <item m="1" x="110"/>
        <item m="1" x="130"/>
        <item m="1" x="146"/>
        <item m="1" x="160"/>
        <item m="1" x="196"/>
        <item m="1" x="974"/>
        <item m="1" x="1008"/>
        <item m="1" x="1057"/>
        <item m="1" x="1104"/>
        <item m="1" x="86"/>
        <item m="1" x="111"/>
        <item m="1" x="131"/>
        <item m="1" x="147"/>
        <item m="1" x="161"/>
        <item m="1" x="197"/>
        <item m="1" x="975"/>
        <item m="1" x="1009"/>
        <item m="1" x="1058"/>
        <item m="1" x="1105"/>
        <item m="1" x="87"/>
        <item m="1" x="112"/>
        <item m="1" x="132"/>
        <item m="1" x="148"/>
        <item m="1" x="162"/>
        <item m="1" x="198"/>
        <item m="1" x="976"/>
        <item m="1" x="1010"/>
        <item m="1" x="1059"/>
        <item m="1" x="1106"/>
        <item m="1" x="88"/>
        <item m="1" x="113"/>
        <item m="1" x="133"/>
        <item m="1" x="149"/>
        <item m="1" x="163"/>
        <item m="1" x="199"/>
        <item m="1" x="977"/>
        <item m="1" x="1011"/>
        <item m="1" x="1060"/>
        <item m="1" x="1107"/>
        <item m="1" x="89"/>
        <item m="1" x="114"/>
        <item m="1" x="134"/>
        <item m="1" x="150"/>
        <item m="1" x="164"/>
        <item m="1" x="200"/>
        <item m="1" x="978"/>
        <item m="1" x="1012"/>
        <item m="1" x="1061"/>
        <item m="1" x="1108"/>
        <item m="1" x="90"/>
        <item m="1" x="115"/>
        <item m="1" x="135"/>
        <item m="1" x="167"/>
        <item m="1" x="206"/>
        <item m="1" x="979"/>
        <item m="1" x="1013"/>
        <item m="1" x="1062"/>
        <item m="1" x="1109"/>
        <item m="1" x="91"/>
        <item m="1" x="116"/>
        <item m="1" x="136"/>
        <item m="1" x="151"/>
        <item m="1" x="173"/>
        <item m="1" x="214"/>
        <item m="1" x="154"/>
        <item m="1" x="288"/>
        <item m="1" x="346"/>
        <item m="1" x="396"/>
        <item m="1" x="427"/>
        <item m="1" x="439"/>
        <item m="1" x="445"/>
        <item m="1" x="472"/>
        <item m="1" x="155"/>
        <item m="1" x="930"/>
        <item m="1" x="955"/>
        <item m="1" x="967"/>
        <item m="1" x="498"/>
        <item m="1" x="1016"/>
        <item m="1" x="616"/>
        <item m="1" x="82"/>
        <item m="1" x="599"/>
        <item m="1" x="1118"/>
        <item m="1" x="578"/>
        <item m="1" x="1089"/>
        <item m="1" x="550"/>
        <item m="1" x="1066"/>
        <item m="1" x="522"/>
        <item m="1" x="1033"/>
        <item m="1" x="628"/>
        <item m="1" x="99"/>
        <item m="1" x="613"/>
        <item m="1" x="78"/>
        <item m="1" x="595"/>
        <item m="1" x="1114"/>
        <item m="1" x="574"/>
        <item m="1" x="1084"/>
        <item m="1" x="545"/>
        <item m="1" x="1063"/>
        <item m="1" x="638"/>
        <item m="1" x="106"/>
        <item m="1" x="625"/>
        <item m="1" x="96"/>
        <item m="1" x="610"/>
        <item m="1" x="74"/>
        <item m="1" x="591"/>
        <item m="1" x="1111"/>
        <item m="1" x="571"/>
        <item m="1" x="1082"/>
        <item m="1" x="647"/>
        <item m="1" x="120"/>
        <item m="1" x="636"/>
        <item m="1" x="103"/>
        <item m="1" x="622"/>
        <item m="1" x="94"/>
        <item m="1" x="608"/>
        <item m="1" x="73"/>
        <item m="1" x="590"/>
        <item m="1" x="1110"/>
        <item m="1" x="656"/>
        <item m="1" x="125"/>
        <item m="1" x="645"/>
        <item m="1" x="118"/>
        <item m="1" x="635"/>
        <item m="1" x="102"/>
        <item m="1" x="621"/>
        <item m="1" x="93"/>
        <item m="1" x="607"/>
        <item m="1" x="72"/>
        <item m="1" x="663"/>
        <item m="1" x="138"/>
        <item m="1" x="655"/>
        <item m="1" x="124"/>
        <item m="1" x="644"/>
        <item m="1" x="117"/>
        <item m="1" x="634"/>
        <item m="1" x="101"/>
        <item m="1" x="188"/>
        <item m="1" x="702"/>
        <item m="1" x="171"/>
        <item m="1" x="839"/>
        <item m="1" x="299"/>
        <item m="1" x="810"/>
        <item m="1" x="269"/>
        <item m="1" x="779"/>
        <item m="1" x="238"/>
        <item m="1" x="749"/>
        <item m="1" x="210"/>
        <item m="1" x="719"/>
        <item m="1" x="181"/>
        <item m="1" x="865"/>
        <item m="1" x="325"/>
        <item m="1" x="834"/>
        <item m="1" x="294"/>
        <item m="1" x="805"/>
        <item m="1" x="264"/>
        <item m="1" x="774"/>
        <item m="1" x="233"/>
        <item m="1" x="744"/>
        <item m="1" x="204"/>
        <item m="1" x="890"/>
        <item m="1" x="352"/>
        <item m="1" x="861"/>
        <item m="1" x="320"/>
        <item m="1" x="829"/>
        <item m="1" x="289"/>
        <item m="1" x="799"/>
        <item m="1" x="259"/>
        <item m="1" x="769"/>
        <item m="1" x="227"/>
        <item m="1" x="911"/>
        <item m="1" x="376"/>
        <item m="1" x="886"/>
        <item m="1" x="347"/>
        <item m="1" x="854"/>
        <item m="1" x="315"/>
        <item m="1" x="823"/>
        <item m="1" x="283"/>
        <item m="1" x="794"/>
        <item m="1" x="253"/>
        <item m="1" x="928"/>
        <item m="1" x="397"/>
        <item m="1" x="906"/>
        <item m="1" x="371"/>
        <item m="1" x="879"/>
        <item m="1" x="341"/>
        <item m="1" x="848"/>
        <item m="1" x="309"/>
        <item m="1" x="819"/>
        <item m="1" x="279"/>
        <item m="1" x="942"/>
        <item m="1" x="413"/>
        <item m="1" x="924"/>
        <item m="1" x="392"/>
        <item m="1" x="901"/>
        <item m="1" x="366"/>
        <item m="1" x="874"/>
        <item m="1" x="337"/>
        <item m="1" x="845"/>
        <item m="1" x="306"/>
        <item m="1" x="952"/>
        <item m="1" x="424"/>
        <item m="1" x="939"/>
        <item m="1" x="409"/>
        <item m="1" x="920"/>
        <item m="1" x="388"/>
        <item m="1" x="897"/>
        <item m="1" x="362"/>
        <item m="1" x="871"/>
        <item m="1" x="334"/>
        <item m="1" x="960"/>
        <item m="1" x="432"/>
        <item m="1" x="949"/>
        <item m="1" x="420"/>
        <item m="1" x="935"/>
        <item m="1" x="405"/>
        <item m="1" x="917"/>
        <item m="1" x="385"/>
        <item m="1" x="894"/>
        <item m="1" x="359"/>
        <item m="1" x="965"/>
        <item m="1" x="436"/>
        <item m="1" x="958"/>
        <item m="1" x="429"/>
        <item m="1" x="946"/>
        <item m="1" x="417"/>
        <item m="1" x="932"/>
        <item m="1" x="402"/>
        <item m="1" x="914"/>
        <item m="1" x="382"/>
        <item m="1" x="868"/>
        <item m="1" x="330"/>
        <item m="1" x="840"/>
        <item m="1" x="300"/>
        <item m="1" x="811"/>
        <item m="1" x="270"/>
        <item m="1" x="780"/>
        <item m="1" x="239"/>
        <item m="1" x="750"/>
        <item m="1" x="211"/>
        <item m="1" x="892"/>
        <item m="1" x="356"/>
        <item m="1" x="866"/>
        <item m="1" x="326"/>
        <item m="1" x="835"/>
        <item m="1" x="295"/>
        <item m="1" x="806"/>
        <item m="1" x="265"/>
        <item m="1" x="775"/>
        <item m="1" x="234"/>
        <item m="1" x="913"/>
        <item m="1" x="380"/>
        <item m="1" x="891"/>
        <item m="1" x="353"/>
        <item m="1" x="862"/>
        <item m="1" x="321"/>
        <item m="1" x="830"/>
        <item m="1" x="290"/>
        <item m="1" x="800"/>
        <item m="1" x="260"/>
        <item m="1" x="931"/>
        <item m="1" x="401"/>
        <item m="1" x="912"/>
        <item m="1" x="377"/>
        <item m="1" x="887"/>
        <item m="1" x="348"/>
        <item m="1" x="855"/>
        <item m="1" x="316"/>
        <item m="1" x="824"/>
        <item m="1" x="284"/>
        <item m="1" x="944"/>
        <item m="1" x="416"/>
        <item m="1" x="929"/>
        <item m="1" x="398"/>
        <item m="1" x="907"/>
        <item m="1" x="372"/>
        <item m="1" x="880"/>
        <item m="1" x="342"/>
        <item m="1" x="849"/>
        <item m="1" x="310"/>
        <item m="1" x="954"/>
        <item m="1" x="428"/>
        <item m="1" x="943"/>
        <item m="1" x="414"/>
        <item m="1" x="925"/>
        <item m="1" x="393"/>
        <item m="1" x="902"/>
        <item m="1" x="367"/>
        <item m="1" x="875"/>
        <item m="1" x="338"/>
        <item m="1" x="962"/>
        <item m="1" x="435"/>
        <item m="1" x="953"/>
        <item m="1" x="425"/>
        <item m="1" x="940"/>
        <item m="1" x="410"/>
        <item m="1" x="921"/>
        <item m="1" x="389"/>
        <item m="1" x="898"/>
        <item m="1" x="363"/>
        <item m="1" x="966"/>
        <item m="1" x="438"/>
        <item m="1" x="961"/>
        <item m="1" x="433"/>
        <item m="1" x="950"/>
        <item m="1" x="421"/>
        <item m="1" x="936"/>
        <item m="1" x="406"/>
        <item m="1" x="246"/>
        <item m="1" x="757"/>
        <item m="1" x="219"/>
        <item m="1" x="726"/>
        <item m="1" x="187"/>
        <item m="1" x="701"/>
        <item m="1" x="170"/>
        <item m="1" x="685"/>
        <item m="1" x="1050"/>
        <item m="1" x="511"/>
        <item m="1" x="1028"/>
        <item m="1" x="486"/>
        <item m="1" x="1000"/>
        <item m="1" x="462"/>
        <item m="1" x="984"/>
        <item m="1" x="447"/>
        <item m="1" x="968"/>
        <item m="1" x="560"/>
        <item m="1" x="786"/>
        <item m="1" x="245"/>
        <item m="1" x="756"/>
        <item m="1" x="218"/>
        <item m="1" x="725"/>
        <item m="1" x="186"/>
        <item m="1" x="700"/>
        <item m="1" x="169"/>
        <item m="1" x="684"/>
        <item m="1" x="298"/>
        <item m="1" x="809"/>
        <item m="1" x="268"/>
        <item m="1" x="778"/>
        <item m="1" x="237"/>
        <item m="1" x="748"/>
        <item m="1" x="209"/>
        <item m="1" x="718"/>
        <item m="1" x="179"/>
        <item m="1" x="694"/>
        <item m="1" x="324"/>
        <item m="1" x="833"/>
        <item m="1" x="293"/>
        <item m="1" x="804"/>
        <item m="1" x="263"/>
        <item m="1" x="773"/>
        <item m="1" x="231"/>
        <item m="1" x="742"/>
        <item m="1" x="202"/>
        <item m="1" x="711"/>
        <item m="1" x="351"/>
        <item m="1" x="859"/>
        <item m="1" x="319"/>
        <item m="1" x="828"/>
        <item m="1" x="287"/>
        <item m="1" x="797"/>
        <item m="1" x="257"/>
        <item m="1" x="767"/>
        <item m="1" x="226"/>
        <item m="1" x="737"/>
        <item m="1" x="375"/>
        <item m="1" x="884"/>
        <item m="1" x="345"/>
        <item m="1" x="852"/>
        <item m="1" x="313"/>
        <item m="1" x="821"/>
        <item m="1" x="282"/>
        <item m="1" x="793"/>
        <item m="1" x="252"/>
        <item m="1" x="762"/>
        <item m="1" x="395"/>
        <item m="1" x="904"/>
        <item m="1" x="369"/>
        <item m="1" x="877"/>
        <item m="1" x="340"/>
        <item m="1" x="847"/>
        <item m="1" x="308"/>
        <item m="1" x="818"/>
        <item m="1" x="278"/>
        <item m="1" x="790"/>
        <item m="1" x="412"/>
        <item m="1" x="923"/>
        <item m="1" x="391"/>
        <item m="1" x="900"/>
        <item m="1" x="365"/>
        <item m="1" x="873"/>
        <item m="1" x="336"/>
        <item m="1" x="844"/>
        <item m="1" x="305"/>
        <item m="1" x="816"/>
        <item m="1" x="423"/>
        <item m="1" x="938"/>
        <item m="1" x="408"/>
        <item m="1" x="919"/>
        <item m="1" x="387"/>
        <item m="1" x="896"/>
        <item m="1" x="361"/>
        <item m="1" x="870"/>
        <item m="1" x="333"/>
        <item m="1" x="842"/>
        <item m="1" x="431"/>
        <item m="1" x="948"/>
        <item m="1" x="419"/>
        <item m="1" x="934"/>
        <item m="1" x="404"/>
        <item m="1" x="916"/>
        <item m="1" x="384"/>
        <item m="1" x="538"/>
        <item m="1" x="1049"/>
        <item m="1" x="510"/>
        <item m="1" x="1027"/>
        <item m="1" x="485"/>
        <item m="1" x="999"/>
        <item m="1" x="461"/>
        <item m="1" x="983"/>
        <item m="1" x="446"/>
        <item m="1" x="1097"/>
        <item m="1" x="559"/>
        <item m="1" x="1073"/>
        <item m="1" x="530"/>
        <item m="1" x="1041"/>
        <item m="1" x="502"/>
        <item m="1" x="1020"/>
        <item m="1" x="478"/>
        <item m="1" x="992"/>
        <item m="1" x="455"/>
        <item m="1" x="1120"/>
        <item m="1" x="581"/>
        <item m="1" x="1091"/>
        <item m="1" x="553"/>
        <item m="1" x="1068"/>
        <item m="1" x="525"/>
        <item m="1" x="1036"/>
        <item m="1" x="496"/>
        <item m="1" x="1014"/>
        <item m="1" x="473"/>
        <item m="1" x="80"/>
        <item m="1" x="598"/>
        <item m="1" x="1116"/>
        <item m="1" x="577"/>
        <item m="1" x="1087"/>
        <item m="1" x="548"/>
        <item m="1" x="275"/>
        <item m="1" x="785"/>
        <item m="1" x="244"/>
        <item m="1" x="755"/>
        <item m="1" x="217"/>
        <item m="1" x="724"/>
        <item m="1" x="185"/>
        <item m="1" x="699"/>
        <item m="1" x="1080"/>
        <item m="1" x="537"/>
        <item m="1" x="1048"/>
        <item m="1" x="509"/>
        <item m="1" x="1026"/>
        <item m="1" x="484"/>
        <item m="1" x="998"/>
        <item m="1" x="460"/>
        <item m="1" x="982"/>
        <item m="1" x="586"/>
        <item m="1" x="1096"/>
        <item m="1" x="540"/>
        <item m="1" x="1053"/>
        <item m="1" x="513"/>
        <item m="1" x="250"/>
        <item m="1" x="761"/>
        <item m="1" x="223"/>
        <item m="1" x="730"/>
        <item m="1" x="191"/>
        <item m="1" x="1055"/>
        <item m="1" x="516"/>
        <item m="1" x="1032"/>
        <item m="1" x="491"/>
        <item m="1" x="1005"/>
        <item m="1" x="467"/>
        <item m="1" x="989"/>
        <item m="1" x="451"/>
        <item m="1" x="970"/>
        <item m="1" x="566"/>
        <item m="1" x="1078"/>
        <item m="1" x="789"/>
        <item m="1" x="249"/>
        <item m="1" x="760"/>
        <item m="1" x="222"/>
        <item m="1" x="729"/>
        <item m="1" x="190"/>
        <item m="1" x="704"/>
        <item m="1" x="174"/>
        <item m="1" x="688"/>
        <item m="1" x="303"/>
        <item m="1" x="814"/>
        <item m="1" x="273"/>
        <item m="1" x="783"/>
        <item m="1" x="242"/>
        <item m="1" x="753"/>
        <item m="1" x="215"/>
        <item m="1" x="722"/>
        <item m="1" x="183"/>
        <item m="1" x="542"/>
        <item m="1" x="1054"/>
        <item m="1" x="515"/>
        <item m="1" x="1031"/>
        <item m="1" x="490"/>
        <item m="1" x="1004"/>
        <item m="1" x="466"/>
        <item m="1" x="988"/>
        <item m="1" x="450"/>
        <item m="1" x="1102"/>
        <item m="1" x="565"/>
        <item m="1" x="1077"/>
        <item m="1" x="535"/>
        <item m="1" x="1046"/>
        <item m="1" x="507"/>
        <item m="1" x="1024"/>
        <item m="1" x="482"/>
        <item m="1" x="996"/>
        <item m="1" x="731"/>
        <item m="1" x="558"/>
        <item m="1" x="168"/>
        <item x="33"/>
        <item x="34"/>
        <item x="35"/>
        <item x="36"/>
        <item m="1" x="945"/>
        <item m="1" x="957"/>
        <item m="1" x="964"/>
        <item m="1" x="860"/>
        <item m="1" x="885"/>
        <item m="1" x="905"/>
        <item m="1" x="620"/>
        <item m="1" x="92"/>
        <item m="1" x="671"/>
        <item m="1" x="141"/>
        <item m="1" x="662"/>
        <item m="1" x="137"/>
        <item m="1" x="654"/>
        <item m="1" x="123"/>
        <item m="1" x="643"/>
        <item m="1" x="1030"/>
        <item m="1" x="488"/>
        <item m="1" x="1003"/>
        <item m="1" x="464"/>
        <item m="1" x="987"/>
        <item m="1" x="448"/>
        <item m="1" x="1100"/>
        <item m="1" x="562"/>
        <item m="1" x="1075"/>
        <item m="1" x="532"/>
        <item m="1" x="1044"/>
        <item m="1" x="504"/>
        <item m="1" x="1023"/>
        <item m="1" x="480"/>
        <item m="1" x="995"/>
        <item m="1" x="457"/>
        <item m="1" x="1122"/>
        <item m="1" x="583"/>
        <item m="1" x="1094"/>
        <item m="1" x="555"/>
        <item m="1" x="1071"/>
        <item m="1" x="527"/>
        <item m="1" x="1039"/>
        <item m="1" x="499"/>
        <item m="1" x="1017"/>
        <item m="1" x="475"/>
        <item m="1" x="83"/>
        <item m="1" x="600"/>
        <item m="1" x="1119"/>
        <item m="1" x="579"/>
        <item m="1" x="1090"/>
        <item m="1" x="551"/>
        <item m="1" x="1067"/>
        <item m="1" x="523"/>
        <item m="1" x="1034"/>
        <item m="1" x="494"/>
        <item m="1" x="100"/>
        <item m="1" x="614"/>
        <item m="1" x="79"/>
        <item m="1" x="596"/>
        <item m="1" x="1115"/>
        <item m="1" x="575"/>
        <item m="1" x="1085"/>
        <item m="1" x="546"/>
        <item m="1" x="1064"/>
        <item m="1" x="520"/>
        <item m="1" x="107"/>
        <item m="1" x="626"/>
        <item m="1" x="97"/>
        <item m="1" x="611"/>
        <item m="1" x="75"/>
        <item m="1" x="592"/>
        <item m="1" x="1112"/>
        <item m="1" x="572"/>
        <item m="1" x="1083"/>
        <item m="1" x="544"/>
        <item m="1" x="121"/>
        <item m="1" x="788"/>
        <item m="1" x="248"/>
        <item m="1" x="759"/>
        <item m="1" x="221"/>
        <item m="1" x="728"/>
        <item m="1" x="189"/>
        <item m="1" x="703"/>
        <item m="1" x="172"/>
        <item m="1" x="687"/>
        <item m="1" x="301"/>
        <item m="1" x="812"/>
        <item m="1" x="271"/>
        <item m="1" x="781"/>
        <item m="1" x="240"/>
        <item m="1" x="751"/>
        <item m="1" x="212"/>
        <item m="1" x="720"/>
        <item m="1" x="182"/>
        <item m="1" x="696"/>
        <item m="1" x="327"/>
        <item m="1" x="836"/>
        <item m="1" x="296"/>
        <item m="1" x="807"/>
        <item m="1" x="266"/>
        <item m="1" x="776"/>
        <item m="1" x="235"/>
        <item m="1" x="745"/>
        <item m="1" x="205"/>
        <item m="1" x="715"/>
        <item m="1" x="354"/>
        <item m="1" x="863"/>
        <item m="1" x="322"/>
        <item m="1" x="831"/>
        <item m="1" x="291"/>
        <item m="1" x="801"/>
        <item m="1" x="261"/>
        <item m="1" x="770"/>
        <item m="1" x="228"/>
        <item m="1" x="740"/>
        <item m="1" x="378"/>
        <item m="1" x="888"/>
        <item m="1" x="349"/>
        <item m="1" x="856"/>
        <item m="1" x="317"/>
        <item m="1" x="825"/>
        <item m="1" x="285"/>
        <item m="1" x="795"/>
        <item m="1" x="254"/>
        <item m="1" x="765"/>
        <item m="1" x="399"/>
        <item m="1" x="908"/>
        <item m="1" x="373"/>
        <item m="1" x="881"/>
        <item m="1" x="343"/>
        <item m="1" x="850"/>
        <item m="1" x="311"/>
        <item m="1" x="820"/>
        <item m="1" x="280"/>
        <item m="1" x="792"/>
        <item m="1" x="415"/>
        <item m="1" x="926"/>
        <item m="1" x="394"/>
        <item m="1" x="903"/>
        <item m="1" x="368"/>
        <item m="1" x="876"/>
        <item m="1" x="339"/>
        <item m="1" x="846"/>
        <item m="1" x="307"/>
        <item m="1" x="817"/>
        <item m="1" x="426"/>
        <item m="1" x="941"/>
        <item m="1" x="411"/>
        <item m="1" x="922"/>
        <item m="1" x="390"/>
        <item m="1" x="899"/>
        <item m="1" x="364"/>
        <item m="1" x="872"/>
        <item m="1" x="335"/>
        <item m="1" x="843"/>
        <item m="1" x="434"/>
        <item m="1" x="951"/>
        <item m="1" x="422"/>
        <item m="1" x="937"/>
        <item m="1" x="407"/>
        <item m="1" x="918"/>
        <item m="1" x="386"/>
        <item m="1" x="895"/>
        <item m="1" x="360"/>
        <item m="1" x="869"/>
        <item m="1" x="437"/>
        <item m="1" x="959"/>
        <item m="1" x="430"/>
        <item m="1" x="947"/>
        <item m="1" x="418"/>
        <item m="1" x="933"/>
        <item m="1" x="403"/>
        <item m="1" x="915"/>
        <item m="1" x="383"/>
        <item m="1" x="893"/>
        <item m="1" x="331"/>
        <item m="1" x="841"/>
        <item m="1" x="302"/>
        <item m="1" x="813"/>
        <item m="1" x="272"/>
        <item m="1" x="782"/>
        <item m="1" x="241"/>
        <item m="1" x="752"/>
        <item m="1" x="213"/>
        <item m="1" x="721"/>
        <item m="1" x="357"/>
        <item m="1" x="867"/>
        <item m="1" x="328"/>
        <item m="1" x="837"/>
        <item x="71"/>
        <item m="1" x="713"/>
        <item m="1" x="738"/>
        <item m="1" x="763"/>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compact="0" showAll="0" defaultSubtotal="0">
      <items count="1505">
        <item m="1" x="589"/>
        <item m="1" x="728"/>
        <item m="1" x="1036"/>
        <item m="1" x="628"/>
        <item m="1" x="340"/>
        <item m="1" x="978"/>
        <item m="1" x="701"/>
        <item m="1" x="236"/>
        <item m="1" x="876"/>
        <item m="1" x="1070"/>
        <item m="1" x="706"/>
        <item m="1" x="1364"/>
        <item m="1" x="824"/>
        <item m="1" x="330"/>
        <item m="1" x="609"/>
        <item m="1" x="405"/>
        <item m="1" x="473"/>
        <item m="1" x="272"/>
        <item m="1" x="240"/>
        <item m="1" x="1381"/>
        <item m="1" x="353"/>
        <item m="1" x="137"/>
        <item m="1" x="1190"/>
        <item m="1" x="526"/>
        <item m="1" x="1422"/>
        <item m="1" x="830"/>
        <item m="1" x="339"/>
        <item m="1" x="1118"/>
        <item m="1" x="723"/>
        <item m="1" x="118"/>
        <item m="1" x="119"/>
        <item m="1" x="574"/>
        <item m="1" x="283"/>
        <item m="1" x="284"/>
        <item m="1" x="1001"/>
        <item m="1" x="1372"/>
        <item m="1" x="1135"/>
        <item m="1" x="310"/>
        <item m="1" x="1220"/>
        <item m="1" x="975"/>
        <item m="1" x="264"/>
        <item m="1" x="1309"/>
        <item m="1" x="458"/>
        <item m="1" x="779"/>
        <item m="1" x="201"/>
        <item m="1" x="827"/>
        <item m="1" x="1086"/>
        <item m="1" x="408"/>
        <item m="1" x="590"/>
        <item m="1" x="1425"/>
        <item m="1" x="492"/>
        <item m="1" x="1203"/>
        <item m="1" x="600"/>
        <item x="11"/>
        <item m="1" x="345"/>
        <item m="1" x="983"/>
        <item m="1" x="358"/>
        <item m="1" x="258"/>
        <item m="1" x="1023"/>
        <item m="1" x="675"/>
        <item m="1" x="144"/>
        <item m="1" x="267"/>
        <item m="1" x="1213"/>
        <item m="1" x="569"/>
        <item m="1" x="1030"/>
        <item m="1" x="289"/>
        <item m="1" x="286"/>
        <item m="1" x="1028"/>
        <item m="1" x="1006"/>
        <item m="1" x="529"/>
        <item m="1" x="452"/>
        <item m="1" x="523"/>
        <item m="1" x="278"/>
        <item m="1" x="1265"/>
        <item m="1" x="460"/>
        <item m="1" x="302"/>
        <item m="1" x="1106"/>
        <item m="1" x="1002"/>
        <item m="1" x="1087"/>
        <item m="1" x="775"/>
        <item m="1" x="359"/>
        <item m="1" x="627"/>
        <item m="1" x="652"/>
        <item m="1" x="309"/>
        <item m="1" x="869"/>
        <item m="1" x="587"/>
        <item m="1" x="1119"/>
        <item m="1" x="341"/>
        <item m="1" x="762"/>
        <item m="1" x="1178"/>
        <item m="1" x="805"/>
        <item m="1" x="710"/>
        <item m="1" x="711"/>
        <item m="1" x="1095"/>
        <item m="1" x="111"/>
        <item m="1" x="546"/>
        <item m="1" x="1377"/>
        <item m="1" x="1481"/>
        <item m="1" x="518"/>
        <item m="1" x="203"/>
        <item m="1" x="924"/>
        <item m="1" x="544"/>
        <item m="1" x="734"/>
        <item m="1" x="1091"/>
        <item m="1" x="519"/>
        <item m="1" x="727"/>
        <item m="1" x="691"/>
        <item m="1" x="905"/>
        <item m="1" x="767"/>
        <item m="1" x="204"/>
        <item m="1" x="472"/>
        <item m="1" x="1321"/>
        <item m="1" x="224"/>
        <item m="1" x="679"/>
        <item m="1" x="1153"/>
        <item m="1" x="206"/>
        <item m="1" x="621"/>
        <item m="1" x="1192"/>
        <item m="1" x="485"/>
        <item m="1" x="619"/>
        <item m="1" x="200"/>
        <item m="1" x="610"/>
        <item m="1" x="952"/>
        <item m="1" x="1441"/>
        <item m="1" x="1262"/>
        <item m="1" x="1201"/>
        <item m="1" x="1051"/>
        <item m="1" x="1328"/>
        <item m="1" x="1189"/>
        <item m="1" x="499"/>
        <item m="1" x="490"/>
        <item m="1" x="336"/>
        <item m="1" x="813"/>
        <item m="1" x="1311"/>
        <item m="1" x="645"/>
        <item m="1" x="1229"/>
        <item m="1" x="211"/>
        <item m="1" x="296"/>
        <item m="1" x="1249"/>
        <item m="1" x="623"/>
        <item m="1" x="1259"/>
        <item m="1" x="1396"/>
        <item m="1" x="588"/>
        <item m="1" x="383"/>
        <item m="1" x="1149"/>
        <item m="1" x="394"/>
        <item m="1" x="425"/>
        <item m="1" x="640"/>
        <item m="1" x="314"/>
        <item m="1" x="1410"/>
        <item m="1" x="271"/>
        <item m="1" x="498"/>
        <item m="1" x="885"/>
        <item m="1" x="385"/>
        <item m="1" x="1038"/>
        <item m="1" x="178"/>
        <item m="1" x="346"/>
        <item m="1" x="776"/>
        <item m="1" x="146"/>
        <item m="1" x="934"/>
        <item m="1" x="194"/>
        <item m="1" x="395"/>
        <item m="1" x="707"/>
        <item m="1" x="1409"/>
        <item m="1" x="708"/>
        <item m="1" x="1263"/>
        <item m="1" x="823"/>
        <item x="47"/>
        <item m="1" x="973"/>
        <item m="1" x="950"/>
        <item m="1" x="936"/>
        <item m="1" x="288"/>
        <item m="1" x="401"/>
        <item m="1" x="1353"/>
        <item m="1" x="285"/>
        <item m="1" x="455"/>
        <item m="1" x="1145"/>
        <item m="1" x="954"/>
        <item m="1" x="542"/>
        <item m="1" x="115"/>
        <item m="1" x="252"/>
        <item m="1" x="131"/>
        <item m="1" x="213"/>
        <item m="1" x="570"/>
        <item m="1" x="229"/>
        <item m="1" x="270"/>
        <item m="1" x="300"/>
        <item m="1" x="979"/>
        <item m="1" x="1142"/>
        <item m="1" x="1179"/>
        <item m="1" x="1335"/>
        <item m="1" x="120"/>
        <item m="1" x="1180"/>
        <item m="1" x="1336"/>
        <item m="1" x="121"/>
        <item m="1" x="325"/>
        <item m="1" x="470"/>
        <item m="1" x="1147"/>
        <item m="1" x="1341"/>
        <item m="1" x="1446"/>
        <item x="3"/>
        <item m="1" x="1362"/>
        <item m="1" x="608"/>
        <item m="1" x="981"/>
        <item m="1" x="1040"/>
        <item m="1" x="1317"/>
        <item m="1" x="1099"/>
        <item m="1" x="481"/>
        <item m="1" x="837"/>
        <item m="1" x="736"/>
        <item m="1" x="475"/>
        <item m="1" x="469"/>
        <item m="1" x="1027"/>
        <item m="1" x="760"/>
        <item m="1" x="230"/>
        <item m="1" x="995"/>
        <item m="1" x="1208"/>
        <item m="1" x="503"/>
        <item m="1" x="388"/>
        <item m="1" x="953"/>
        <item m="1" x="962"/>
        <item m="1" x="686"/>
        <item m="1" x="1283"/>
        <item m="1" x="1108"/>
        <item m="1" x="1264"/>
        <item m="1" x="1133"/>
        <item m="1" x="1032"/>
        <item m="1" x="769"/>
        <item m="1" x="1450"/>
        <item m="1" x="702"/>
        <item m="1" x="217"/>
        <item m="1" x="371"/>
        <item x="10"/>
        <item m="1" x="1495"/>
        <item m="1" x="362"/>
        <item m="1" x="172"/>
        <item m="1" x="515"/>
        <item m="1" x="1488"/>
        <item m="1" x="500"/>
        <item m="1" x="1401"/>
        <item m="1" x="157"/>
        <item m="1" x="568"/>
        <item m="1" x="581"/>
        <item m="1" x="630"/>
        <item m="1" x="368"/>
        <item m="1" x="1400"/>
        <item m="1" x="1390"/>
        <item m="1" x="1089"/>
        <item m="1" x="576"/>
        <item m="1" x="372"/>
        <item m="1" x="752"/>
        <item m="1" x="255"/>
        <item m="1" x="836"/>
        <item m="1" x="853"/>
        <item m="1" x="1301"/>
        <item m="1" x="317"/>
        <item m="1" x="462"/>
        <item m="1" x="257"/>
        <item m="1" x="210"/>
        <item m="1" x="1069"/>
        <item m="1" x="1501"/>
        <item m="1" x="265"/>
        <item m="1" x="1222"/>
        <item m="1" x="774"/>
        <item m="1" x="479"/>
        <item m="1" x="968"/>
        <item m="1" x="858"/>
        <item m="1" x="1462"/>
        <item m="1" x="189"/>
        <item m="1" x="366"/>
        <item m="1" x="397"/>
        <item m="1" x="1167"/>
        <item m="1" x="646"/>
        <item m="1" x="866"/>
        <item m="1" x="955"/>
        <item m="1" x="1157"/>
        <item m="1" x="899"/>
        <item m="1" x="1434"/>
        <item m="1" x="369"/>
        <item m="1" x="450"/>
        <item x="30"/>
        <item m="1" x="844"/>
        <item m="1" x="1352"/>
        <item m="1" x="1015"/>
        <item m="1" x="994"/>
        <item m="1" x="489"/>
        <item m="1" x="871"/>
        <item m="1" x="248"/>
        <item m="1" x="976"/>
        <item m="1" x="578"/>
        <item m="1" x="328"/>
        <item m="1" x="681"/>
        <item m="1" x="167"/>
        <item m="1" x="712"/>
        <item m="1" x="605"/>
        <item m="1" x="1168"/>
        <item m="1" x="1219"/>
        <item m="1" x="1376"/>
        <item m="1" x="537"/>
        <item m="1" x="988"/>
        <item m="1" x="234"/>
        <item m="1" x="944"/>
        <item m="1" x="703"/>
        <item m="1" x="631"/>
        <item m="1" x="453"/>
        <item m="1" x="1034"/>
        <item m="1" x="841"/>
        <item m="1" x="1115"/>
        <item m="1" x="316"/>
        <item m="1" x="847"/>
        <item m="1" x="848"/>
        <item m="1" x="946"/>
        <item m="1" x="1419"/>
        <item m="1" x="1114"/>
        <item m="1" x="329"/>
        <item m="1" x="969"/>
        <item m="1" x="1185"/>
        <item m="1" x="129"/>
        <item m="1" x="1417"/>
        <item m="1" x="1256"/>
        <item m="1" x="1412"/>
        <item m="1" x="1093"/>
        <item m="1" x="1363"/>
        <item m="1" x="1475"/>
        <item m="1" x="1329"/>
        <item m="1" x="1338"/>
        <item m="1" x="766"/>
        <item m="1" x="951"/>
        <item m="1" x="777"/>
        <item m="1" x="1166"/>
        <item m="1" x="729"/>
        <item m="1" x="1281"/>
        <item m="1" x="436"/>
        <item m="1" x="602"/>
        <item m="1" x="1429"/>
        <item m="1" x="972"/>
        <item m="1" x="342"/>
        <item m="1" x="116"/>
        <item m="1" x="781"/>
        <item m="1" x="622"/>
        <item m="1" x="182"/>
        <item m="1" x="806"/>
        <item m="1" x="911"/>
        <item m="1" x="1170"/>
        <item x="32"/>
        <item m="1" x="357"/>
        <item m="1" x="1138"/>
        <item m="1" x="1005"/>
        <item m="1" x="1020"/>
        <item m="1" x="352"/>
        <item m="1" x="671"/>
        <item m="1" x="678"/>
        <item m="1" x="838"/>
        <item m="1" x="803"/>
        <item m="1" x="804"/>
        <item m="1" x="322"/>
        <item m="1" x="262"/>
        <item m="1" x="320"/>
        <item m="1" x="337"/>
        <item m="1" x="763"/>
        <item m="1" x="764"/>
        <item m="1" x="1483"/>
        <item m="1" x="1484"/>
        <item m="1" x="1128"/>
        <item m="1" x="722"/>
        <item m="1" x="457"/>
        <item m="1" x="1100"/>
        <item m="1" x="495"/>
        <item m="1" x="1227"/>
        <item m="1" x="491"/>
        <item m="1" x="1415"/>
        <item m="1" x="402"/>
        <item m="1" x="382"/>
        <item m="1" x="249"/>
        <item m="1" x="802"/>
        <item m="1" x="373"/>
        <item m="1" x="1375"/>
        <item m="1" x="1391"/>
        <item m="1" x="654"/>
        <item m="1" x="528"/>
        <item m="1" x="606"/>
        <item m="1" x="1485"/>
        <item m="1" x="128"/>
        <item m="1" x="1257"/>
        <item m="1" x="109"/>
        <item m="1" x="694"/>
        <item m="1" x="584"/>
        <item m="1" x="193"/>
        <item m="1" x="575"/>
        <item m="1" x="696"/>
        <item m="1" x="160"/>
        <item m="1" x="1411"/>
        <item m="1" x="787"/>
        <item m="1" x="601"/>
        <item m="1" x="1277"/>
        <item m="1" x="922"/>
        <item m="1" x="1072"/>
        <item m="1" x="1241"/>
        <item m="1" x="202"/>
        <item m="1" x="1337"/>
        <item m="1" x="501"/>
        <item m="1" x="620"/>
        <item m="1" x="870"/>
        <item m="1" x="1325"/>
        <item m="1" x="242"/>
        <item m="1" x="260"/>
        <item m="1" x="1431"/>
        <item m="1" x="961"/>
        <item m="1" x="888"/>
        <item m="1" x="742"/>
        <item m="1" x="207"/>
        <item m="1" x="1198"/>
        <item m="1" x="788"/>
        <item m="1" x="558"/>
        <item m="1" x="674"/>
        <item m="1" x="1420"/>
        <item m="1" x="980"/>
        <item m="1" x="232"/>
        <item m="1" x="507"/>
        <item m="1" x="104"/>
        <item m="1" x="333"/>
        <item m="1" x="171"/>
        <item m="1" x="292"/>
        <item m="1" x="1439"/>
        <item m="1" x="199"/>
        <item m="1" x="790"/>
        <item m="1" x="1346"/>
        <item m="1" x="1065"/>
        <item m="1" x="514"/>
        <item m="1" x="822"/>
        <item m="1" x="1244"/>
        <item m="1" x="1137"/>
        <item m="1" x="348"/>
        <item m="1" x="536"/>
        <item m="1" x="1156"/>
        <item m="1" x="755"/>
        <item m="1" x="798"/>
        <item m="1" x="845"/>
        <item m="1" x="1300"/>
        <item m="1" x="512"/>
        <item m="1" x="1399"/>
        <item m="1" x="356"/>
        <item m="1" x="280"/>
        <item m="1" x="313"/>
        <item m="1" x="463"/>
        <item m="1" x="1295"/>
        <item m="1" x="945"/>
        <item m="1" x="295"/>
        <item m="1" x="438"/>
        <item m="1" x="386"/>
        <item m="1" x="276"/>
        <item m="1" x="1048"/>
        <item m="1" x="277"/>
        <item m="1" x="1046"/>
        <item m="1" x="103"/>
        <item m="1" x="650"/>
        <item m="1" x="451"/>
        <item m="1" x="1011"/>
        <item m="1" x="251"/>
        <item m="1" x="161"/>
        <item m="1" x="1255"/>
        <item m="1" x="807"/>
        <item m="1" x="461"/>
        <item m="1" x="1405"/>
        <item m="1" x="403"/>
        <item m="1" x="919"/>
        <item m="1" x="571"/>
        <item m="1" x="1084"/>
        <item m="1" x="1082"/>
        <item m="1" x="1394"/>
        <item m="1" x="965"/>
        <item m="1" x="1215"/>
        <item m="1" x="446"/>
        <item m="1" x="233"/>
        <item m="1" x="753"/>
        <item m="1" x="987"/>
        <item m="1" x="1022"/>
        <item m="1" x="1164"/>
        <item m="1" x="541"/>
        <item m="1" x="1500"/>
        <item m="1" x="165"/>
        <item m="1" x="231"/>
        <item m="1" x="1144"/>
        <item m="1" x="412"/>
        <item m="1" x="817"/>
        <item m="1" x="586"/>
        <item m="1" x="1207"/>
        <item m="1" x="604"/>
        <item m="1" x="1502"/>
        <item m="1" x="1306"/>
        <item m="1" x="1085"/>
        <item m="1" x="1214"/>
        <item m="1" x="1242"/>
        <item m="1" x="1282"/>
        <item m="1" x="1303"/>
        <item m="1" x="293"/>
        <item m="1" x="294"/>
        <item m="1" x="1136"/>
        <item m="1" x="1103"/>
        <item m="1" x="854"/>
        <item m="1" x="530"/>
        <item m="1" x="471"/>
        <item m="1" x="493"/>
        <item m="1" x="105"/>
        <item m="1" x="531"/>
        <item m="1" x="406"/>
        <item m="1" x="1297"/>
        <item m="1" x="1188"/>
        <item m="1" x="563"/>
        <item m="1" x="441"/>
        <item m="1" x="1226"/>
        <item m="1" x="1331"/>
        <item m="1" x="347"/>
        <item m="1" x="572"/>
        <item m="1" x="1092"/>
        <item m="1" x="577"/>
        <item m="1" x="993"/>
        <item m="1" x="535"/>
        <item m="1" x="389"/>
        <item m="1" x="1113"/>
        <item m="1" x="559"/>
        <item m="1" x="1271"/>
        <item m="1" x="1270"/>
        <item m="1" x="410"/>
        <item m="1" x="908"/>
        <item m="1" x="662"/>
        <item m="1" x="1210"/>
        <item m="1" x="1356"/>
        <item m="1" x="134"/>
        <item m="1" x="275"/>
        <item m="1" x="984"/>
        <item m="1" x="521"/>
        <item m="1" x="520"/>
        <item m="1" x="1447"/>
        <item m="1" x="1448"/>
        <item m="1" x="1129"/>
        <item m="1" x="1342"/>
        <item m="1" x="868"/>
        <item m="1" x="967"/>
        <item m="1" x="174"/>
        <item m="1" x="184"/>
        <item m="1" x="474"/>
        <item m="1" x="1223"/>
        <item m="1" x="127"/>
        <item m="1" x="1224"/>
        <item m="1" x="758"/>
        <item m="1" x="1314"/>
        <item m="1" x="365"/>
        <item m="1" x="225"/>
        <item m="1" x="1397"/>
        <item m="1" x="1090"/>
        <item m="1" x="477"/>
        <item m="1" x="948"/>
        <item m="1" x="741"/>
        <item m="1" x="704"/>
        <item m="1" x="852"/>
        <item m="1" x="1308"/>
        <item m="1" x="1280"/>
        <item m="1" x="898"/>
        <item m="1" x="179"/>
        <item m="1" x="417"/>
        <item m="1" x="947"/>
        <item m="1" x="349"/>
        <item m="1" x="772"/>
        <item m="1" x="1236"/>
        <item m="1" x="253"/>
        <item m="1" x="192"/>
        <item m="1" x="1302"/>
        <item m="1" x="638"/>
        <item m="1" x="909"/>
        <item m="1" x="447"/>
        <item m="1" x="635"/>
        <item m="1" x="716"/>
        <item m="1" x="423"/>
        <item m="1" x="561"/>
        <item m="1" x="404"/>
        <item m="1" x="685"/>
        <item m="1" x="1047"/>
        <item m="1" x="1003"/>
        <item m="1" x="1493"/>
        <item m="1" x="689"/>
        <item m="1" x="261"/>
        <item m="1" x="756"/>
        <item m="1" x="1284"/>
        <item m="1" x="956"/>
        <item m="1" x="773"/>
        <item m="1" x="169"/>
        <item m="1" x="796"/>
        <item m="1" x="486"/>
        <item m="1" x="476"/>
        <item m="1" x="724"/>
        <item m="1" x="170"/>
        <item m="1" x="239"/>
        <item m="1" x="1389"/>
        <item m="1" x="1435"/>
        <item m="1" x="1035"/>
        <item m="1" x="1385"/>
        <item m="1" x="719"/>
        <item m="1" x="1140"/>
        <item m="1" x="117"/>
        <item m="1" x="1479"/>
        <item m="1" x="778"/>
        <item m="1" x="720"/>
        <item m="1" x="1120"/>
        <item m="1" x="903"/>
        <item m="1" x="344"/>
        <item m="1" x="637"/>
        <item m="1" x="1132"/>
        <item m="1" x="585"/>
        <item m="1" x="698"/>
        <item m="1" x="877"/>
        <item m="1" x="195"/>
        <item m="1" x="918"/>
        <item m="1" x="687"/>
        <item m="1" x="1260"/>
        <item m="1" x="1503"/>
        <item m="1" x="1031"/>
        <item m="1" x="828"/>
        <item m="1" x="1305"/>
        <item m="1" x="1202"/>
        <item m="1" x="173"/>
        <item m="1" x="737"/>
        <item m="1" x="656"/>
        <item m="1" x="533"/>
        <item m="1" x="989"/>
        <item m="1" x="839"/>
        <item m="1" x="1161"/>
        <item m="1" x="449"/>
        <item m="1" x="307"/>
        <item m="1" x="219"/>
        <item m="1" x="607"/>
        <item m="1" x="431"/>
        <item m="1" x="163"/>
        <item m="1" x="1045"/>
        <item m="1" x="456"/>
        <item m="1" x="851"/>
        <item m="1" x="649"/>
        <item m="1" x="483"/>
        <item m="1" x="982"/>
        <item m="1" x="1101"/>
        <item m="1" x="1018"/>
        <item m="1" x="1245"/>
        <item x="15"/>
        <item m="1" x="363"/>
        <item m="1" x="1239"/>
        <item m="1" x="846"/>
        <item m="1" x="1322"/>
        <item m="1" x="303"/>
        <item m="1" x="913"/>
        <item m="1" x="1110"/>
        <item m="1" x="1347"/>
        <item m="1" x="1251"/>
        <item m="1" x="381"/>
        <item m="1" x="991"/>
        <item m="1" x="1126"/>
        <item m="1" x="560"/>
        <item m="1" x="376"/>
        <item m="1" x="651"/>
        <item m="1" x="237"/>
        <item m="1" x="1152"/>
        <item m="1" x="926"/>
        <item m="1" x="222"/>
        <item m="1" x="1134"/>
        <item m="1" x="1163"/>
        <item m="1" x="135"/>
        <item m="1" x="335"/>
        <item m="1" x="709"/>
        <item m="1" x="188"/>
        <item m="1" x="439"/>
        <item m="1" x="1014"/>
        <item m="1" x="326"/>
        <item m="1" x="1258"/>
        <item m="1" x="818"/>
        <item m="1" x="676"/>
        <item m="1" x="971"/>
        <item m="1" x="668"/>
        <item m="1" x="690"/>
        <item m="1" x="664"/>
        <item m="1" x="901"/>
        <item m="1" x="565"/>
        <item m="1" x="287"/>
        <item m="1" x="1275"/>
        <item m="1" x="164"/>
        <item m="1" x="1171"/>
        <item m="1" x="393"/>
        <item m="1" x="865"/>
        <item m="1" x="1473"/>
        <item m="1" x="180"/>
        <item m="1" x="624"/>
        <item m="1" x="123"/>
        <item m="1" x="882"/>
        <item m="1" x="1111"/>
        <item m="1" x="1482"/>
        <item m="1" x="497"/>
        <item m="1" x="422"/>
        <item m="1" x="797"/>
        <item m="1" x="430"/>
        <item m="1" x="1102"/>
        <item m="1" x="1466"/>
        <item m="1" x="319"/>
        <item m="1" x="784"/>
        <item m="1" x="482"/>
        <item m="1" x="1139"/>
        <item m="1" x="250"/>
        <item m="1" x="639"/>
        <item m="1" x="1248"/>
        <item m="1" x="1486"/>
        <item m="1" x="168"/>
        <item m="1" x="831"/>
        <item m="1" x="594"/>
        <item m="1" x="970"/>
        <item m="1" x="1024"/>
        <item m="1" x="1162"/>
        <item m="1" x="930"/>
        <item m="1" x="133"/>
        <item m="1" x="516"/>
        <item m="1" x="384"/>
        <item m="1" x="768"/>
        <item m="1" x="361"/>
        <item m="1" x="1357"/>
        <item m="1" x="1037"/>
        <item m="1" x="1253"/>
        <item m="1" x="440"/>
        <item m="1" x="1494"/>
        <item m="1" x="912"/>
        <item m="1" x="435"/>
        <item m="1" x="1477"/>
        <item m="1" x="1476"/>
        <item m="1" x="185"/>
        <item m="1" x="312"/>
        <item m="1" x="355"/>
        <item m="1" x="1489"/>
        <item m="1" x="591"/>
        <item m="1" x="860"/>
        <item m="1" x="592"/>
        <item m="1" x="739"/>
        <item m="1" x="1359"/>
        <item m="1" x="332"/>
        <item m="1" x="959"/>
        <item m="1" x="175"/>
        <item m="1" x="1272"/>
        <item m="1" x="943"/>
        <item m="1" x="740"/>
        <item m="1" x="459"/>
        <item m="1" x="923"/>
        <item m="1" x="502"/>
        <item m="1" x="198"/>
        <item m="1" x="1141"/>
        <item m="1" x="887"/>
        <item m="1" x="1383"/>
        <item m="1" x="1250"/>
        <item m="1" x="517"/>
        <item m="1" x="415"/>
        <item m="1" x="196"/>
        <item m="1" x="974"/>
        <item m="1" x="122"/>
        <item m="1" x="1299"/>
        <item m="1" x="496"/>
        <item m="1" x="433"/>
        <item m="1" x="872"/>
        <item m="1" x="238"/>
        <item m="1" x="1408"/>
        <item m="1" x="205"/>
        <item m="1" x="857"/>
        <item m="1" x="789"/>
        <item m="1" x="1148"/>
        <item m="1" x="580"/>
        <item m="1" x="1197"/>
        <item m="1" x="113"/>
        <item m="1" x="1423"/>
        <item m="1" x="717"/>
        <item m="1" x="176"/>
        <item m="1" x="142"/>
        <item m="1" x="1487"/>
        <item m="1" x="1169"/>
        <item m="1" x="1266"/>
        <item m="1" x="427"/>
        <item m="1" x="538"/>
        <item m="1" x="1320"/>
        <item m="1" x="291"/>
        <item m="1" x="667"/>
        <item m="1" x="282"/>
        <item m="1" x="765"/>
        <item m="1" x="878"/>
        <item m="1" x="1288"/>
        <item m="1" x="1298"/>
        <item m="1" x="1313"/>
        <item m="1" x="904"/>
        <item m="1" x="886"/>
        <item m="1" x="360"/>
        <item m="1" x="527"/>
        <item m="1" x="1155"/>
        <item m="1" x="110"/>
        <item m="1" x="1285"/>
        <item m="1" x="648"/>
        <item m="1" x="241"/>
        <item m="1" x="791"/>
        <item m="1" x="759"/>
        <item m="1" x="1218"/>
        <item m="1" x="399"/>
        <item m="1" x="929"/>
        <item m="1" x="1294"/>
        <item m="1" x="733"/>
        <item m="1" x="549"/>
        <item m="1" x="454"/>
        <item m="1" x="855"/>
        <item m="1" x="1360"/>
        <item m="1" x="567"/>
        <item m="1" x="304"/>
        <item m="1" x="731"/>
        <item m="1" x="725"/>
        <item m="1" x="1430"/>
        <item m="1" x="1414"/>
        <item m="1" x="1465"/>
        <item m="1" x="1480"/>
        <item m="1" x="364"/>
        <item m="1" x="387"/>
        <item m="1" x="751"/>
        <item m="1" x="540"/>
        <item m="1" x="1361"/>
        <item m="1" x="298"/>
        <item m="1" x="467"/>
        <item m="1" x="1088"/>
        <item m="1" x="566"/>
        <item m="1" x="738"/>
        <item m="1" x="815"/>
        <item m="1" x="599"/>
        <item m="1" x="880"/>
        <item m="1" x="879"/>
        <item m="1" x="323"/>
        <item m="1" x="1316"/>
        <item m="1" x="138"/>
        <item m="1" x="226"/>
        <item m="1" x="927"/>
        <item m="1" x="801"/>
        <item m="1" x="782"/>
        <item m="1" x="245"/>
        <item m="1" x="1200"/>
        <item m="1" x="1469"/>
        <item m="1" x="243"/>
        <item m="1" x="1041"/>
        <item m="1" x="1471"/>
        <item m="1" x="859"/>
        <item m="1" x="1073"/>
        <item m="1" x="1472"/>
        <item m="1" x="1387"/>
        <item m="1" x="963"/>
        <item m="1" x="1217"/>
        <item m="1" x="468"/>
        <item m="1" x="1378"/>
        <item m="1" x="1009"/>
        <item m="1" x="1112"/>
        <item m="1" x="1228"/>
        <item m="1" x="1384"/>
        <item m="1" x="414"/>
        <item m="1" x="256"/>
        <item m="1" x="1221"/>
        <item m="1" x="1438"/>
        <item m="1" x="1187"/>
        <item m="1" x="1199"/>
        <item x="55"/>
        <item m="1" x="1382"/>
        <item m="1" x="214"/>
        <item m="1" x="949"/>
        <item m="1" x="1491"/>
        <item m="1" x="1158"/>
        <item m="1" x="416"/>
        <item m="1" x="820"/>
        <item m="1" x="484"/>
        <item m="1" x="921"/>
        <item m="1" x="159"/>
        <item m="1" x="351"/>
        <item m="1" x="442"/>
        <item m="1" x="443"/>
        <item m="1" x="444"/>
        <item m="1" x="274"/>
        <item m="1" x="273"/>
        <item m="1" x="379"/>
        <item m="1" x="643"/>
        <item m="1" x="1044"/>
        <item m="1" x="315"/>
        <item m="1" x="1492"/>
        <item m="1" x="254"/>
        <item m="1" x="508"/>
        <item m="1" x="190"/>
        <item m="1" x="140"/>
        <item m="1" x="1279"/>
        <item m="1" x="1104"/>
        <item m="1" x="532"/>
        <item m="1" x="246"/>
        <item m="1" x="1296"/>
        <item m="1" x="420"/>
        <item m="1" x="1343"/>
        <item m="1" x="155"/>
        <item m="1" x="413"/>
        <item m="1" x="1026"/>
        <item m="1" x="786"/>
        <item m="1" x="1323"/>
        <item m="1" x="1000"/>
        <item m="1" x="761"/>
        <item m="1" x="1379"/>
        <item m="1" x="705"/>
        <item m="1" x="1274"/>
        <item m="1" x="1427"/>
        <item m="1" x="197"/>
        <item m="1" x="1461"/>
        <item m="1" x="653"/>
        <item m="1" x="856"/>
        <item m="1" x="398"/>
        <item m="1" x="1267"/>
        <item m="1" x="126"/>
        <item m="1" x="1373"/>
        <item m="1" x="695"/>
        <item m="1" x="1172"/>
        <item m="1" x="1173"/>
        <item m="1" x="1174"/>
        <item m="1" x="1175"/>
        <item m="1" x="1176"/>
        <item m="1" x="1177"/>
        <item m="1" x="1463"/>
        <item m="1" x="1464"/>
        <item m="1" x="1230"/>
        <item m="1" x="1231"/>
        <item m="1" x="1232"/>
        <item m="1" x="1233"/>
        <item m="1" x="1234"/>
        <item m="1" x="1235"/>
        <item m="1" x="670"/>
        <item m="1" x="562"/>
        <item m="1" x="1122"/>
        <item m="1" x="799"/>
        <item m="1" x="1497"/>
        <item m="1" x="1498"/>
        <item m="1" x="1496"/>
        <item m="1" x="1499"/>
        <item m="1" x="1097"/>
        <item m="1" x="1098"/>
        <item m="1" x="1395"/>
        <item m="1" x="488"/>
        <item m="1" x="726"/>
        <item m="1" x="1348"/>
        <item m="1" x="832"/>
        <item m="1" x="1123"/>
        <item m="1" x="829"/>
        <item m="1" x="411"/>
        <item m="1" x="693"/>
        <item m="1" x="1269"/>
        <item m="1" x="1182"/>
        <item m="1" x="108"/>
        <item m="1" x="1358"/>
        <item m="1" x="297"/>
        <item m="1" x="977"/>
        <item m="1" x="1053"/>
        <item m="1" x="1054"/>
        <item m="1" x="1055"/>
        <item m="1" x="1056"/>
        <item m="1" x="1057"/>
        <item m="1" x="1058"/>
        <item m="1" x="1059"/>
        <item m="1" x="1060"/>
        <item m="1" x="1061"/>
        <item m="1" x="1062"/>
        <item m="1" x="1063"/>
        <item m="1" x="1064"/>
        <item m="1" x="147"/>
        <item m="1" x="148"/>
        <item m="1" x="149"/>
        <item m="1" x="150"/>
        <item m="1" x="151"/>
        <item m="1" x="152"/>
        <item m="1" x="153"/>
        <item m="1" x="154"/>
        <item m="1" x="611"/>
        <item m="1" x="612"/>
        <item m="1" x="613"/>
        <item m="1" x="614"/>
        <item m="1" x="615"/>
        <item m="1" x="616"/>
        <item m="1" x="617"/>
        <item m="1" x="618"/>
        <item m="1" x="890"/>
        <item m="1" x="891"/>
        <item m="1" x="892"/>
        <item m="1" x="893"/>
        <item m="1" x="894"/>
        <item m="1" x="895"/>
        <item m="1" x="896"/>
        <item m="1" x="897"/>
        <item m="1" x="1350"/>
        <item m="1" x="1351"/>
        <item m="1" x="937"/>
        <item m="1" x="938"/>
        <item m="1" x="939"/>
        <item m="1" x="940"/>
        <item m="1" x="941"/>
        <item m="1" x="942"/>
        <item m="1" x="1365"/>
        <item m="1" x="1366"/>
        <item m="1" x="1367"/>
        <item m="1" x="1368"/>
        <item m="1" x="1369"/>
        <item m="1" x="1370"/>
        <item m="1" x="743"/>
        <item m="1" x="744"/>
        <item m="1" x="745"/>
        <item m="1" x="746"/>
        <item m="1" x="747"/>
        <item m="1" x="748"/>
        <item m="1" x="749"/>
        <item m="1" x="750"/>
        <item m="1" x="1453"/>
        <item m="1" x="1454"/>
        <item m="1" x="1455"/>
        <item m="1" x="1456"/>
        <item m="1" x="1457"/>
        <item m="1" x="1458"/>
        <item m="1" x="1459"/>
        <item m="1" x="1460"/>
        <item m="1" x="550"/>
        <item m="1" x="551"/>
        <item m="1" x="552"/>
        <item m="1" x="553"/>
        <item m="1" x="554"/>
        <item m="1" x="555"/>
        <item m="1" x="556"/>
        <item m="1" x="557"/>
        <item m="1" x="1074"/>
        <item m="1" x="1075"/>
        <item m="1" x="1076"/>
        <item m="1" x="1077"/>
        <item m="1" x="1033"/>
        <item m="1" x="809"/>
        <item m="1" x="632"/>
        <item m="1" x="633"/>
        <item m="1" x="634"/>
        <item m="1" x="636"/>
        <item m="1" x="935"/>
        <item m="1" x="834"/>
        <item m="1" x="324"/>
        <item m="1" x="426"/>
        <item m="1" x="1042"/>
        <item m="1" x="136"/>
        <item m="1" x="850"/>
        <item m="1" x="396"/>
        <item m="1" x="780"/>
        <item m="1" x="957"/>
        <item m="1" x="1312"/>
        <item m="1" x="505"/>
        <item m="1" x="1181"/>
        <item m="1" x="1444"/>
        <item m="1" x="1191"/>
        <item m="1" x="1416"/>
        <item m="1" x="867"/>
        <item m="1" x="227"/>
        <item m="1" x="1080"/>
        <item m="1" x="1081"/>
        <item m="1" x="478"/>
        <item m="1" x="795"/>
        <item m="1" x="221"/>
        <item m="1" x="1068"/>
        <item m="1" x="792"/>
        <item m="1" x="595"/>
        <item m="1" x="1184"/>
        <item m="1" x="660"/>
        <item m="1" x="697"/>
        <item m="1" x="511"/>
        <item m="1" x="1240"/>
        <item m="1" x="1205"/>
        <item m="1" x="1392"/>
        <item m="1" x="106"/>
        <item m="1" x="1013"/>
        <item m="1" x="1326"/>
        <item m="1" x="785"/>
        <item m="1" x="819"/>
        <item m="1" x="990"/>
        <item m="1" x="1107"/>
        <item m="1" x="1237"/>
        <item m="1" x="1165"/>
        <item m="1" x="1478"/>
        <item m="1" x="881"/>
        <item m="1" x="642"/>
        <item m="1" x="812"/>
        <item m="1" x="1276"/>
        <item m="1" x="513"/>
        <item m="1" x="424"/>
        <item m="1" x="1504"/>
        <item m="1" x="1109"/>
        <item m="1" x="419"/>
        <item m="1" x="669"/>
        <item m="1" x="665"/>
        <item m="1" x="1468"/>
        <item m="1" x="666"/>
        <item m="1" x="721"/>
        <item m="1" x="800"/>
        <item m="1" x="209"/>
        <item m="1" x="1403"/>
        <item m="1" x="1421"/>
        <item m="1" x="543"/>
        <item m="1" x="1304"/>
        <item m="1" x="997"/>
        <item m="1" x="998"/>
        <item m="1" x="999"/>
        <item m="1" x="378"/>
        <item m="1" x="1426"/>
        <item m="1" x="139"/>
        <item m="1" x="162"/>
        <item m="1" x="1490"/>
        <item m="1" x="864"/>
        <item m="1" x="1125"/>
        <item m="1" x="421"/>
        <item m="1" x="1344"/>
        <item m="1" x="1286"/>
        <item m="1" x="582"/>
        <item m="1" x="1124"/>
        <item m="1" x="466"/>
        <item m="1" x="659"/>
        <item m="1" x="114"/>
        <item m="1" x="771"/>
        <item m="1" x="1467"/>
        <item m="1" x="186"/>
        <item m="1" x="343"/>
        <item m="1" x="1293"/>
        <item m="1" x="269"/>
        <item m="1" x="1428"/>
        <item m="1" x="1243"/>
        <item m="1" x="714"/>
        <item m="1" x="1007"/>
        <item m="1" x="958"/>
        <item m="1" x="407"/>
        <item m="1" x="1254"/>
        <item m="1" x="1333"/>
        <item m="1" x="1355"/>
        <item m="1" x="143"/>
        <item m="1" x="985"/>
        <item m="1" x="1327"/>
        <item m="1" x="840"/>
        <item m="1" x="112"/>
        <item m="1" x="1160"/>
        <item m="1" x="434"/>
        <item m="1" x="183"/>
        <item m="1" x="268"/>
        <item m="1" x="428"/>
        <item m="1" x="464"/>
        <item m="1" x="629"/>
        <item m="1" x="1043"/>
        <item m="1" x="1290"/>
        <item m="1" x="525"/>
        <item x="1"/>
        <item x="2"/>
        <item x="4"/>
        <item x="5"/>
        <item x="6"/>
        <item x="7"/>
        <item x="8"/>
        <item x="9"/>
        <item m="1" x="843"/>
        <item m="1" x="794"/>
        <item m="1" x="907"/>
        <item m="1" x="644"/>
        <item x="12"/>
        <item x="13"/>
        <item x="14"/>
        <item m="1" x="757"/>
        <item x="17"/>
        <item x="18"/>
        <item x="19"/>
        <item x="20"/>
        <item x="23"/>
        <item x="24"/>
        <item x="25"/>
        <item x="26"/>
        <item m="1" x="1324"/>
        <item m="1" x="933"/>
        <item m="1" x="1289"/>
        <item x="28"/>
        <item x="29"/>
        <item x="31"/>
        <item x="33"/>
        <item m="1" x="311"/>
        <item x="35"/>
        <item x="36"/>
        <item x="37"/>
        <item x="38"/>
        <item x="39"/>
        <item x="40"/>
        <item x="45"/>
        <item m="1" x="166"/>
        <item m="1" x="655"/>
        <item m="1" x="487"/>
        <item m="1" x="220"/>
        <item x="48"/>
        <item x="49"/>
        <item m="1" x="299"/>
        <item x="51"/>
        <item m="1" x="583"/>
        <item m="1" x="1078"/>
        <item m="1" x="688"/>
        <item m="1" x="480"/>
        <item m="1" x="1021"/>
        <item x="54"/>
        <item m="1" x="906"/>
        <item m="1" x="132"/>
        <item m="1" x="1216"/>
        <item m="1" x="1083"/>
        <item m="1" x="279"/>
        <item m="1" x="1016"/>
        <item m="1" x="301"/>
        <item m="1" x="1386"/>
        <item m="1" x="1121"/>
        <item m="1" x="1159"/>
        <item m="1" x="826"/>
        <item m="1" x="1339"/>
        <item m="1" x="677"/>
        <item m="1" x="1012"/>
        <item m="1" x="1452"/>
        <item m="1" x="718"/>
        <item m="1" x="700"/>
        <item m="1" x="208"/>
        <item m="1" x="1374"/>
        <item m="1" x="1117"/>
        <item m="1" x="914"/>
        <item m="1" x="579"/>
        <item m="1" x="181"/>
        <item m="1" x="825"/>
        <item m="1" x="1146"/>
        <item m="1" x="1211"/>
        <item m="1" x="334"/>
        <item m="1" x="920"/>
        <item m="1" x="597"/>
        <item m="1" x="400"/>
        <item m="1" x="547"/>
        <item m="1" x="925"/>
        <item m="1" x="1010"/>
        <item m="1" x="1238"/>
        <item m="1" x="931"/>
        <item m="1" x="1449"/>
        <item m="1" x="1206"/>
        <item m="1" x="350"/>
        <item m="1" x="259"/>
        <item m="1" x="808"/>
        <item m="1" x="964"/>
        <item m="1" x="494"/>
        <item x="62"/>
        <item x="59"/>
        <item x="63"/>
        <item m="1" x="770"/>
        <item m="1" x="917"/>
        <item m="1" x="1406"/>
        <item x="67"/>
        <item m="1" x="374"/>
        <item m="1" x="996"/>
        <item m="1" x="504"/>
        <item m="1" x="884"/>
        <item m="1" x="966"/>
        <item m="1" x="290"/>
        <item m="1" x="1436"/>
        <item m="1" x="1437"/>
        <item m="1" x="266"/>
        <item m="1" x="409"/>
        <item x="78"/>
        <item m="1" x="1071"/>
        <item m="1" x="663"/>
        <item m="1" x="683"/>
        <item m="1" x="658"/>
        <item m="1" x="889"/>
        <item m="1" x="1252"/>
        <item x="86"/>
        <item m="1" x="986"/>
        <item x="88"/>
        <item m="1" x="1150"/>
        <item m="1" x="1151"/>
        <item x="95"/>
        <item m="1" x="641"/>
        <item m="1" x="1371"/>
        <item x="98"/>
        <item m="1" x="1079"/>
        <item m="1" x="1067"/>
        <item m="1" x="811"/>
        <item m="1" x="680"/>
        <item m="1" x="598"/>
        <item m="1" x="1345"/>
        <item m="1" x="863"/>
        <item m="1" x="318"/>
        <item m="1" x="1349"/>
        <item m="1" x="916"/>
        <item m="1" x="1440"/>
        <item m="1" x="338"/>
        <item m="1" x="1310"/>
        <item m="1" x="932"/>
        <item m="1" x="218"/>
        <item m="1" x="187"/>
        <item m="1" x="1008"/>
        <item m="1" x="593"/>
        <item m="1" x="1287"/>
        <item m="1" x="1247"/>
        <item m="1" x="1186"/>
        <item x="90"/>
        <item x="96"/>
        <item x="99"/>
        <item m="1" x="1196"/>
        <item m="1" x="392"/>
        <item m="1" x="380"/>
        <item m="1" x="1451"/>
        <item m="1" x="1131"/>
        <item m="1" x="672"/>
        <item m="1" x="509"/>
        <item m="1" x="960"/>
        <item m="1" x="1330"/>
        <item m="1" x="177"/>
        <item m="1" x="692"/>
        <item m="1" x="814"/>
        <item m="1" x="228"/>
        <item m="1" x="107"/>
        <item m="1" x="1432"/>
        <item m="1" x="1433"/>
        <item m="1" x="783"/>
        <item m="1" x="1315"/>
        <item m="1" x="141"/>
        <item m="1" x="158"/>
        <item m="1" x="370"/>
        <item m="1" x="1212"/>
        <item m="1" x="1183"/>
        <item m="1" x="735"/>
        <item m="1" x="390"/>
        <item m="1" x="391"/>
        <item m="1" x="1025"/>
        <item m="1" x="793"/>
        <item m="1" x="125"/>
        <item m="1" x="862"/>
        <item m="1" x="1209"/>
        <item m="1" x="1292"/>
        <item m="1" x="873"/>
        <item m="1" x="732"/>
        <item m="1" x="321"/>
        <item m="1" x="810"/>
        <item m="1" x="874"/>
        <item m="1" x="861"/>
        <item m="1" x="1019"/>
        <item m="1" x="875"/>
        <item m="1" x="715"/>
        <item m="1" x="1402"/>
        <item m="1" x="1445"/>
        <item m="1" x="305"/>
        <item m="1" x="306"/>
        <item m="1" x="308"/>
        <item m="1" x="1398"/>
        <item m="1" x="524"/>
        <item m="1" x="928"/>
        <item m="1" x="1404"/>
        <item m="1" x="1143"/>
        <item m="1" x="545"/>
        <item m="1" x="1004"/>
        <item m="1" x="244"/>
        <item x="87"/>
        <item m="1" x="432"/>
        <item m="1" x="1380"/>
        <item m="1" x="573"/>
        <item m="1" x="625"/>
        <item m="1" x="331"/>
        <item m="1" x="212"/>
        <item m="1" x="429"/>
        <item m="1" x="883"/>
        <item m="1" x="534"/>
        <item m="1" x="1340"/>
        <item m="1" x="418"/>
        <item m="1" x="1039"/>
        <item m="1" x="699"/>
        <item m="1" x="327"/>
        <item x="58"/>
        <item m="1" x="375"/>
        <item m="1" x="1246"/>
        <item m="1" x="1195"/>
        <item m="1" x="1334"/>
        <item m="1" x="626"/>
        <item m="1" x="1066"/>
        <item m="1" x="564"/>
        <item m="1" x="1225"/>
        <item m="1" x="1413"/>
        <item x="68"/>
        <item m="1" x="1105"/>
        <item m="1" x="910"/>
        <item m="1" x="1278"/>
        <item m="1" x="661"/>
        <item m="1" x="130"/>
        <item m="1" x="156"/>
        <item m="1" x="215"/>
        <item m="1" x="1388"/>
        <item m="1" x="465"/>
        <item m="1" x="1418"/>
        <item m="1" x="1261"/>
        <item m="1" x="281"/>
        <item m="1" x="1194"/>
        <item m="1" x="603"/>
        <item m="1" x="1470"/>
        <item m="1" x="713"/>
        <item m="1" x="842"/>
        <item m="1" x="367"/>
        <item m="1" x="1127"/>
        <item m="1" x="263"/>
        <item m="1" x="1096"/>
        <item m="1" x="835"/>
        <item m="1" x="1204"/>
        <item m="1" x="145"/>
        <item m="1" x="730"/>
        <item m="1" x="596"/>
        <item m="1" x="1268"/>
        <item m="1" x="216"/>
        <item m="1" x="684"/>
        <item m="1" x="354"/>
        <item m="1" x="437"/>
        <item x="85"/>
        <item m="1" x="1130"/>
        <item m="1" x="1094"/>
        <item m="1" x="548"/>
        <item m="1" x="1273"/>
        <item m="1" x="1474"/>
        <item m="1" x="539"/>
        <item m="1" x="647"/>
        <item m="1" x="506"/>
        <item m="1" x="992"/>
        <item m="1" x="235"/>
        <item m="1" x="1319"/>
        <item m="1" x="821"/>
        <item m="1" x="833"/>
        <item m="1" x="1116"/>
        <item m="1" x="1307"/>
        <item m="1" x="1332"/>
        <item m="1" x="1193"/>
        <item m="1" x="522"/>
        <item m="1" x="1407"/>
        <item m="1" x="1017"/>
        <item m="1" x="1354"/>
        <item m="1" x="1318"/>
        <item m="1" x="754"/>
        <item m="1" x="1052"/>
        <item m="1" x="1424"/>
        <item m="1" x="223"/>
        <item m="1" x="124"/>
        <item m="1" x="849"/>
        <item m="1" x="816"/>
        <item m="1" x="510"/>
        <item m="1" x="1291"/>
        <item m="1" x="247"/>
        <item m="1" x="377"/>
        <item m="1" x="682"/>
        <item m="1" x="1029"/>
        <item m="1" x="1154"/>
        <item m="1" x="915"/>
        <item m="1" x="191"/>
        <item m="1" x="657"/>
        <item x="100"/>
        <item m="1" x="1393"/>
        <item m="1" x="902"/>
        <item m="1" x="900"/>
        <item m="1" x="673"/>
        <item m="1" x="448"/>
        <item x="0"/>
        <item x="16"/>
        <item m="1" x="1050"/>
        <item x="46"/>
        <item m="1" x="445"/>
        <item x="52"/>
        <item x="53"/>
        <item x="56"/>
        <item x="57"/>
        <item x="60"/>
        <item x="61"/>
        <item x="64"/>
        <item x="65"/>
        <item x="66"/>
        <item x="69"/>
        <item x="70"/>
        <item x="71"/>
        <item x="72"/>
        <item x="73"/>
        <item x="74"/>
        <item x="75"/>
        <item x="76"/>
        <item x="77"/>
        <item x="79"/>
        <item x="80"/>
        <item x="81"/>
        <item x="82"/>
        <item x="83"/>
        <item x="84"/>
        <item x="89"/>
        <item x="91"/>
        <item x="92"/>
        <item x="93"/>
        <item x="94"/>
        <item x="97"/>
        <item x="101"/>
        <item x="102"/>
        <item m="1" x="1049"/>
        <item x="27"/>
        <item x="21"/>
        <item x="22"/>
        <item x="41"/>
        <item m="1" x="1443"/>
        <item x="42"/>
        <item x="43"/>
        <item x="44"/>
        <item x="50"/>
        <item m="1" x="1442"/>
        <item x="34"/>
      </items>
    </pivotField>
    <pivotField compact="0" showAll="0" defaultSubtotal="0">
      <items count="17">
        <item m="1" x="12"/>
        <item m="1" x="7"/>
        <item x="1"/>
        <item x="3"/>
        <item m="1" x="9"/>
        <item x="4"/>
        <item m="1" x="5"/>
        <item m="1" x="14"/>
        <item x="2"/>
        <item m="1" x="6"/>
        <item x="0"/>
        <item m="1" x="8"/>
        <item m="1" x="13"/>
        <item m="1" x="10"/>
        <item m="1" x="16"/>
        <item m="1" x="11"/>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0">
        <item x="0"/>
        <item m="1" x="17"/>
        <item m="1" x="23"/>
        <item m="1" x="19"/>
        <item x="1"/>
        <item m="1" x="28"/>
        <item m="1" x="7"/>
        <item m="1" x="25"/>
        <item m="1" x="26"/>
        <item m="1" x="29"/>
        <item m="1" x="11"/>
        <item m="1" x="15"/>
        <item m="1" x="21"/>
        <item m="1" x="24"/>
        <item m="1" x="6"/>
        <item m="1" x="16"/>
        <item m="1" x="22"/>
        <item x="2"/>
        <item m="1" x="9"/>
        <item m="1" x="4"/>
        <item m="1" x="8"/>
        <item m="1" x="13"/>
        <item m="1" x="27"/>
        <item m="1" x="14"/>
        <item m="1" x="20"/>
        <item m="1" x="18"/>
        <item m="1" x="10"/>
        <item m="1" x="3"/>
        <item m="1" x="12"/>
        <item m="1" x="5"/>
      </items>
    </pivotField>
    <pivotField name="SECTION SUMMARY" axis="axisRow" compact="0" showAll="0" insertBlankRow="1" defaultSubtotal="0">
      <items count="63">
        <item m="1" x="39"/>
        <item m="1" x="61"/>
        <item m="1" x="62"/>
        <item m="1" x="32"/>
        <item m="1" x="18"/>
        <item m="1" x="5"/>
        <item m="1" x="17"/>
        <item m="1" x="57"/>
        <item m="1" x="41"/>
        <item m="1" x="24"/>
        <item m="1" x="4"/>
        <item m="1" x="7"/>
        <item m="1" x="30"/>
        <item m="1" x="14"/>
        <item m="1" x="13"/>
        <item m="1" x="8"/>
        <item m="1" x="33"/>
        <item m="1" x="45"/>
        <item m="1" x="35"/>
        <item m="1" x="29"/>
        <item m="1" x="53"/>
        <item m="1" x="59"/>
        <item m="1" x="60"/>
        <item m="1" x="38"/>
        <item m="1" x="16"/>
        <item m="1" x="37"/>
        <item m="1" x="15"/>
        <item m="1" x="55"/>
        <item m="1" x="47"/>
        <item m="1" x="50"/>
        <item m="1" x="21"/>
        <item m="1" x="49"/>
        <item m="1" x="48"/>
        <item m="1" x="10"/>
        <item m="1" x="12"/>
        <item m="1" x="6"/>
        <item m="1" x="20"/>
        <item m="1" x="34"/>
        <item m="1" x="25"/>
        <item m="1" x="58"/>
        <item m="1" x="22"/>
        <item m="1" x="23"/>
        <item m="1" x="26"/>
        <item m="1" x="36"/>
        <item m="1" x="3"/>
        <item m="1" x="28"/>
        <item m="1" x="52"/>
        <item m="1" x="31"/>
        <item m="1" x="19"/>
        <item m="1" x="51"/>
        <item x="2"/>
        <item m="1" x="42"/>
        <item x="0"/>
        <item m="1" x="56"/>
        <item m="1" x="46"/>
        <item m="1" x="9"/>
        <item m="1" x="27"/>
        <item m="1" x="40"/>
        <item m="1" x="43"/>
        <item m="1" x="11"/>
        <item m="1" x="54"/>
        <item m="1" x="44"/>
        <item x="1"/>
      </items>
    </pivotField>
    <pivotField compact="0" showAll="0" defaultSubtotal="0"/>
    <pivotField compact="0" subtotalTop="0" showAll="0" defaultSubtotal="0"/>
  </pivotFields>
  <rowFields count="2">
    <field x="9"/>
    <field x="10"/>
  </rowFields>
  <rowItems count="10">
    <i>
      <x/>
    </i>
    <i r="1">
      <x v="52"/>
    </i>
    <i t="blank">
      <x/>
    </i>
    <i>
      <x v="4"/>
    </i>
    <i r="1">
      <x v="62"/>
    </i>
    <i t="blank">
      <x v="4"/>
    </i>
    <i>
      <x v="17"/>
    </i>
    <i r="1">
      <x v="50"/>
    </i>
    <i t="blank">
      <x v="17"/>
    </i>
    <i t="grand">
      <x/>
    </i>
  </rowItems>
  <colItems count="1">
    <i/>
  </colItems>
  <dataFields count="1">
    <dataField name="AMOUNT (RM)" fld="6" baseField="0" baseItem="4" numFmtId="4"/>
  </dataFields>
  <formats count="36">
    <format dxfId="1051">
      <pivotArea type="all" dataOnly="0" outline="0" fieldPosition="0"/>
    </format>
    <format dxfId="1050">
      <pivotArea outline="0" collapsedLevelsAreSubtotals="1" fieldPosition="0"/>
    </format>
    <format dxfId="1049">
      <pivotArea field="0" type="button" dataOnly="0" labelOnly="1" outline="0"/>
    </format>
    <format dxfId="1048">
      <pivotArea field="1" type="button" dataOnly="0" labelOnly="1" outline="0"/>
    </format>
    <format dxfId="1047">
      <pivotArea field="3" type="button" dataOnly="0" labelOnly="1" outline="0"/>
    </format>
    <format dxfId="1046">
      <pivotArea dataOnly="0" labelOnly="1" outline="0" fieldPosition="0">
        <references count="1">
          <reference field="4294967294" count="1">
            <x v="0"/>
          </reference>
        </references>
      </pivotArea>
    </format>
    <format dxfId="1045">
      <pivotArea field="2" type="button" dataOnly="0" labelOnly="1" outline="0"/>
    </format>
    <format dxfId="1044">
      <pivotArea field="0" type="button" dataOnly="0" labelOnly="1" outline="0"/>
    </format>
    <format dxfId="1043">
      <pivotArea field="1" type="button" dataOnly="0" labelOnly="1" outline="0"/>
    </format>
    <format dxfId="1042">
      <pivotArea field="2" type="button" dataOnly="0" labelOnly="1" outline="0"/>
    </format>
    <format dxfId="1041">
      <pivotArea field="3" type="button" dataOnly="0" labelOnly="1" outline="0"/>
    </format>
    <format dxfId="1040">
      <pivotArea dataOnly="0" labelOnly="1" outline="0" fieldPosition="0">
        <references count="1">
          <reference field="4294967294" count="1">
            <x v="0"/>
          </reference>
        </references>
      </pivotArea>
    </format>
    <format dxfId="1039">
      <pivotArea outline="0" fieldPosition="0">
        <references count="1">
          <reference field="4294967294" count="1">
            <x v="0"/>
          </reference>
        </references>
      </pivotArea>
    </format>
    <format dxfId="1038">
      <pivotArea outline="0" fieldPosition="0">
        <references count="2">
          <reference field="9" count="0" selected="0"/>
          <reference field="10" count="3" selected="0">
            <x v="1"/>
            <x v="2"/>
            <x v="3"/>
          </reference>
        </references>
      </pivotArea>
    </format>
    <format dxfId="1037">
      <pivotArea dataOnly="0" labelOnly="1" outline="0" fieldPosition="0">
        <references count="1">
          <reference field="9" count="0"/>
        </references>
      </pivotArea>
    </format>
    <format dxfId="1036">
      <pivotArea dataOnly="0" labelOnly="1" outline="0" fieldPosition="0">
        <references count="2">
          <reference field="9" count="0" selected="0"/>
          <reference field="10" count="3">
            <x v="1"/>
            <x v="2"/>
            <x v="3"/>
          </reference>
        </references>
      </pivotArea>
    </format>
    <format dxfId="1035">
      <pivotArea outline="0" fieldPosition="0">
        <references count="2">
          <reference field="9" count="0" selected="0"/>
          <reference field="10" count="3" selected="0">
            <x v="1"/>
            <x v="2"/>
            <x v="3"/>
          </reference>
        </references>
      </pivotArea>
    </format>
    <format dxfId="1034">
      <pivotArea dataOnly="0" labelOnly="1" outline="0" fieldPosition="0">
        <references count="1">
          <reference field="9" count="0"/>
        </references>
      </pivotArea>
    </format>
    <format dxfId="1033">
      <pivotArea dataOnly="0" labelOnly="1" outline="0" fieldPosition="0">
        <references count="2">
          <reference field="9" count="0" selected="0"/>
          <reference field="10" count="3">
            <x v="1"/>
            <x v="2"/>
            <x v="3"/>
          </reference>
        </references>
      </pivotArea>
    </format>
    <format dxfId="1032">
      <pivotArea dataOnly="0" labelOnly="1" fieldPosition="0">
        <references count="1">
          <reference field="9" count="0"/>
        </references>
      </pivotArea>
    </format>
    <format dxfId="1031">
      <pivotArea dataOnly="0" labelOnly="1" fieldPosition="0">
        <references count="1">
          <reference field="10" count="0"/>
        </references>
      </pivotArea>
    </format>
    <format dxfId="1030">
      <pivotArea dataOnly="0" labelOnly="1" fieldPosition="0">
        <references count="1">
          <reference field="10" count="0"/>
        </references>
      </pivotArea>
    </format>
    <format dxfId="1029">
      <pivotArea dataOnly="0" labelOnly="1" fieldPosition="0">
        <references count="1">
          <reference field="10" count="0"/>
        </references>
      </pivotArea>
    </format>
    <format dxfId="1028">
      <pivotArea dataOnly="0" labelOnly="1" fieldPosition="0">
        <references count="1">
          <reference field="10" count="0"/>
        </references>
      </pivotArea>
    </format>
    <format dxfId="1027">
      <pivotArea dataOnly="0" labelOnly="1" fieldPosition="0">
        <references count="1">
          <reference field="10" count="0"/>
        </references>
      </pivotArea>
    </format>
    <format dxfId="1026">
      <pivotArea dataOnly="0" labelOnly="1" grandRow="1" outline="0" fieldPosition="0"/>
    </format>
    <format dxfId="1025">
      <pivotArea grandRow="1" outline="0" collapsedLevelsAreSubtotals="1" fieldPosition="0"/>
    </format>
    <format dxfId="1024">
      <pivotArea field="9" type="button" dataOnly="0" labelOnly="1" outline="0" axis="axisRow" fieldPosition="0"/>
    </format>
    <format dxfId="1023">
      <pivotArea field="10" type="button" dataOnly="0" labelOnly="1" outline="0" axis="axisRow" fieldPosition="1"/>
    </format>
    <format dxfId="1022">
      <pivotArea dataOnly="0" labelOnly="1" outline="0" axis="axisValues" fieldPosition="0"/>
    </format>
    <format dxfId="1021">
      <pivotArea field="9" type="button" dataOnly="0" labelOnly="1" outline="0" axis="axisRow" fieldPosition="0"/>
    </format>
    <format dxfId="1020">
      <pivotArea field="10" type="button" dataOnly="0" labelOnly="1" outline="0" axis="axisRow" fieldPosition="1"/>
    </format>
    <format dxfId="1019">
      <pivotArea dataOnly="0" labelOnly="1" outline="0" axis="axisValues" fieldPosition="0"/>
    </format>
    <format dxfId="1018">
      <pivotArea grandRow="1" outline="0" collapsedLevelsAreSubtotals="1" fieldPosition="0"/>
    </format>
    <format dxfId="1017">
      <pivotArea dataOnly="0" labelOnly="1" grandRow="1" outline="0" fieldPosition="0"/>
    </format>
    <format dxfId="1016">
      <pivotArea grandRow="1"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6EB04C5-99F5-4790-B8B2-5AD83AB427E1}" name="PivotTable2" cacheId="225"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6:D10"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272"/>
        <item m="1" x="332"/>
        <item m="1" x="391"/>
        <item m="1" x="451"/>
        <item m="1" x="510"/>
        <item m="1" x="569"/>
        <item m="1" x="148"/>
        <item m="1" x="205"/>
        <item m="1" x="264"/>
        <item m="1" x="324"/>
        <item m="1" x="383"/>
        <item m="1" x="443"/>
        <item m="1" x="502"/>
        <item m="1" x="561"/>
        <item m="1" x="139"/>
        <item m="1" x="196"/>
        <item m="1" x="255"/>
        <item m="1" x="314"/>
        <item m="1" x="374"/>
        <item m="1" x="434"/>
        <item m="1" x="493"/>
        <item m="1" x="553"/>
        <item m="1" x="131"/>
        <item m="1" x="188"/>
        <item m="1" x="218"/>
        <item m="1" x="247"/>
        <item m="1" x="278"/>
        <item m="1" x="306"/>
        <item m="1" x="338"/>
        <item m="1" x="366"/>
        <item m="1" x="397"/>
        <item m="1" x="426"/>
        <item m="1" x="457"/>
        <item m="1" x="485"/>
        <item m="1" x="516"/>
        <item m="1" x="544"/>
        <item m="1" x="574"/>
        <item m="1" x="123"/>
        <item m="1" x="153"/>
        <item m="1" x="180"/>
        <item m="1" x="210"/>
        <item m="1" x="239"/>
        <item m="1" x="269"/>
        <item m="1" x="298"/>
        <item m="1" x="329"/>
        <item m="1" x="358"/>
        <item m="1" x="388"/>
        <item m="1" x="418"/>
        <item m="1" x="448"/>
        <item m="1" x="477"/>
        <item m="1" x="507"/>
        <item m="1" x="536"/>
        <item m="1" x="566"/>
        <item m="1" x="116"/>
        <item m="1" x="145"/>
        <item m="1" x="173"/>
        <item m="1" x="202"/>
        <item m="1" x="232"/>
        <item m="1" x="261"/>
        <item m="1" x="291"/>
        <item m="1" x="321"/>
        <item m="1" x="351"/>
        <item m="1" x="380"/>
        <item m="1" x="411"/>
        <item m="1" x="440"/>
        <item m="1" x="470"/>
        <item m="1" x="499"/>
        <item m="1" x="529"/>
        <item m="1" x="559"/>
        <item m="1" x="110"/>
        <item m="1" x="137"/>
        <item m="1" x="166"/>
        <item m="1" x="194"/>
        <item m="1" x="224"/>
        <item m="1" x="253"/>
        <item m="1" x="284"/>
        <item m="1" x="312"/>
        <item m="1" x="344"/>
        <item m="1" x="372"/>
        <item m="1" x="403"/>
        <item m="1" x="432"/>
        <item m="1" x="463"/>
        <item m="1" x="491"/>
        <item m="1" x="522"/>
        <item m="1" x="551"/>
        <item m="1" x="580"/>
        <item m="1" x="129"/>
        <item m="1" x="159"/>
        <item m="1" x="186"/>
        <item m="1" x="216"/>
        <item m="1" x="245"/>
        <item m="1" x="276"/>
        <item m="1" x="304"/>
        <item m="1" x="336"/>
        <item m="1" x="364"/>
        <item m="1" x="395"/>
        <item m="1" x="424"/>
        <item m="1" x="455"/>
        <item m="1" x="483"/>
        <item m="1" x="514"/>
        <item m="1" x="542"/>
        <item m="1" x="573"/>
        <item m="1" x="122"/>
        <item m="1" x="152"/>
        <item m="1" x="179"/>
        <item m="1" x="209"/>
        <item m="1" x="238"/>
        <item m="1" x="268"/>
        <item m="1" x="297"/>
        <item m="1" x="328"/>
        <item m="1" x="357"/>
        <item m="1" x="387"/>
        <item m="1" x="417"/>
        <item m="1" x="447"/>
        <item m="1" x="476"/>
        <item m="1" x="506"/>
        <item m="1" x="535"/>
        <item m="1" x="565"/>
        <item m="1" x="115"/>
        <item m="1" x="144"/>
        <item m="1" x="172"/>
        <item m="1" x="201"/>
        <item m="1" x="231"/>
        <item m="1" x="260"/>
        <item m="1" x="290"/>
        <item m="1" x="320"/>
        <item m="1" x="350"/>
        <item m="1" x="379"/>
        <item m="1" x="410"/>
        <item m="1" x="439"/>
        <item m="1" x="469"/>
        <item m="1" x="498"/>
        <item m="1" x="528"/>
        <item m="1" x="558"/>
        <item m="1" x="109"/>
        <item m="1" x="136"/>
        <item m="1" x="165"/>
        <item m="1" x="193"/>
        <item m="1" x="223"/>
        <item m="1" x="252"/>
        <item m="1" x="283"/>
        <item m="1" x="311"/>
        <item m="1" x="343"/>
        <item m="1" x="371"/>
        <item m="1" x="402"/>
        <item m="1" x="431"/>
        <item m="1" x="462"/>
        <item m="1" x="490"/>
        <item m="1" x="521"/>
        <item m="1" x="549"/>
        <item m="1" x="579"/>
        <item m="1" x="128"/>
        <item m="1" x="143"/>
        <item m="1" x="158"/>
        <item m="1" x="171"/>
        <item m="1" x="185"/>
        <item m="1" x="200"/>
        <item m="1" x="215"/>
        <item m="1" x="229"/>
        <item m="1" x="244"/>
        <item m="1" x="259"/>
        <item m="1" x="275"/>
        <item m="1" x="289"/>
        <item m="1" x="303"/>
        <item m="1" x="319"/>
        <item m="1" x="335"/>
        <item m="1" x="349"/>
        <item m="1" x="363"/>
        <item m="1" x="378"/>
        <item m="1" x="394"/>
        <item m="1" x="409"/>
        <item m="1" x="423"/>
        <item m="1" x="438"/>
        <item m="1" x="454"/>
        <item m="1" x="468"/>
        <item m="1" x="482"/>
        <item m="1" x="497"/>
        <item m="1" x="513"/>
        <item m="1" x="527"/>
        <item m="1" x="541"/>
        <item m="1" x="557"/>
        <item m="1" x="572"/>
        <item m="1" x="108"/>
        <item m="1" x="121"/>
        <item m="1" x="135"/>
        <item m="1" x="151"/>
        <item m="1" x="164"/>
        <item m="1" x="178"/>
        <item m="1" x="192"/>
        <item m="1" x="208"/>
        <item m="1" x="222"/>
        <item m="1" x="237"/>
        <item m="1" x="251"/>
        <item m="1" x="267"/>
        <item m="1" x="282"/>
        <item m="1" x="296"/>
        <item m="1" x="310"/>
        <item m="1" x="327"/>
        <item m="1" x="342"/>
        <item m="1" x="356"/>
        <item m="1" x="370"/>
        <item m="1" x="386"/>
        <item m="1" x="401"/>
        <item m="1" x="416"/>
        <item m="1" x="430"/>
        <item m="1" x="446"/>
        <item m="1" x="461"/>
        <item m="1" x="475"/>
        <item m="1" x="489"/>
        <item m="1" x="505"/>
        <item m="1" x="520"/>
        <item m="1" x="534"/>
        <item m="1" x="548"/>
        <item m="1" x="564"/>
        <item m="1" x="578"/>
        <item m="1" x="114"/>
        <item m="1" x="127"/>
        <item m="1" x="142"/>
        <item m="1" x="157"/>
        <item m="1" x="170"/>
        <item m="1" x="184"/>
        <item m="1" x="199"/>
        <item m="1" x="214"/>
        <item m="1" x="228"/>
        <item m="1" x="243"/>
        <item m="1" x="258"/>
        <item m="1" x="274"/>
        <item m="1" x="288"/>
        <item m="1" x="302"/>
        <item m="1" x="317"/>
        <item m="1" x="334"/>
        <item m="1" x="348"/>
        <item m="1" x="362"/>
        <item m="1" x="377"/>
        <item m="1" x="393"/>
        <item m="1" x="408"/>
        <item m="1" x="422"/>
        <item m="1" x="437"/>
        <item m="1" x="453"/>
        <item m="1" x="467"/>
        <item m="1" x="481"/>
        <item m="1" x="496"/>
        <item m="1" x="512"/>
        <item m="1" x="526"/>
        <item m="1" x="540"/>
        <item m="1" x="556"/>
        <item m="1" x="571"/>
        <item m="1" x="107"/>
        <item m="1" x="120"/>
        <item m="1" x="134"/>
        <item m="1" x="150"/>
        <item m="1" x="163"/>
        <item m="1" x="177"/>
        <item m="1" x="191"/>
        <item m="1" x="207"/>
        <item m="1" x="221"/>
        <item m="1" x="236"/>
        <item m="1" x="250"/>
        <item m="1" x="266"/>
        <item m="1" x="281"/>
        <item m="1" x="295"/>
        <item m="1" x="309"/>
        <item m="1" x="326"/>
        <item m="1" x="341"/>
        <item m="1" x="355"/>
        <item m="1" x="369"/>
        <item m="1" x="385"/>
        <item m="1" x="400"/>
        <item m="1" x="415"/>
        <item m="1" x="429"/>
        <item m="1" x="445"/>
        <item m="1" x="460"/>
        <item m="1" x="474"/>
        <item m="1" x="488"/>
        <item m="1" x="504"/>
        <item m="1" x="519"/>
        <item m="1" x="533"/>
        <item m="1" x="547"/>
        <item m="1" x="563"/>
        <item m="1" x="577"/>
        <item m="1" x="113"/>
        <item m="1" x="126"/>
        <item m="1" x="141"/>
        <item m="1" x="156"/>
        <item m="1" x="169"/>
        <item m="1" x="183"/>
        <item m="1" x="198"/>
        <item m="1" x="213"/>
        <item m="1" x="227"/>
        <item m="1" x="242"/>
        <item m="1" x="257"/>
        <item m="1" x="273"/>
        <item m="1" x="287"/>
        <item m="1" x="301"/>
        <item m="1" x="316"/>
        <item m="1" x="333"/>
        <item m="1" x="347"/>
        <item m="1" x="361"/>
        <item m="1" x="376"/>
        <item m="1" x="392"/>
        <item m="1" x="406"/>
        <item m="1" x="421"/>
        <item m="1" x="436"/>
        <item m="1" x="452"/>
        <item m="1" x="466"/>
        <item m="1" x="480"/>
        <item m="1" x="495"/>
        <item m="1" x="511"/>
        <item m="1" x="525"/>
        <item m="1" x="539"/>
        <item m="1" x="555"/>
        <item m="1" x="570"/>
        <item m="1" x="106"/>
        <item m="1" x="119"/>
        <item m="1" x="133"/>
        <item m="1" x="149"/>
        <item m="1" x="162"/>
        <item m="1" x="176"/>
        <item m="1" x="190"/>
        <item m="1" x="206"/>
        <item m="1" x="220"/>
        <item m="1" x="235"/>
        <item m="1" x="249"/>
        <item m="1" x="265"/>
        <item m="1" x="280"/>
        <item m="1" x="294"/>
        <item m="1" x="308"/>
        <item m="1" x="325"/>
        <item m="1" x="340"/>
        <item m="1" x="354"/>
        <item m="1" x="368"/>
        <item m="1" x="384"/>
        <item m="1" x="399"/>
        <item m="1" x="414"/>
        <item m="1" x="428"/>
        <item m="1" x="444"/>
        <item m="1" x="459"/>
        <item m="1" x="473"/>
        <item m="1" x="487"/>
        <item m="1" x="503"/>
        <item m="1" x="518"/>
        <item m="1" x="532"/>
        <item m="1" x="546"/>
        <item m="1" x="562"/>
        <item m="1" x="576"/>
        <item m="1" x="112"/>
        <item m="1" x="125"/>
        <item m="1" x="140"/>
        <item m="1" x="155"/>
        <item m="1" x="168"/>
        <item m="1" x="182"/>
        <item m="1" x="197"/>
        <item m="1" x="212"/>
        <item m="1" x="226"/>
        <item m="1" x="241"/>
        <item m="1" x="256"/>
        <item m="1" x="271"/>
        <item m="1" x="286"/>
        <item m="1" x="300"/>
        <item m="1" x="315"/>
        <item m="1" x="331"/>
        <item m="1" x="346"/>
        <item m="1" x="360"/>
        <item m="1" x="375"/>
        <item m="1" x="390"/>
        <item m="1" x="405"/>
        <item m="1" x="420"/>
        <item m="1" x="435"/>
        <item m="1" x="450"/>
        <item m="1" x="465"/>
        <item m="1" x="479"/>
        <item m="1" x="494"/>
        <item m="1" x="509"/>
        <item m="1" x="524"/>
        <item m="1" x="538"/>
        <item m="1" x="554"/>
        <item m="1" x="568"/>
        <item m="1" x="105"/>
        <item m="1" x="118"/>
        <item m="1" x="132"/>
        <item m="1" x="147"/>
        <item m="1" x="161"/>
        <item m="1" x="175"/>
        <item m="1" x="189"/>
        <item m="1" x="204"/>
        <item m="1" x="219"/>
        <item m="1" x="234"/>
        <item m="1" x="248"/>
        <item m="1" x="263"/>
        <item m="1" x="279"/>
        <item m="1" x="293"/>
        <item m="1" x="307"/>
        <item m="1" x="323"/>
        <item m="1" x="339"/>
        <item m="1" x="353"/>
        <item m="1" x="367"/>
        <item m="1" x="382"/>
        <item m="1" x="398"/>
        <item m="1" x="413"/>
        <item m="1" x="427"/>
        <item m="1" x="442"/>
        <item m="1" x="458"/>
        <item m="1" x="472"/>
        <item m="1" x="486"/>
        <item m="1" x="501"/>
        <item m="1" x="517"/>
        <item m="1" x="531"/>
        <item m="1" x="545"/>
        <item m="1" x="552"/>
        <item m="1" x="560"/>
        <item m="1" x="567"/>
        <item m="1" x="575"/>
        <item m="1" x="104"/>
        <item m="1" x="111"/>
        <item m="1" x="117"/>
        <item m="1" x="124"/>
        <item m="1" x="130"/>
        <item m="1" x="138"/>
        <item m="1" x="146"/>
        <item m="1" x="154"/>
        <item m="1" x="160"/>
        <item m="1" x="167"/>
        <item m="1" x="174"/>
        <item m="1" x="181"/>
        <item m="1" x="187"/>
        <item m="1" x="195"/>
        <item m="1" x="203"/>
        <item m="1" x="211"/>
        <item m="1" x="217"/>
        <item m="1" x="225"/>
        <item m="1" x="233"/>
        <item m="1" x="240"/>
        <item m="1" x="246"/>
        <item m="1" x="254"/>
        <item m="1" x="262"/>
        <item m="1" x="270"/>
        <item m="1" x="277"/>
        <item m="1" x="285"/>
        <item m="1" x="292"/>
        <item m="1" x="299"/>
        <item m="1" x="305"/>
        <item m="1" x="313"/>
        <item m="1" x="322"/>
        <item m="1" x="330"/>
        <item m="1" x="337"/>
        <item m="1" x="345"/>
        <item m="1" x="352"/>
        <item m="1" x="359"/>
        <item m="1" x="365"/>
        <item m="1" x="373"/>
        <item m="1" x="381"/>
        <item m="1" x="389"/>
        <item m="1" x="396"/>
        <item m="1" x="404"/>
        <item m="1" x="412"/>
        <item m="1" x="419"/>
        <item m="1" x="425"/>
        <item m="1" x="433"/>
        <item m="1" x="441"/>
        <item m="1" x="449"/>
        <item m="1" x="456"/>
        <item m="1" x="464"/>
        <item m="1" x="471"/>
        <item m="1" x="478"/>
        <item m="1" x="484"/>
        <item m="1" x="492"/>
        <item m="1" x="500"/>
        <item m="1" x="508"/>
        <item m="1" x="515"/>
        <item m="1" x="523"/>
        <item m="1" x="530"/>
        <item m="1" x="230"/>
        <item m="1" x="318"/>
        <item m="1" x="407"/>
        <item m="1" x="550"/>
        <item m="1" x="537"/>
        <item m="1" x="543"/>
      </items>
    </pivotField>
    <pivotField compact="0" showAll="0" defaultSubtotal="0">
      <items count="1124">
        <item m="1" x="458"/>
        <item m="1" x="500"/>
        <item m="1" x="552"/>
        <item m="1" x="597"/>
        <item m="1" x="627"/>
        <item m="1" x="648"/>
        <item m="1" x="665"/>
        <item m="1" x="678"/>
        <item m="1" x="705"/>
        <item m="1" x="440"/>
        <item m="1" x="465"/>
        <item m="1" x="506"/>
        <item m="1" x="556"/>
        <item m="1" x="601"/>
        <item m="1" x="629"/>
        <item m="1" x="649"/>
        <item m="1" x="666"/>
        <item m="1" x="679"/>
        <item m="1" x="706"/>
        <item m="1" x="441"/>
        <item m="1" x="468"/>
        <item m="1" x="514"/>
        <item m="1" x="564"/>
        <item m="1" x="603"/>
        <item m="1" x="630"/>
        <item m="1" x="650"/>
        <item m="1" x="667"/>
        <item m="1" x="680"/>
        <item m="1" x="707"/>
        <item m="1" x="442"/>
        <item m="1" x="469"/>
        <item m="1" x="517"/>
        <item m="1" x="568"/>
        <item m="1" x="604"/>
        <item m="1" x="631"/>
        <item m="1" x="651"/>
        <item m="1" x="668"/>
        <item m="1" x="681"/>
        <item m="1" x="708"/>
        <item m="1" x="697"/>
        <item m="1" x="746"/>
        <item m="1" x="802"/>
        <item m="1" x="857"/>
        <item m="1" x="909"/>
        <item m="1" x="981"/>
        <item m="1" x="1018"/>
        <item m="1" x="166"/>
        <item m="1" x="956"/>
        <item m="1" x="993"/>
        <item m="1" x="1037"/>
        <item m="1" x="1088"/>
        <item m="1" x="77"/>
        <item m="1" x="105"/>
        <item m="1" x="127"/>
        <item m="1" x="143"/>
        <item m="1" x="157"/>
        <item m="1" x="193"/>
        <item m="1" x="971"/>
        <item m="1" x="1001"/>
        <item m="1" x="1042"/>
        <item m="1" x="1092"/>
        <item m="1" x="81"/>
        <item m="1" x="108"/>
        <item m="1" x="128"/>
        <item m="1" x="144"/>
        <item m="1" x="180"/>
        <item m="1" x="232"/>
        <item m="1" x="456"/>
        <item m="1" x="497"/>
        <item m="1" x="549"/>
        <item m="1" x="594"/>
        <item m="1" x="624"/>
        <item m="1" x="646"/>
        <item m="1" x="664"/>
        <item m="1" x="677"/>
        <item m="1" x="695"/>
        <item m="1" x="743"/>
        <item m="1" x="798"/>
        <item m="1" x="853"/>
        <item m="1" x="980"/>
        <item m="1" x="165"/>
        <item m="1" x="476"/>
        <item m="1" x="524"/>
        <item m="1" x="576"/>
        <item m="1" x="612"/>
        <item m="1" x="637"/>
        <item m="1" x="657"/>
        <item m="1" x="672"/>
        <item m="1" x="689"/>
        <item m="1" x="732"/>
        <item m="1" x="449"/>
        <item m="1" x="481"/>
        <item m="1" x="528"/>
        <item m="1" x="580"/>
        <item m="1" x="615"/>
        <item m="1" x="639"/>
        <item m="1" x="658"/>
        <item m="1" x="673"/>
        <item m="1" x="690"/>
        <item m="1" x="733"/>
        <item m="1" x="452"/>
        <item m="1" x="489"/>
        <item m="1" x="534"/>
        <item m="1" x="584"/>
        <item m="1" x="617"/>
        <item m="1" x="640"/>
        <item m="1" x="659"/>
        <item m="1" x="674"/>
        <item m="1" x="691"/>
        <item m="1" x="734"/>
        <item m="1" x="453"/>
        <item m="1" x="492"/>
        <item m="1" x="541"/>
        <item m="1" x="588"/>
        <item m="1" x="618"/>
        <item m="1" x="641"/>
        <item m="1" x="660"/>
        <item m="1" x="675"/>
        <item m="1" x="692"/>
        <item m="1" x="735"/>
        <item m="1" x="454"/>
        <item m="1" x="493"/>
        <item m="1" x="543"/>
        <item m="1" x="589"/>
        <item m="1" x="619"/>
        <item m="1" x="642"/>
        <item m="1" x="661"/>
        <item m="1" x="676"/>
        <item m="1" x="693"/>
        <item m="1" x="736"/>
        <item m="1" x="716"/>
        <item m="1" x="771"/>
        <item m="1" x="826"/>
        <item m="1" x="882"/>
        <item m="1" x="927"/>
        <item m="1" x="991"/>
        <item m="1" x="1035"/>
        <item m="1" x="1086"/>
        <item m="1" x="76"/>
        <item m="1" x="104"/>
        <item m="1" x="126"/>
        <item m="1" x="142"/>
        <item m="1" x="156"/>
        <item m="1" x="192"/>
        <item m="1" x="969"/>
        <item m="1" x="177"/>
        <item m="1" x="1015"/>
        <item m="1" x="1065"/>
        <item m="1" x="1113"/>
        <item m="1" x="95"/>
        <item m="1" x="119"/>
        <item m="1" x="139"/>
        <item m="1" x="152"/>
        <item m="1" x="175"/>
        <item m="1" x="224"/>
        <item m="1" x="985"/>
        <item m="1" x="1021"/>
        <item m="1" x="1069"/>
        <item m="1" x="1117"/>
        <item m="1" x="98"/>
        <item m="1" x="122"/>
        <item m="1" x="140"/>
        <item m="1" x="153"/>
        <item m="1" x="176"/>
        <item m="1" x="203"/>
        <item m="1" x="258"/>
        <item m="1" x="314"/>
        <item m="1" x="370"/>
        <item m="1" x="474"/>
        <item m="1" x="521"/>
        <item m="1" x="573"/>
        <item m="1" x="609"/>
        <item m="1" x="712"/>
        <item m="1" x="768"/>
        <item m="1" x="822"/>
        <item m="1" x="878"/>
        <item m="1" x="686"/>
        <item m="1" x="990"/>
        <item m="1" x="495"/>
        <item m="1" x="547"/>
        <item m="1" x="593"/>
        <item m="1" x="623"/>
        <item x="0"/>
        <item m="1" x="963"/>
        <item m="1" x="158"/>
        <item m="1" x="194"/>
        <item m="1" x="972"/>
        <item m="1" x="1006"/>
        <item m="1" x="1051"/>
        <item m="1" x="1098"/>
        <item m="1" x="84"/>
        <item m="1" x="109"/>
        <item m="1" x="129"/>
        <item m="1" x="145"/>
        <item m="1" x="1081"/>
        <item m="1" x="539"/>
        <item m="1" x="1052"/>
        <item m="1" x="512"/>
        <item m="1" x="1029"/>
        <item m="1" x="487"/>
        <item m="1" x="1002"/>
        <item m="1" x="463"/>
        <item m="1" x="986"/>
        <item m="1" x="587"/>
        <item m="1" x="1099"/>
        <item m="1" x="561"/>
        <item m="1" x="1074"/>
        <item m="1" x="531"/>
        <item m="1" x="1043"/>
        <item m="1" x="503"/>
        <item m="1" x="1022"/>
        <item m="1" x="479"/>
        <item m="1" x="994"/>
        <item m="1" x="602"/>
        <item m="1" x="1121"/>
        <item m="1" x="582"/>
        <item m="1" x="1093"/>
        <item m="1" x="554"/>
        <item m="1" x="1070"/>
        <item m="1" x="526"/>
        <item m="1" x="1038"/>
        <item m="1" x="276"/>
        <item m="1" x="787"/>
        <item m="1" x="247"/>
        <item m="1" x="758"/>
        <item m="1" x="220"/>
        <item m="1" x="727"/>
        <item m="1" x="567"/>
        <item m="1" x="1079"/>
        <item m="1" x="536"/>
        <item m="1" x="1047"/>
        <item m="1" x="508"/>
        <item m="1" x="1025"/>
        <item m="1" x="483"/>
        <item m="1" x="997"/>
        <item m="1" x="459"/>
        <item m="1" x="1123"/>
        <item m="1" x="585"/>
        <item m="1" x="1095"/>
        <item m="1" x="557"/>
        <item m="1" x="1072"/>
        <item m="1" x="529"/>
        <item m="1" x="1040"/>
        <item m="1" x="501"/>
        <item m="1" x="1019"/>
        <item m="1" x="477"/>
        <item m="1" x="815"/>
        <item m="1" x="274"/>
        <item m="1" x="784"/>
        <item m="1" x="243"/>
        <item m="1" x="754"/>
        <item m="1" x="216"/>
        <item m="1" x="723"/>
        <item m="1" x="184"/>
        <item m="1" x="698"/>
        <item m="1" x="329"/>
        <item m="1" x="838"/>
        <item m="1" x="297"/>
        <item m="1" x="808"/>
        <item m="1" x="267"/>
        <item m="1" x="777"/>
        <item m="1" x="236"/>
        <item m="1" x="747"/>
        <item m="1" x="208"/>
        <item m="1" x="717"/>
        <item m="1" x="355"/>
        <item m="1" x="864"/>
        <item m="1" x="323"/>
        <item m="1" x="832"/>
        <item m="1" x="292"/>
        <item m="1" x="803"/>
        <item m="1" x="262"/>
        <item m="1" x="772"/>
        <item m="1" x="230"/>
        <item m="1" x="741"/>
        <item m="1" x="379"/>
        <item m="1" x="889"/>
        <item m="1" x="350"/>
        <item m="1" x="858"/>
        <item m="1" x="318"/>
        <item m="1" x="827"/>
        <item m="1" x="286"/>
        <item m="1" x="796"/>
        <item m="1" x="256"/>
        <item m="1" x="766"/>
        <item m="1" x="400"/>
        <item m="1" x="910"/>
        <item m="1" x="374"/>
        <item m="1" x="883"/>
        <item m="1" x="344"/>
        <item m="1" x="851"/>
        <item m="1" x="312"/>
        <item m="1" x="1101"/>
        <item m="1" x="563"/>
        <item m="1" x="1076"/>
        <item m="1" x="533"/>
        <item m="1" x="1045"/>
        <item m="1" x="505"/>
        <item m="1" x="178"/>
        <item m="1" x="201"/>
        <item m="1" x="225"/>
        <item m="1" x="251"/>
        <item m="1" x="277"/>
        <item m="1" x="304"/>
        <item m="1" x="332"/>
        <item m="1" x="358"/>
        <item m="1" x="381"/>
        <item m="1" x="207"/>
        <item m="1" x="229"/>
        <item m="1" x="255"/>
        <item m="1" x="28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714"/>
        <item m="1" x="739"/>
        <item m="1" x="764"/>
        <item m="1" x="791"/>
        <item m="1" x="443"/>
        <item m="1" x="470"/>
        <item m="1" x="518"/>
        <item m="1" x="569"/>
        <item m="1" x="605"/>
        <item m="1" x="632"/>
        <item m="1" x="652"/>
        <item m="1" x="669"/>
        <item m="1" x="682"/>
        <item m="1" x="709"/>
        <item m="1" x="444"/>
        <item m="1" x="471"/>
        <item m="1" x="519"/>
        <item m="1" x="570"/>
        <item m="1" x="606"/>
        <item m="1" x="633"/>
        <item m="1" x="653"/>
        <item m="1" x="670"/>
        <item m="1" x="683"/>
        <item m="1" x="710"/>
        <item m="1" x="159"/>
        <item m="1" x="195"/>
        <item m="1" x="973"/>
        <item m="1" x="1007"/>
        <item m="1" x="1056"/>
        <item m="1" x="1103"/>
        <item m="1" x="85"/>
        <item m="1" x="110"/>
        <item m="1" x="130"/>
        <item m="1" x="146"/>
        <item m="1" x="160"/>
        <item m="1" x="196"/>
        <item m="1" x="974"/>
        <item m="1" x="1008"/>
        <item m="1" x="1057"/>
        <item m="1" x="1104"/>
        <item m="1" x="86"/>
        <item m="1" x="111"/>
        <item m="1" x="131"/>
        <item m="1" x="147"/>
        <item m="1" x="161"/>
        <item m="1" x="197"/>
        <item m="1" x="975"/>
        <item m="1" x="1009"/>
        <item m="1" x="1058"/>
        <item m="1" x="1105"/>
        <item m="1" x="87"/>
        <item m="1" x="112"/>
        <item m="1" x="132"/>
        <item m="1" x="148"/>
        <item m="1" x="162"/>
        <item m="1" x="198"/>
        <item m="1" x="976"/>
        <item m="1" x="1010"/>
        <item m="1" x="1059"/>
        <item m="1" x="1106"/>
        <item m="1" x="88"/>
        <item m="1" x="113"/>
        <item m="1" x="133"/>
        <item m="1" x="149"/>
        <item m="1" x="163"/>
        <item m="1" x="199"/>
        <item m="1" x="977"/>
        <item m="1" x="1011"/>
        <item m="1" x="1060"/>
        <item m="1" x="1107"/>
        <item m="1" x="89"/>
        <item m="1" x="114"/>
        <item m="1" x="134"/>
        <item m="1" x="150"/>
        <item m="1" x="164"/>
        <item m="1" x="200"/>
        <item m="1" x="978"/>
        <item m="1" x="1012"/>
        <item m="1" x="1061"/>
        <item m="1" x="1108"/>
        <item m="1" x="90"/>
        <item m="1" x="115"/>
        <item m="1" x="135"/>
        <item m="1" x="167"/>
        <item m="1" x="206"/>
        <item m="1" x="979"/>
        <item m="1" x="1013"/>
        <item m="1" x="1062"/>
        <item m="1" x="1109"/>
        <item m="1" x="91"/>
        <item m="1" x="116"/>
        <item m="1" x="136"/>
        <item m="1" x="151"/>
        <item m="1" x="173"/>
        <item m="1" x="214"/>
        <item m="1" x="154"/>
        <item m="1" x="288"/>
        <item m="1" x="346"/>
        <item m="1" x="396"/>
        <item m="1" x="427"/>
        <item m="1" x="439"/>
        <item m="1" x="445"/>
        <item m="1" x="472"/>
        <item m="1" x="155"/>
        <item m="1" x="930"/>
        <item m="1" x="955"/>
        <item m="1" x="967"/>
        <item m="1" x="498"/>
        <item m="1" x="1016"/>
        <item m="1" x="616"/>
        <item m="1" x="82"/>
        <item m="1" x="599"/>
        <item m="1" x="1118"/>
        <item m="1" x="578"/>
        <item m="1" x="1089"/>
        <item m="1" x="550"/>
        <item m="1" x="1066"/>
        <item m="1" x="522"/>
        <item m="1" x="1033"/>
        <item m="1" x="628"/>
        <item m="1" x="99"/>
        <item m="1" x="613"/>
        <item m="1" x="78"/>
        <item m="1" x="595"/>
        <item m="1" x="1114"/>
        <item m="1" x="574"/>
        <item m="1" x="1084"/>
        <item m="1" x="545"/>
        <item m="1" x="1063"/>
        <item m="1" x="638"/>
        <item m="1" x="106"/>
        <item m="1" x="625"/>
        <item m="1" x="96"/>
        <item m="1" x="610"/>
        <item m="1" x="74"/>
        <item m="1" x="591"/>
        <item m="1" x="1111"/>
        <item m="1" x="571"/>
        <item m="1" x="1082"/>
        <item m="1" x="647"/>
        <item m="1" x="120"/>
        <item m="1" x="636"/>
        <item m="1" x="103"/>
        <item m="1" x="622"/>
        <item m="1" x="94"/>
        <item m="1" x="608"/>
        <item m="1" x="73"/>
        <item m="1" x="590"/>
        <item m="1" x="1110"/>
        <item m="1" x="656"/>
        <item m="1" x="125"/>
        <item m="1" x="645"/>
        <item m="1" x="118"/>
        <item m="1" x="635"/>
        <item m="1" x="102"/>
        <item m="1" x="621"/>
        <item m="1" x="93"/>
        <item m="1" x="607"/>
        <item m="1" x="72"/>
        <item m="1" x="663"/>
        <item m="1" x="138"/>
        <item m="1" x="655"/>
        <item m="1" x="124"/>
        <item m="1" x="644"/>
        <item m="1" x="117"/>
        <item m="1" x="634"/>
        <item m="1" x="101"/>
        <item m="1" x="188"/>
        <item m="1" x="702"/>
        <item m="1" x="171"/>
        <item m="1" x="839"/>
        <item m="1" x="299"/>
        <item m="1" x="810"/>
        <item m="1" x="269"/>
        <item m="1" x="779"/>
        <item m="1" x="238"/>
        <item m="1" x="749"/>
        <item m="1" x="210"/>
        <item m="1" x="719"/>
        <item m="1" x="181"/>
        <item m="1" x="865"/>
        <item m="1" x="325"/>
        <item m="1" x="834"/>
        <item m="1" x="294"/>
        <item m="1" x="805"/>
        <item m="1" x="264"/>
        <item m="1" x="774"/>
        <item m="1" x="233"/>
        <item m="1" x="744"/>
        <item m="1" x="204"/>
        <item m="1" x="890"/>
        <item m="1" x="352"/>
        <item m="1" x="861"/>
        <item m="1" x="320"/>
        <item m="1" x="829"/>
        <item m="1" x="289"/>
        <item m="1" x="799"/>
        <item m="1" x="259"/>
        <item m="1" x="769"/>
        <item m="1" x="227"/>
        <item m="1" x="911"/>
        <item m="1" x="376"/>
        <item m="1" x="886"/>
        <item m="1" x="347"/>
        <item m="1" x="854"/>
        <item m="1" x="315"/>
        <item m="1" x="823"/>
        <item m="1" x="283"/>
        <item m="1" x="794"/>
        <item m="1" x="253"/>
        <item m="1" x="928"/>
        <item m="1" x="397"/>
        <item m="1" x="906"/>
        <item m="1" x="371"/>
        <item m="1" x="879"/>
        <item m="1" x="341"/>
        <item m="1" x="848"/>
        <item m="1" x="309"/>
        <item m="1" x="819"/>
        <item m="1" x="279"/>
        <item m="1" x="942"/>
        <item m="1" x="413"/>
        <item m="1" x="924"/>
        <item m="1" x="392"/>
        <item m="1" x="901"/>
        <item m="1" x="366"/>
        <item m="1" x="874"/>
        <item m="1" x="337"/>
        <item m="1" x="845"/>
        <item m="1" x="306"/>
        <item m="1" x="952"/>
        <item m="1" x="424"/>
        <item m="1" x="939"/>
        <item m="1" x="409"/>
        <item m="1" x="920"/>
        <item m="1" x="388"/>
        <item m="1" x="897"/>
        <item m="1" x="362"/>
        <item m="1" x="871"/>
        <item m="1" x="334"/>
        <item m="1" x="960"/>
        <item m="1" x="432"/>
        <item m="1" x="949"/>
        <item m="1" x="420"/>
        <item m="1" x="935"/>
        <item m="1" x="405"/>
        <item m="1" x="917"/>
        <item m="1" x="385"/>
        <item m="1" x="894"/>
        <item m="1" x="359"/>
        <item m="1" x="965"/>
        <item m="1" x="436"/>
        <item m="1" x="958"/>
        <item m="1" x="429"/>
        <item m="1" x="946"/>
        <item m="1" x="417"/>
        <item m="1" x="932"/>
        <item m="1" x="402"/>
        <item m="1" x="914"/>
        <item m="1" x="382"/>
        <item m="1" x="868"/>
        <item m="1" x="330"/>
        <item m="1" x="840"/>
        <item m="1" x="300"/>
        <item m="1" x="811"/>
        <item m="1" x="270"/>
        <item m="1" x="780"/>
        <item m="1" x="239"/>
        <item m="1" x="750"/>
        <item m="1" x="211"/>
        <item m="1" x="892"/>
        <item m="1" x="356"/>
        <item m="1" x="866"/>
        <item m="1" x="326"/>
        <item m="1" x="835"/>
        <item m="1" x="295"/>
        <item m="1" x="806"/>
        <item m="1" x="265"/>
        <item m="1" x="775"/>
        <item m="1" x="234"/>
        <item m="1" x="913"/>
        <item m="1" x="380"/>
        <item m="1" x="891"/>
        <item m="1" x="353"/>
        <item m="1" x="862"/>
        <item m="1" x="321"/>
        <item m="1" x="830"/>
        <item m="1" x="290"/>
        <item m="1" x="800"/>
        <item m="1" x="260"/>
        <item m="1" x="931"/>
        <item m="1" x="401"/>
        <item m="1" x="912"/>
        <item m="1" x="377"/>
        <item m="1" x="887"/>
        <item m="1" x="348"/>
        <item m="1" x="855"/>
        <item m="1" x="316"/>
        <item m="1" x="824"/>
        <item m="1" x="284"/>
        <item m="1" x="944"/>
        <item m="1" x="416"/>
        <item m="1" x="929"/>
        <item m="1" x="398"/>
        <item m="1" x="907"/>
        <item m="1" x="372"/>
        <item m="1" x="880"/>
        <item m="1" x="342"/>
        <item m="1" x="849"/>
        <item m="1" x="310"/>
        <item m="1" x="954"/>
        <item m="1" x="428"/>
        <item m="1" x="943"/>
        <item m="1" x="414"/>
        <item m="1" x="925"/>
        <item m="1" x="393"/>
        <item m="1" x="902"/>
        <item m="1" x="367"/>
        <item m="1" x="875"/>
        <item m="1" x="338"/>
        <item m="1" x="962"/>
        <item m="1" x="435"/>
        <item m="1" x="953"/>
        <item m="1" x="425"/>
        <item m="1" x="940"/>
        <item m="1" x="410"/>
        <item m="1" x="921"/>
        <item m="1" x="389"/>
        <item m="1" x="898"/>
        <item m="1" x="363"/>
        <item m="1" x="966"/>
        <item m="1" x="438"/>
        <item m="1" x="961"/>
        <item m="1" x="433"/>
        <item m="1" x="950"/>
        <item m="1" x="421"/>
        <item m="1" x="936"/>
        <item m="1" x="406"/>
        <item m="1" x="246"/>
        <item m="1" x="757"/>
        <item m="1" x="219"/>
        <item m="1" x="726"/>
        <item m="1" x="187"/>
        <item m="1" x="701"/>
        <item m="1" x="170"/>
        <item m="1" x="685"/>
        <item m="1" x="1050"/>
        <item m="1" x="511"/>
        <item m="1" x="1028"/>
        <item m="1" x="486"/>
        <item m="1" x="1000"/>
        <item m="1" x="462"/>
        <item m="1" x="984"/>
        <item m="1" x="447"/>
        <item m="1" x="968"/>
        <item m="1" x="560"/>
        <item m="1" x="786"/>
        <item m="1" x="245"/>
        <item m="1" x="756"/>
        <item m="1" x="218"/>
        <item m="1" x="725"/>
        <item m="1" x="186"/>
        <item m="1" x="700"/>
        <item m="1" x="169"/>
        <item m="1" x="684"/>
        <item m="1" x="298"/>
        <item m="1" x="809"/>
        <item m="1" x="268"/>
        <item m="1" x="778"/>
        <item m="1" x="237"/>
        <item m="1" x="748"/>
        <item m="1" x="209"/>
        <item m="1" x="718"/>
        <item m="1" x="179"/>
        <item m="1" x="694"/>
        <item m="1" x="324"/>
        <item m="1" x="833"/>
        <item m="1" x="293"/>
        <item m="1" x="804"/>
        <item m="1" x="263"/>
        <item m="1" x="773"/>
        <item m="1" x="231"/>
        <item m="1" x="742"/>
        <item m="1" x="202"/>
        <item m="1" x="711"/>
        <item m="1" x="351"/>
        <item m="1" x="859"/>
        <item m="1" x="319"/>
        <item m="1" x="828"/>
        <item m="1" x="287"/>
        <item m="1" x="797"/>
        <item m="1" x="257"/>
        <item m="1" x="767"/>
        <item m="1" x="226"/>
        <item m="1" x="737"/>
        <item m="1" x="375"/>
        <item m="1" x="884"/>
        <item m="1" x="345"/>
        <item m="1" x="852"/>
        <item m="1" x="313"/>
        <item m="1" x="821"/>
        <item m="1" x="282"/>
        <item m="1" x="793"/>
        <item m="1" x="252"/>
        <item m="1" x="762"/>
        <item m="1" x="395"/>
        <item m="1" x="904"/>
        <item m="1" x="369"/>
        <item m="1" x="877"/>
        <item m="1" x="340"/>
        <item m="1" x="847"/>
        <item m="1" x="308"/>
        <item m="1" x="818"/>
        <item m="1" x="278"/>
        <item m="1" x="790"/>
        <item m="1" x="412"/>
        <item m="1" x="923"/>
        <item m="1" x="391"/>
        <item m="1" x="900"/>
        <item m="1" x="365"/>
        <item m="1" x="873"/>
        <item m="1" x="336"/>
        <item m="1" x="844"/>
        <item m="1" x="305"/>
        <item m="1" x="816"/>
        <item m="1" x="423"/>
        <item m="1" x="938"/>
        <item m="1" x="408"/>
        <item m="1" x="919"/>
        <item m="1" x="387"/>
        <item m="1" x="896"/>
        <item m="1" x="361"/>
        <item m="1" x="870"/>
        <item m="1" x="333"/>
        <item m="1" x="842"/>
        <item m="1" x="431"/>
        <item m="1" x="948"/>
        <item m="1" x="419"/>
        <item m="1" x="934"/>
        <item m="1" x="404"/>
        <item m="1" x="916"/>
        <item m="1" x="384"/>
        <item m="1" x="538"/>
        <item m="1" x="1049"/>
        <item m="1" x="510"/>
        <item m="1" x="1027"/>
        <item m="1" x="485"/>
        <item m="1" x="999"/>
        <item m="1" x="461"/>
        <item m="1" x="983"/>
        <item m="1" x="446"/>
        <item m="1" x="1097"/>
        <item m="1" x="559"/>
        <item m="1" x="1073"/>
        <item m="1" x="530"/>
        <item m="1" x="1041"/>
        <item m="1" x="502"/>
        <item m="1" x="1020"/>
        <item m="1" x="478"/>
        <item m="1" x="992"/>
        <item m="1" x="455"/>
        <item m="1" x="1120"/>
        <item m="1" x="581"/>
        <item m="1" x="1091"/>
        <item m="1" x="553"/>
        <item m="1" x="1068"/>
        <item m="1" x="525"/>
        <item m="1" x="1036"/>
        <item m="1" x="496"/>
        <item m="1" x="1014"/>
        <item m="1" x="473"/>
        <item m="1" x="80"/>
        <item m="1" x="598"/>
        <item m="1" x="1116"/>
        <item m="1" x="577"/>
        <item m="1" x="1087"/>
        <item m="1" x="548"/>
        <item m="1" x="275"/>
        <item m="1" x="785"/>
        <item m="1" x="244"/>
        <item m="1" x="755"/>
        <item m="1" x="217"/>
        <item m="1" x="724"/>
        <item m="1" x="185"/>
        <item m="1" x="699"/>
        <item m="1" x="1080"/>
        <item m="1" x="537"/>
        <item m="1" x="1048"/>
        <item m="1" x="509"/>
        <item m="1" x="1026"/>
        <item m="1" x="484"/>
        <item m="1" x="998"/>
        <item m="1" x="460"/>
        <item m="1" x="982"/>
        <item m="1" x="586"/>
        <item m="1" x="1096"/>
        <item m="1" x="540"/>
        <item m="1" x="1053"/>
        <item m="1" x="513"/>
        <item m="1" x="250"/>
        <item m="1" x="761"/>
        <item m="1" x="223"/>
        <item m="1" x="730"/>
        <item m="1" x="191"/>
        <item m="1" x="1055"/>
        <item m="1" x="516"/>
        <item m="1" x="1032"/>
        <item m="1" x="491"/>
        <item m="1" x="1005"/>
        <item m="1" x="467"/>
        <item m="1" x="989"/>
        <item m="1" x="451"/>
        <item m="1" x="970"/>
        <item m="1" x="566"/>
        <item m="1" x="1078"/>
        <item m="1" x="789"/>
        <item m="1" x="249"/>
        <item m="1" x="760"/>
        <item m="1" x="222"/>
        <item m="1" x="729"/>
        <item m="1" x="190"/>
        <item m="1" x="704"/>
        <item m="1" x="174"/>
        <item m="1" x="688"/>
        <item m="1" x="303"/>
        <item m="1" x="814"/>
        <item m="1" x="273"/>
        <item m="1" x="783"/>
        <item m="1" x="242"/>
        <item m="1" x="753"/>
        <item m="1" x="215"/>
        <item m="1" x="722"/>
        <item m="1" x="183"/>
        <item m="1" x="542"/>
        <item m="1" x="1054"/>
        <item m="1" x="515"/>
        <item m="1" x="1031"/>
        <item m="1" x="490"/>
        <item m="1" x="1004"/>
        <item m="1" x="466"/>
        <item m="1" x="988"/>
        <item m="1" x="450"/>
        <item m="1" x="1102"/>
        <item m="1" x="565"/>
        <item m="1" x="1077"/>
        <item m="1" x="535"/>
        <item m="1" x="1046"/>
        <item m="1" x="507"/>
        <item m="1" x="1024"/>
        <item m="1" x="482"/>
        <item m="1" x="996"/>
        <item m="1" x="731"/>
        <item m="1" x="558"/>
        <item m="1" x="168"/>
        <item x="33"/>
        <item x="34"/>
        <item x="35"/>
        <item x="36"/>
        <item m="1" x="945"/>
        <item m="1" x="957"/>
        <item m="1" x="964"/>
        <item m="1" x="860"/>
        <item m="1" x="885"/>
        <item m="1" x="905"/>
        <item m="1" x="620"/>
        <item m="1" x="92"/>
        <item m="1" x="671"/>
        <item m="1" x="141"/>
        <item m="1" x="662"/>
        <item m="1" x="137"/>
        <item m="1" x="654"/>
        <item m="1" x="123"/>
        <item m="1" x="643"/>
        <item m="1" x="1030"/>
        <item m="1" x="488"/>
        <item m="1" x="1003"/>
        <item m="1" x="464"/>
        <item m="1" x="987"/>
        <item m="1" x="448"/>
        <item m="1" x="1100"/>
        <item m="1" x="562"/>
        <item m="1" x="1075"/>
        <item m="1" x="532"/>
        <item m="1" x="1044"/>
        <item m="1" x="504"/>
        <item m="1" x="1023"/>
        <item m="1" x="480"/>
        <item m="1" x="995"/>
        <item m="1" x="457"/>
        <item m="1" x="1122"/>
        <item m="1" x="583"/>
        <item m="1" x="1094"/>
        <item m="1" x="555"/>
        <item m="1" x="1071"/>
        <item m="1" x="527"/>
        <item m="1" x="1039"/>
        <item m="1" x="499"/>
        <item m="1" x="1017"/>
        <item m="1" x="475"/>
        <item m="1" x="83"/>
        <item m="1" x="600"/>
        <item m="1" x="1119"/>
        <item m="1" x="579"/>
        <item m="1" x="1090"/>
        <item m="1" x="551"/>
        <item m="1" x="1067"/>
        <item m="1" x="523"/>
        <item m="1" x="1034"/>
        <item m="1" x="494"/>
        <item m="1" x="100"/>
        <item m="1" x="614"/>
        <item m="1" x="79"/>
        <item m="1" x="596"/>
        <item m="1" x="1115"/>
        <item m="1" x="575"/>
        <item m="1" x="1085"/>
        <item m="1" x="546"/>
        <item m="1" x="1064"/>
        <item m="1" x="520"/>
        <item m="1" x="107"/>
        <item m="1" x="626"/>
        <item m="1" x="97"/>
        <item m="1" x="611"/>
        <item m="1" x="75"/>
        <item m="1" x="592"/>
        <item m="1" x="1112"/>
        <item m="1" x="572"/>
        <item m="1" x="1083"/>
        <item m="1" x="544"/>
        <item m="1" x="121"/>
        <item m="1" x="788"/>
        <item m="1" x="248"/>
        <item m="1" x="759"/>
        <item m="1" x="221"/>
        <item m="1" x="728"/>
        <item m="1" x="189"/>
        <item m="1" x="703"/>
        <item m="1" x="172"/>
        <item m="1" x="687"/>
        <item m="1" x="301"/>
        <item m="1" x="812"/>
        <item m="1" x="271"/>
        <item m="1" x="781"/>
        <item m="1" x="240"/>
        <item m="1" x="751"/>
        <item m="1" x="212"/>
        <item m="1" x="720"/>
        <item m="1" x="182"/>
        <item m="1" x="696"/>
        <item m="1" x="327"/>
        <item m="1" x="836"/>
        <item m="1" x="296"/>
        <item m="1" x="807"/>
        <item m="1" x="266"/>
        <item m="1" x="776"/>
        <item m="1" x="235"/>
        <item m="1" x="745"/>
        <item m="1" x="205"/>
        <item m="1" x="715"/>
        <item m="1" x="354"/>
        <item m="1" x="863"/>
        <item m="1" x="322"/>
        <item m="1" x="831"/>
        <item m="1" x="291"/>
        <item m="1" x="801"/>
        <item m="1" x="261"/>
        <item m="1" x="770"/>
        <item m="1" x="228"/>
        <item m="1" x="740"/>
        <item m="1" x="378"/>
        <item m="1" x="888"/>
        <item m="1" x="349"/>
        <item m="1" x="856"/>
        <item m="1" x="317"/>
        <item m="1" x="825"/>
        <item m="1" x="285"/>
        <item m="1" x="795"/>
        <item m="1" x="254"/>
        <item m="1" x="765"/>
        <item m="1" x="399"/>
        <item m="1" x="908"/>
        <item m="1" x="373"/>
        <item m="1" x="881"/>
        <item m="1" x="343"/>
        <item m="1" x="850"/>
        <item m="1" x="311"/>
        <item m="1" x="820"/>
        <item m="1" x="280"/>
        <item m="1" x="792"/>
        <item m="1" x="415"/>
        <item m="1" x="926"/>
        <item m="1" x="394"/>
        <item m="1" x="903"/>
        <item m="1" x="368"/>
        <item m="1" x="876"/>
        <item m="1" x="339"/>
        <item m="1" x="846"/>
        <item m="1" x="307"/>
        <item m="1" x="817"/>
        <item m="1" x="426"/>
        <item m="1" x="941"/>
        <item m="1" x="411"/>
        <item m="1" x="922"/>
        <item m="1" x="390"/>
        <item m="1" x="899"/>
        <item m="1" x="364"/>
        <item m="1" x="872"/>
        <item m="1" x="335"/>
        <item m="1" x="843"/>
        <item m="1" x="434"/>
        <item m="1" x="951"/>
        <item m="1" x="422"/>
        <item m="1" x="937"/>
        <item m="1" x="407"/>
        <item m="1" x="918"/>
        <item m="1" x="386"/>
        <item m="1" x="895"/>
        <item m="1" x="360"/>
        <item m="1" x="869"/>
        <item m="1" x="437"/>
        <item m="1" x="959"/>
        <item m="1" x="430"/>
        <item m="1" x="947"/>
        <item m="1" x="418"/>
        <item m="1" x="933"/>
        <item m="1" x="403"/>
        <item m="1" x="915"/>
        <item m="1" x="383"/>
        <item m="1" x="893"/>
        <item m="1" x="331"/>
        <item m="1" x="841"/>
        <item m="1" x="302"/>
        <item m="1" x="813"/>
        <item m="1" x="272"/>
        <item m="1" x="782"/>
        <item m="1" x="241"/>
        <item m="1" x="752"/>
        <item m="1" x="213"/>
        <item m="1" x="721"/>
        <item m="1" x="357"/>
        <item m="1" x="867"/>
        <item m="1" x="328"/>
        <item m="1" x="837"/>
        <item x="71"/>
        <item m="1" x="713"/>
        <item m="1" x="738"/>
        <item m="1" x="763"/>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compact="0" showAll="0" defaultSubtotal="0">
      <items count="1505">
        <item m="1" x="589"/>
        <item m="1" x="728"/>
        <item m="1" x="1036"/>
        <item m="1" x="628"/>
        <item m="1" x="340"/>
        <item m="1" x="978"/>
        <item m="1" x="701"/>
        <item m="1" x="236"/>
        <item m="1" x="876"/>
        <item m="1" x="1070"/>
        <item m="1" x="706"/>
        <item m="1" x="1364"/>
        <item m="1" x="824"/>
        <item m="1" x="330"/>
        <item m="1" x="609"/>
        <item m="1" x="405"/>
        <item m="1" x="473"/>
        <item m="1" x="272"/>
        <item m="1" x="240"/>
        <item m="1" x="1381"/>
        <item m="1" x="353"/>
        <item m="1" x="137"/>
        <item m="1" x="1190"/>
        <item m="1" x="526"/>
        <item m="1" x="1422"/>
        <item m="1" x="830"/>
        <item m="1" x="339"/>
        <item m="1" x="1118"/>
        <item m="1" x="723"/>
        <item m="1" x="118"/>
        <item m="1" x="119"/>
        <item m="1" x="574"/>
        <item m="1" x="283"/>
        <item m="1" x="284"/>
        <item m="1" x="1001"/>
        <item m="1" x="1372"/>
        <item m="1" x="1135"/>
        <item m="1" x="310"/>
        <item m="1" x="1220"/>
        <item m="1" x="975"/>
        <item m="1" x="264"/>
        <item m="1" x="1309"/>
        <item m="1" x="458"/>
        <item m="1" x="779"/>
        <item m="1" x="201"/>
        <item m="1" x="827"/>
        <item m="1" x="1086"/>
        <item m="1" x="408"/>
        <item m="1" x="590"/>
        <item m="1" x="1425"/>
        <item m="1" x="492"/>
        <item m="1" x="1203"/>
        <item m="1" x="600"/>
        <item x="11"/>
        <item m="1" x="345"/>
        <item m="1" x="983"/>
        <item m="1" x="358"/>
        <item m="1" x="258"/>
        <item m="1" x="1023"/>
        <item m="1" x="675"/>
        <item m="1" x="144"/>
        <item m="1" x="267"/>
        <item m="1" x="1213"/>
        <item m="1" x="569"/>
        <item m="1" x="1030"/>
        <item m="1" x="289"/>
        <item m="1" x="286"/>
        <item m="1" x="1028"/>
        <item m="1" x="1006"/>
        <item m="1" x="529"/>
        <item m="1" x="452"/>
        <item m="1" x="523"/>
        <item m="1" x="278"/>
        <item m="1" x="1265"/>
        <item m="1" x="460"/>
        <item m="1" x="302"/>
        <item m="1" x="1106"/>
        <item m="1" x="1002"/>
        <item m="1" x="1087"/>
        <item m="1" x="775"/>
        <item m="1" x="359"/>
        <item m="1" x="627"/>
        <item m="1" x="652"/>
        <item m="1" x="309"/>
        <item m="1" x="869"/>
        <item m="1" x="587"/>
        <item m="1" x="1119"/>
        <item m="1" x="341"/>
        <item m="1" x="762"/>
        <item m="1" x="1178"/>
        <item m="1" x="805"/>
        <item m="1" x="710"/>
        <item m="1" x="711"/>
        <item m="1" x="1095"/>
        <item m="1" x="111"/>
        <item m="1" x="546"/>
        <item m="1" x="1377"/>
        <item m="1" x="1481"/>
        <item m="1" x="518"/>
        <item m="1" x="203"/>
        <item m="1" x="924"/>
        <item m="1" x="544"/>
        <item m="1" x="734"/>
        <item m="1" x="1091"/>
        <item m="1" x="519"/>
        <item m="1" x="727"/>
        <item m="1" x="691"/>
        <item m="1" x="905"/>
        <item m="1" x="767"/>
        <item m="1" x="204"/>
        <item m="1" x="472"/>
        <item m="1" x="1321"/>
        <item m="1" x="224"/>
        <item m="1" x="679"/>
        <item m="1" x="1153"/>
        <item m="1" x="206"/>
        <item m="1" x="621"/>
        <item m="1" x="1192"/>
        <item m="1" x="485"/>
        <item m="1" x="619"/>
        <item m="1" x="200"/>
        <item m="1" x="610"/>
        <item m="1" x="952"/>
        <item m="1" x="1441"/>
        <item m="1" x="1262"/>
        <item m="1" x="1201"/>
        <item m="1" x="1051"/>
        <item m="1" x="1328"/>
        <item m="1" x="1189"/>
        <item m="1" x="499"/>
        <item m="1" x="490"/>
        <item m="1" x="336"/>
        <item m="1" x="813"/>
        <item m="1" x="1311"/>
        <item m="1" x="645"/>
        <item m="1" x="1229"/>
        <item m="1" x="211"/>
        <item m="1" x="296"/>
        <item m="1" x="1249"/>
        <item m="1" x="623"/>
        <item m="1" x="1259"/>
        <item m="1" x="1396"/>
        <item m="1" x="588"/>
        <item m="1" x="383"/>
        <item m="1" x="1149"/>
        <item m="1" x="394"/>
        <item m="1" x="425"/>
        <item m="1" x="640"/>
        <item m="1" x="314"/>
        <item m="1" x="1410"/>
        <item m="1" x="271"/>
        <item m="1" x="498"/>
        <item m="1" x="885"/>
        <item m="1" x="385"/>
        <item m="1" x="1038"/>
        <item m="1" x="178"/>
        <item m="1" x="346"/>
        <item m="1" x="776"/>
        <item m="1" x="146"/>
        <item m="1" x="934"/>
        <item m="1" x="194"/>
        <item m="1" x="395"/>
        <item m="1" x="707"/>
        <item m="1" x="1409"/>
        <item m="1" x="708"/>
        <item m="1" x="1263"/>
        <item m="1" x="823"/>
        <item x="47"/>
        <item m="1" x="973"/>
        <item m="1" x="950"/>
        <item m="1" x="936"/>
        <item m="1" x="288"/>
        <item m="1" x="401"/>
        <item m="1" x="1353"/>
        <item m="1" x="285"/>
        <item m="1" x="455"/>
        <item m="1" x="1145"/>
        <item m="1" x="954"/>
        <item m="1" x="542"/>
        <item m="1" x="115"/>
        <item m="1" x="252"/>
        <item m="1" x="131"/>
        <item m="1" x="213"/>
        <item m="1" x="570"/>
        <item m="1" x="229"/>
        <item m="1" x="270"/>
        <item m="1" x="300"/>
        <item m="1" x="979"/>
        <item m="1" x="1142"/>
        <item m="1" x="1179"/>
        <item m="1" x="1335"/>
        <item m="1" x="120"/>
        <item m="1" x="1180"/>
        <item m="1" x="1336"/>
        <item m="1" x="121"/>
        <item m="1" x="325"/>
        <item m="1" x="470"/>
        <item m="1" x="1147"/>
        <item m="1" x="1341"/>
        <item m="1" x="1446"/>
        <item x="3"/>
        <item m="1" x="1362"/>
        <item m="1" x="608"/>
        <item m="1" x="981"/>
        <item m="1" x="1040"/>
        <item m="1" x="1317"/>
        <item m="1" x="1099"/>
        <item m="1" x="481"/>
        <item m="1" x="837"/>
        <item m="1" x="736"/>
        <item m="1" x="475"/>
        <item m="1" x="469"/>
        <item m="1" x="1027"/>
        <item m="1" x="760"/>
        <item m="1" x="230"/>
        <item m="1" x="995"/>
        <item m="1" x="1208"/>
        <item m="1" x="503"/>
        <item m="1" x="388"/>
        <item m="1" x="953"/>
        <item m="1" x="962"/>
        <item m="1" x="686"/>
        <item m="1" x="1283"/>
        <item m="1" x="1108"/>
        <item m="1" x="1264"/>
        <item m="1" x="1133"/>
        <item m="1" x="1032"/>
        <item m="1" x="769"/>
        <item m="1" x="1450"/>
        <item m="1" x="702"/>
        <item m="1" x="217"/>
        <item m="1" x="371"/>
        <item x="10"/>
        <item m="1" x="1495"/>
        <item m="1" x="362"/>
        <item m="1" x="172"/>
        <item m="1" x="515"/>
        <item m="1" x="1488"/>
        <item m="1" x="500"/>
        <item m="1" x="1401"/>
        <item m="1" x="157"/>
        <item m="1" x="568"/>
        <item m="1" x="581"/>
        <item m="1" x="630"/>
        <item m="1" x="368"/>
        <item m="1" x="1400"/>
        <item m="1" x="1390"/>
        <item m="1" x="1089"/>
        <item m="1" x="576"/>
        <item m="1" x="372"/>
        <item m="1" x="752"/>
        <item m="1" x="255"/>
        <item m="1" x="836"/>
        <item m="1" x="853"/>
        <item m="1" x="1301"/>
        <item m="1" x="317"/>
        <item m="1" x="462"/>
        <item m="1" x="257"/>
        <item m="1" x="210"/>
        <item m="1" x="1069"/>
        <item m="1" x="1501"/>
        <item m="1" x="265"/>
        <item m="1" x="1222"/>
        <item m="1" x="774"/>
        <item m="1" x="479"/>
        <item m="1" x="968"/>
        <item m="1" x="858"/>
        <item m="1" x="1462"/>
        <item m="1" x="189"/>
        <item m="1" x="366"/>
        <item m="1" x="397"/>
        <item m="1" x="1167"/>
        <item m="1" x="646"/>
        <item m="1" x="866"/>
        <item m="1" x="955"/>
        <item m="1" x="1157"/>
        <item m="1" x="899"/>
        <item m="1" x="1434"/>
        <item m="1" x="369"/>
        <item m="1" x="450"/>
        <item x="30"/>
        <item m="1" x="844"/>
        <item m="1" x="1352"/>
        <item m="1" x="1015"/>
        <item m="1" x="994"/>
        <item m="1" x="489"/>
        <item m="1" x="871"/>
        <item m="1" x="248"/>
        <item m="1" x="976"/>
        <item m="1" x="578"/>
        <item m="1" x="328"/>
        <item m="1" x="681"/>
        <item m="1" x="167"/>
        <item m="1" x="712"/>
        <item m="1" x="605"/>
        <item m="1" x="1168"/>
        <item m="1" x="1219"/>
        <item m="1" x="1376"/>
        <item m="1" x="537"/>
        <item m="1" x="988"/>
        <item m="1" x="234"/>
        <item m="1" x="944"/>
        <item m="1" x="703"/>
        <item m="1" x="631"/>
        <item m="1" x="453"/>
        <item m="1" x="1034"/>
        <item m="1" x="841"/>
        <item m="1" x="1115"/>
        <item m="1" x="316"/>
        <item m="1" x="847"/>
        <item m="1" x="848"/>
        <item m="1" x="946"/>
        <item m="1" x="1419"/>
        <item m="1" x="1114"/>
        <item m="1" x="329"/>
        <item m="1" x="969"/>
        <item m="1" x="1185"/>
        <item m="1" x="129"/>
        <item m="1" x="1417"/>
        <item m="1" x="1256"/>
        <item m="1" x="1412"/>
        <item m="1" x="1093"/>
        <item m="1" x="1363"/>
        <item m="1" x="1475"/>
        <item m="1" x="1329"/>
        <item m="1" x="1338"/>
        <item m="1" x="766"/>
        <item m="1" x="951"/>
        <item m="1" x="777"/>
        <item m="1" x="1166"/>
        <item m="1" x="729"/>
        <item m="1" x="1281"/>
        <item m="1" x="436"/>
        <item m="1" x="602"/>
        <item m="1" x="1429"/>
        <item m="1" x="972"/>
        <item m="1" x="342"/>
        <item m="1" x="116"/>
        <item m="1" x="781"/>
        <item m="1" x="622"/>
        <item m="1" x="182"/>
        <item m="1" x="806"/>
        <item m="1" x="911"/>
        <item m="1" x="1170"/>
        <item x="32"/>
        <item m="1" x="357"/>
        <item m="1" x="1138"/>
        <item m="1" x="1005"/>
        <item m="1" x="1020"/>
        <item m="1" x="352"/>
        <item m="1" x="671"/>
        <item m="1" x="678"/>
        <item m="1" x="838"/>
        <item m="1" x="803"/>
        <item m="1" x="804"/>
        <item m="1" x="322"/>
        <item m="1" x="262"/>
        <item m="1" x="320"/>
        <item m="1" x="337"/>
        <item m="1" x="763"/>
        <item m="1" x="764"/>
        <item m="1" x="1483"/>
        <item m="1" x="1484"/>
        <item m="1" x="1128"/>
        <item m="1" x="722"/>
        <item m="1" x="457"/>
        <item m="1" x="1100"/>
        <item m="1" x="495"/>
        <item m="1" x="1227"/>
        <item m="1" x="491"/>
        <item m="1" x="1415"/>
        <item m="1" x="402"/>
        <item m="1" x="382"/>
        <item m="1" x="249"/>
        <item m="1" x="802"/>
        <item m="1" x="373"/>
        <item m="1" x="1375"/>
        <item m="1" x="1391"/>
        <item m="1" x="654"/>
        <item m="1" x="528"/>
        <item m="1" x="606"/>
        <item m="1" x="1485"/>
        <item m="1" x="128"/>
        <item m="1" x="1257"/>
        <item m="1" x="109"/>
        <item m="1" x="694"/>
        <item m="1" x="584"/>
        <item m="1" x="193"/>
        <item m="1" x="575"/>
        <item m="1" x="696"/>
        <item m="1" x="160"/>
        <item m="1" x="1411"/>
        <item m="1" x="787"/>
        <item m="1" x="601"/>
        <item m="1" x="1277"/>
        <item m="1" x="922"/>
        <item m="1" x="1072"/>
        <item m="1" x="1241"/>
        <item m="1" x="202"/>
        <item m="1" x="1337"/>
        <item m="1" x="501"/>
        <item m="1" x="620"/>
        <item m="1" x="870"/>
        <item m="1" x="1325"/>
        <item m="1" x="242"/>
        <item m="1" x="260"/>
        <item m="1" x="1431"/>
        <item m="1" x="961"/>
        <item m="1" x="888"/>
        <item m="1" x="742"/>
        <item m="1" x="207"/>
        <item m="1" x="1198"/>
        <item m="1" x="788"/>
        <item m="1" x="558"/>
        <item m="1" x="674"/>
        <item m="1" x="1420"/>
        <item m="1" x="980"/>
        <item m="1" x="232"/>
        <item m="1" x="507"/>
        <item m="1" x="104"/>
        <item m="1" x="333"/>
        <item m="1" x="171"/>
        <item m="1" x="292"/>
        <item m="1" x="1439"/>
        <item m="1" x="199"/>
        <item m="1" x="790"/>
        <item m="1" x="1346"/>
        <item m="1" x="1065"/>
        <item m="1" x="514"/>
        <item m="1" x="822"/>
        <item m="1" x="1244"/>
        <item m="1" x="1137"/>
        <item m="1" x="348"/>
        <item m="1" x="536"/>
        <item m="1" x="1156"/>
        <item m="1" x="755"/>
        <item m="1" x="798"/>
        <item m="1" x="845"/>
        <item m="1" x="1300"/>
        <item m="1" x="512"/>
        <item m="1" x="1399"/>
        <item m="1" x="356"/>
        <item m="1" x="280"/>
        <item m="1" x="313"/>
        <item m="1" x="463"/>
        <item m="1" x="1295"/>
        <item m="1" x="945"/>
        <item m="1" x="295"/>
        <item m="1" x="438"/>
        <item m="1" x="386"/>
        <item m="1" x="276"/>
        <item m="1" x="1048"/>
        <item m="1" x="277"/>
        <item m="1" x="1046"/>
        <item m="1" x="103"/>
        <item m="1" x="650"/>
        <item m="1" x="451"/>
        <item m="1" x="1011"/>
        <item m="1" x="251"/>
        <item m="1" x="161"/>
        <item m="1" x="1255"/>
        <item m="1" x="807"/>
        <item m="1" x="461"/>
        <item m="1" x="1405"/>
        <item m="1" x="403"/>
        <item m="1" x="919"/>
        <item m="1" x="571"/>
        <item m="1" x="1084"/>
        <item m="1" x="1082"/>
        <item m="1" x="1394"/>
        <item m="1" x="965"/>
        <item m="1" x="1215"/>
        <item m="1" x="446"/>
        <item m="1" x="233"/>
        <item m="1" x="753"/>
        <item m="1" x="987"/>
        <item m="1" x="1022"/>
        <item m="1" x="1164"/>
        <item m="1" x="541"/>
        <item m="1" x="1500"/>
        <item m="1" x="165"/>
        <item m="1" x="231"/>
        <item m="1" x="1144"/>
        <item m="1" x="412"/>
        <item m="1" x="817"/>
        <item m="1" x="586"/>
        <item m="1" x="1207"/>
        <item m="1" x="604"/>
        <item m="1" x="1502"/>
        <item m="1" x="1306"/>
        <item m="1" x="1085"/>
        <item m="1" x="1214"/>
        <item m="1" x="1242"/>
        <item m="1" x="1282"/>
        <item m="1" x="1303"/>
        <item m="1" x="293"/>
        <item m="1" x="294"/>
        <item m="1" x="1136"/>
        <item m="1" x="1103"/>
        <item m="1" x="854"/>
        <item m="1" x="530"/>
        <item m="1" x="471"/>
        <item m="1" x="493"/>
        <item m="1" x="105"/>
        <item m="1" x="531"/>
        <item m="1" x="406"/>
        <item m="1" x="1297"/>
        <item m="1" x="1188"/>
        <item m="1" x="563"/>
        <item m="1" x="441"/>
        <item m="1" x="1226"/>
        <item m="1" x="1331"/>
        <item m="1" x="347"/>
        <item m="1" x="572"/>
        <item m="1" x="1092"/>
        <item m="1" x="577"/>
        <item m="1" x="993"/>
        <item m="1" x="535"/>
        <item m="1" x="389"/>
        <item m="1" x="1113"/>
        <item m="1" x="559"/>
        <item m="1" x="1271"/>
        <item m="1" x="1270"/>
        <item m="1" x="410"/>
        <item m="1" x="908"/>
        <item m="1" x="662"/>
        <item m="1" x="1210"/>
        <item m="1" x="1356"/>
        <item m="1" x="134"/>
        <item m="1" x="275"/>
        <item m="1" x="984"/>
        <item m="1" x="521"/>
        <item m="1" x="520"/>
        <item m="1" x="1447"/>
        <item m="1" x="1448"/>
        <item m="1" x="1129"/>
        <item m="1" x="1342"/>
        <item m="1" x="868"/>
        <item m="1" x="967"/>
        <item m="1" x="174"/>
        <item m="1" x="184"/>
        <item m="1" x="474"/>
        <item m="1" x="1223"/>
        <item m="1" x="127"/>
        <item m="1" x="1224"/>
        <item m="1" x="758"/>
        <item m="1" x="1314"/>
        <item m="1" x="365"/>
        <item m="1" x="225"/>
        <item m="1" x="1397"/>
        <item m="1" x="1090"/>
        <item m="1" x="477"/>
        <item m="1" x="948"/>
        <item m="1" x="741"/>
        <item m="1" x="704"/>
        <item m="1" x="852"/>
        <item m="1" x="1308"/>
        <item m="1" x="1280"/>
        <item m="1" x="898"/>
        <item m="1" x="179"/>
        <item m="1" x="417"/>
        <item m="1" x="947"/>
        <item m="1" x="349"/>
        <item m="1" x="772"/>
        <item m="1" x="1236"/>
        <item m="1" x="253"/>
        <item m="1" x="192"/>
        <item m="1" x="1302"/>
        <item m="1" x="638"/>
        <item m="1" x="909"/>
        <item m="1" x="447"/>
        <item m="1" x="635"/>
        <item m="1" x="716"/>
        <item m="1" x="423"/>
        <item m="1" x="561"/>
        <item m="1" x="404"/>
        <item m="1" x="685"/>
        <item m="1" x="1047"/>
        <item m="1" x="1003"/>
        <item m="1" x="1493"/>
        <item m="1" x="689"/>
        <item m="1" x="261"/>
        <item m="1" x="756"/>
        <item m="1" x="1284"/>
        <item m="1" x="956"/>
        <item m="1" x="773"/>
        <item m="1" x="169"/>
        <item m="1" x="796"/>
        <item m="1" x="486"/>
        <item m="1" x="476"/>
        <item m="1" x="724"/>
        <item m="1" x="170"/>
        <item m="1" x="239"/>
        <item m="1" x="1389"/>
        <item m="1" x="1435"/>
        <item m="1" x="1035"/>
        <item m="1" x="1385"/>
        <item m="1" x="719"/>
        <item m="1" x="1140"/>
        <item m="1" x="117"/>
        <item m="1" x="1479"/>
        <item m="1" x="778"/>
        <item m="1" x="720"/>
        <item m="1" x="1120"/>
        <item m="1" x="903"/>
        <item m="1" x="344"/>
        <item m="1" x="637"/>
        <item m="1" x="1132"/>
        <item m="1" x="585"/>
        <item m="1" x="698"/>
        <item m="1" x="877"/>
        <item m="1" x="195"/>
        <item m="1" x="918"/>
        <item m="1" x="687"/>
        <item m="1" x="1260"/>
        <item m="1" x="1503"/>
        <item m="1" x="1031"/>
        <item m="1" x="828"/>
        <item m="1" x="1305"/>
        <item m="1" x="1202"/>
        <item m="1" x="173"/>
        <item m="1" x="737"/>
        <item m="1" x="656"/>
        <item m="1" x="533"/>
        <item m="1" x="989"/>
        <item m="1" x="839"/>
        <item m="1" x="1161"/>
        <item m="1" x="449"/>
        <item m="1" x="307"/>
        <item m="1" x="219"/>
        <item m="1" x="607"/>
        <item m="1" x="431"/>
        <item m="1" x="163"/>
        <item m="1" x="1045"/>
        <item m="1" x="456"/>
        <item m="1" x="851"/>
        <item m="1" x="649"/>
        <item m="1" x="483"/>
        <item m="1" x="982"/>
        <item m="1" x="1101"/>
        <item m="1" x="1018"/>
        <item m="1" x="1245"/>
        <item x="15"/>
        <item m="1" x="363"/>
        <item m="1" x="1239"/>
        <item m="1" x="846"/>
        <item m="1" x="1322"/>
        <item m="1" x="303"/>
        <item m="1" x="913"/>
        <item m="1" x="1110"/>
        <item m="1" x="1347"/>
        <item m="1" x="1251"/>
        <item m="1" x="381"/>
        <item m="1" x="991"/>
        <item m="1" x="1126"/>
        <item m="1" x="560"/>
        <item m="1" x="376"/>
        <item m="1" x="651"/>
        <item m="1" x="237"/>
        <item m="1" x="1152"/>
        <item m="1" x="926"/>
        <item m="1" x="222"/>
        <item m="1" x="1134"/>
        <item m="1" x="1163"/>
        <item m="1" x="135"/>
        <item m="1" x="335"/>
        <item m="1" x="709"/>
        <item m="1" x="188"/>
        <item m="1" x="439"/>
        <item m="1" x="1014"/>
        <item m="1" x="326"/>
        <item m="1" x="1258"/>
        <item m="1" x="818"/>
        <item m="1" x="676"/>
        <item m="1" x="971"/>
        <item m="1" x="668"/>
        <item m="1" x="690"/>
        <item m="1" x="664"/>
        <item m="1" x="901"/>
        <item m="1" x="565"/>
        <item m="1" x="287"/>
        <item m="1" x="1275"/>
        <item m="1" x="164"/>
        <item m="1" x="1171"/>
        <item m="1" x="393"/>
        <item m="1" x="865"/>
        <item m="1" x="1473"/>
        <item m="1" x="180"/>
        <item m="1" x="624"/>
        <item m="1" x="123"/>
        <item m="1" x="882"/>
        <item m="1" x="1111"/>
        <item m="1" x="1482"/>
        <item m="1" x="497"/>
        <item m="1" x="422"/>
        <item m="1" x="797"/>
        <item m="1" x="430"/>
        <item m="1" x="1102"/>
        <item m="1" x="1466"/>
        <item m="1" x="319"/>
        <item m="1" x="784"/>
        <item m="1" x="482"/>
        <item m="1" x="1139"/>
        <item m="1" x="250"/>
        <item m="1" x="639"/>
        <item m="1" x="1248"/>
        <item m="1" x="1486"/>
        <item m="1" x="168"/>
        <item m="1" x="831"/>
        <item m="1" x="594"/>
        <item m="1" x="970"/>
        <item m="1" x="1024"/>
        <item m="1" x="1162"/>
        <item m="1" x="930"/>
        <item m="1" x="133"/>
        <item m="1" x="516"/>
        <item m="1" x="384"/>
        <item m="1" x="768"/>
        <item m="1" x="361"/>
        <item m="1" x="1357"/>
        <item m="1" x="1037"/>
        <item m="1" x="1253"/>
        <item m="1" x="440"/>
        <item m="1" x="1494"/>
        <item m="1" x="912"/>
        <item m="1" x="435"/>
        <item m="1" x="1477"/>
        <item m="1" x="1476"/>
        <item m="1" x="185"/>
        <item m="1" x="312"/>
        <item m="1" x="355"/>
        <item m="1" x="1489"/>
        <item m="1" x="591"/>
        <item m="1" x="860"/>
        <item m="1" x="592"/>
        <item m="1" x="739"/>
        <item m="1" x="1359"/>
        <item m="1" x="332"/>
        <item m="1" x="959"/>
        <item m="1" x="175"/>
        <item m="1" x="1272"/>
        <item m="1" x="943"/>
        <item m="1" x="740"/>
        <item m="1" x="459"/>
        <item m="1" x="923"/>
        <item m="1" x="502"/>
        <item m="1" x="198"/>
        <item m="1" x="1141"/>
        <item m="1" x="887"/>
        <item m="1" x="1383"/>
        <item m="1" x="1250"/>
        <item m="1" x="517"/>
        <item m="1" x="415"/>
        <item m="1" x="196"/>
        <item m="1" x="974"/>
        <item m="1" x="122"/>
        <item m="1" x="1299"/>
        <item m="1" x="496"/>
        <item m="1" x="433"/>
        <item m="1" x="872"/>
        <item m="1" x="238"/>
        <item m="1" x="1408"/>
        <item m="1" x="205"/>
        <item m="1" x="857"/>
        <item m="1" x="789"/>
        <item m="1" x="1148"/>
        <item m="1" x="580"/>
        <item m="1" x="1197"/>
        <item m="1" x="113"/>
        <item m="1" x="1423"/>
        <item m="1" x="717"/>
        <item m="1" x="176"/>
        <item m="1" x="142"/>
        <item m="1" x="1487"/>
        <item m="1" x="1169"/>
        <item m="1" x="1266"/>
        <item m="1" x="427"/>
        <item m="1" x="538"/>
        <item m="1" x="1320"/>
        <item m="1" x="291"/>
        <item m="1" x="667"/>
        <item m="1" x="282"/>
        <item m="1" x="765"/>
        <item m="1" x="878"/>
        <item m="1" x="1288"/>
        <item m="1" x="1298"/>
        <item m="1" x="1313"/>
        <item m="1" x="904"/>
        <item m="1" x="886"/>
        <item m="1" x="360"/>
        <item m="1" x="527"/>
        <item m="1" x="1155"/>
        <item m="1" x="110"/>
        <item m="1" x="1285"/>
        <item m="1" x="648"/>
        <item m="1" x="241"/>
        <item m="1" x="791"/>
        <item m="1" x="759"/>
        <item m="1" x="1218"/>
        <item m="1" x="399"/>
        <item m="1" x="929"/>
        <item m="1" x="1294"/>
        <item m="1" x="733"/>
        <item m="1" x="549"/>
        <item m="1" x="454"/>
        <item m="1" x="855"/>
        <item m="1" x="1360"/>
        <item m="1" x="567"/>
        <item m="1" x="304"/>
        <item m="1" x="731"/>
        <item m="1" x="725"/>
        <item m="1" x="1430"/>
        <item m="1" x="1414"/>
        <item m="1" x="1465"/>
        <item m="1" x="1480"/>
        <item m="1" x="364"/>
        <item m="1" x="387"/>
        <item m="1" x="751"/>
        <item m="1" x="540"/>
        <item m="1" x="1361"/>
        <item m="1" x="298"/>
        <item m="1" x="467"/>
        <item m="1" x="1088"/>
        <item m="1" x="566"/>
        <item m="1" x="738"/>
        <item m="1" x="815"/>
        <item m="1" x="599"/>
        <item m="1" x="880"/>
        <item m="1" x="879"/>
        <item m="1" x="323"/>
        <item m="1" x="1316"/>
        <item m="1" x="138"/>
        <item m="1" x="226"/>
        <item m="1" x="927"/>
        <item m="1" x="801"/>
        <item m="1" x="782"/>
        <item m="1" x="245"/>
        <item m="1" x="1200"/>
        <item m="1" x="1469"/>
        <item m="1" x="243"/>
        <item m="1" x="1041"/>
        <item m="1" x="1471"/>
        <item m="1" x="859"/>
        <item m="1" x="1073"/>
        <item m="1" x="1472"/>
        <item m="1" x="1387"/>
        <item m="1" x="963"/>
        <item m="1" x="1217"/>
        <item m="1" x="468"/>
        <item m="1" x="1378"/>
        <item m="1" x="1009"/>
        <item m="1" x="1112"/>
        <item m="1" x="1228"/>
        <item m="1" x="1384"/>
        <item m="1" x="414"/>
        <item m="1" x="256"/>
        <item m="1" x="1221"/>
        <item m="1" x="1438"/>
        <item m="1" x="1187"/>
        <item m="1" x="1199"/>
        <item x="55"/>
        <item m="1" x="1382"/>
        <item m="1" x="214"/>
        <item m="1" x="949"/>
        <item m="1" x="1491"/>
        <item m="1" x="1158"/>
        <item m="1" x="416"/>
        <item m="1" x="820"/>
        <item m="1" x="484"/>
        <item m="1" x="921"/>
        <item m="1" x="159"/>
        <item m="1" x="351"/>
        <item m="1" x="442"/>
        <item m="1" x="443"/>
        <item m="1" x="444"/>
        <item m="1" x="274"/>
        <item m="1" x="273"/>
        <item m="1" x="379"/>
        <item m="1" x="643"/>
        <item m="1" x="1044"/>
        <item m="1" x="315"/>
        <item m="1" x="1492"/>
        <item m="1" x="254"/>
        <item m="1" x="508"/>
        <item m="1" x="190"/>
        <item m="1" x="140"/>
        <item m="1" x="1279"/>
        <item m="1" x="1104"/>
        <item m="1" x="532"/>
        <item m="1" x="246"/>
        <item m="1" x="1296"/>
        <item m="1" x="420"/>
        <item m="1" x="1343"/>
        <item m="1" x="155"/>
        <item m="1" x="413"/>
        <item m="1" x="1026"/>
        <item m="1" x="786"/>
        <item m="1" x="1323"/>
        <item m="1" x="1000"/>
        <item m="1" x="761"/>
        <item m="1" x="1379"/>
        <item m="1" x="705"/>
        <item m="1" x="1274"/>
        <item m="1" x="1427"/>
        <item m="1" x="197"/>
        <item m="1" x="1461"/>
        <item m="1" x="653"/>
        <item m="1" x="856"/>
        <item m="1" x="398"/>
        <item m="1" x="1267"/>
        <item m="1" x="126"/>
        <item m="1" x="1373"/>
        <item m="1" x="695"/>
        <item m="1" x="1172"/>
        <item m="1" x="1173"/>
        <item m="1" x="1174"/>
        <item m="1" x="1175"/>
        <item m="1" x="1176"/>
        <item m="1" x="1177"/>
        <item m="1" x="1463"/>
        <item m="1" x="1464"/>
        <item m="1" x="1230"/>
        <item m="1" x="1231"/>
        <item m="1" x="1232"/>
        <item m="1" x="1233"/>
        <item m="1" x="1234"/>
        <item m="1" x="1235"/>
        <item m="1" x="670"/>
        <item m="1" x="562"/>
        <item m="1" x="1122"/>
        <item m="1" x="799"/>
        <item m="1" x="1497"/>
        <item m="1" x="1498"/>
        <item m="1" x="1496"/>
        <item m="1" x="1499"/>
        <item m="1" x="1097"/>
        <item m="1" x="1098"/>
        <item m="1" x="1395"/>
        <item m="1" x="488"/>
        <item m="1" x="726"/>
        <item m="1" x="1348"/>
        <item m="1" x="832"/>
        <item m="1" x="1123"/>
        <item m="1" x="829"/>
        <item m="1" x="411"/>
        <item m="1" x="693"/>
        <item m="1" x="1269"/>
        <item m="1" x="1182"/>
        <item m="1" x="108"/>
        <item m="1" x="1358"/>
        <item m="1" x="297"/>
        <item m="1" x="977"/>
        <item m="1" x="1053"/>
        <item m="1" x="1054"/>
        <item m="1" x="1055"/>
        <item m="1" x="1056"/>
        <item m="1" x="1057"/>
        <item m="1" x="1058"/>
        <item m="1" x="1059"/>
        <item m="1" x="1060"/>
        <item m="1" x="1061"/>
        <item m="1" x="1062"/>
        <item m="1" x="1063"/>
        <item m="1" x="1064"/>
        <item m="1" x="147"/>
        <item m="1" x="148"/>
        <item m="1" x="149"/>
        <item m="1" x="150"/>
        <item m="1" x="151"/>
        <item m="1" x="152"/>
        <item m="1" x="153"/>
        <item m="1" x="154"/>
        <item m="1" x="611"/>
        <item m="1" x="612"/>
        <item m="1" x="613"/>
        <item m="1" x="614"/>
        <item m="1" x="615"/>
        <item m="1" x="616"/>
        <item m="1" x="617"/>
        <item m="1" x="618"/>
        <item m="1" x="890"/>
        <item m="1" x="891"/>
        <item m="1" x="892"/>
        <item m="1" x="893"/>
        <item m="1" x="894"/>
        <item m="1" x="895"/>
        <item m="1" x="896"/>
        <item m="1" x="897"/>
        <item m="1" x="1350"/>
        <item m="1" x="1351"/>
        <item m="1" x="937"/>
        <item m="1" x="938"/>
        <item m="1" x="939"/>
        <item m="1" x="940"/>
        <item m="1" x="941"/>
        <item m="1" x="942"/>
        <item m="1" x="1365"/>
        <item m="1" x="1366"/>
        <item m="1" x="1367"/>
        <item m="1" x="1368"/>
        <item m="1" x="1369"/>
        <item m="1" x="1370"/>
        <item m="1" x="743"/>
        <item m="1" x="744"/>
        <item m="1" x="745"/>
        <item m="1" x="746"/>
        <item m="1" x="747"/>
        <item m="1" x="748"/>
        <item m="1" x="749"/>
        <item m="1" x="750"/>
        <item m="1" x="1453"/>
        <item m="1" x="1454"/>
        <item m="1" x="1455"/>
        <item m="1" x="1456"/>
        <item m="1" x="1457"/>
        <item m="1" x="1458"/>
        <item m="1" x="1459"/>
        <item m="1" x="1460"/>
        <item m="1" x="550"/>
        <item m="1" x="551"/>
        <item m="1" x="552"/>
        <item m="1" x="553"/>
        <item m="1" x="554"/>
        <item m="1" x="555"/>
        <item m="1" x="556"/>
        <item m="1" x="557"/>
        <item m="1" x="1074"/>
        <item m="1" x="1075"/>
        <item m="1" x="1076"/>
        <item m="1" x="1077"/>
        <item m="1" x="1033"/>
        <item m="1" x="809"/>
        <item m="1" x="632"/>
        <item m="1" x="633"/>
        <item m="1" x="634"/>
        <item m="1" x="636"/>
        <item m="1" x="935"/>
        <item m="1" x="834"/>
        <item m="1" x="324"/>
        <item m="1" x="426"/>
        <item m="1" x="1042"/>
        <item m="1" x="136"/>
        <item m="1" x="850"/>
        <item m="1" x="396"/>
        <item m="1" x="780"/>
        <item m="1" x="957"/>
        <item m="1" x="1312"/>
        <item m="1" x="505"/>
        <item m="1" x="1181"/>
        <item m="1" x="1444"/>
        <item m="1" x="1191"/>
        <item m="1" x="1416"/>
        <item m="1" x="867"/>
        <item m="1" x="227"/>
        <item m="1" x="1080"/>
        <item m="1" x="1081"/>
        <item m="1" x="478"/>
        <item m="1" x="795"/>
        <item m="1" x="221"/>
        <item m="1" x="1068"/>
        <item m="1" x="792"/>
        <item m="1" x="595"/>
        <item m="1" x="1184"/>
        <item m="1" x="660"/>
        <item m="1" x="697"/>
        <item m="1" x="511"/>
        <item m="1" x="1240"/>
        <item m="1" x="1205"/>
        <item m="1" x="1392"/>
        <item m="1" x="106"/>
        <item m="1" x="1013"/>
        <item m="1" x="1326"/>
        <item m="1" x="785"/>
        <item m="1" x="819"/>
        <item m="1" x="990"/>
        <item m="1" x="1107"/>
        <item m="1" x="1237"/>
        <item m="1" x="1165"/>
        <item m="1" x="1478"/>
        <item m="1" x="881"/>
        <item m="1" x="642"/>
        <item m="1" x="812"/>
        <item m="1" x="1276"/>
        <item m="1" x="513"/>
        <item m="1" x="424"/>
        <item m="1" x="1504"/>
        <item m="1" x="1109"/>
        <item m="1" x="419"/>
        <item m="1" x="669"/>
        <item m="1" x="665"/>
        <item m="1" x="1468"/>
        <item m="1" x="666"/>
        <item m="1" x="721"/>
        <item m="1" x="800"/>
        <item m="1" x="209"/>
        <item m="1" x="1403"/>
        <item m="1" x="1421"/>
        <item m="1" x="543"/>
        <item m="1" x="1304"/>
        <item m="1" x="997"/>
        <item m="1" x="998"/>
        <item m="1" x="999"/>
        <item m="1" x="378"/>
        <item m="1" x="1426"/>
        <item m="1" x="139"/>
        <item m="1" x="162"/>
        <item m="1" x="1490"/>
        <item m="1" x="864"/>
        <item m="1" x="1125"/>
        <item m="1" x="421"/>
        <item m="1" x="1344"/>
        <item m="1" x="1286"/>
        <item m="1" x="582"/>
        <item m="1" x="1124"/>
        <item m="1" x="466"/>
        <item m="1" x="659"/>
        <item m="1" x="114"/>
        <item m="1" x="771"/>
        <item m="1" x="1467"/>
        <item m="1" x="186"/>
        <item m="1" x="343"/>
        <item m="1" x="1293"/>
        <item m="1" x="269"/>
        <item m="1" x="1428"/>
        <item m="1" x="1243"/>
        <item m="1" x="714"/>
        <item m="1" x="1007"/>
        <item m="1" x="958"/>
        <item m="1" x="407"/>
        <item m="1" x="1254"/>
        <item m="1" x="1333"/>
        <item m="1" x="1355"/>
        <item m="1" x="143"/>
        <item m="1" x="985"/>
        <item m="1" x="1327"/>
        <item m="1" x="840"/>
        <item m="1" x="112"/>
        <item m="1" x="1160"/>
        <item m="1" x="434"/>
        <item m="1" x="183"/>
        <item m="1" x="268"/>
        <item m="1" x="428"/>
        <item m="1" x="464"/>
        <item m="1" x="629"/>
        <item m="1" x="1043"/>
        <item m="1" x="1290"/>
        <item m="1" x="525"/>
        <item x="1"/>
        <item x="2"/>
        <item x="4"/>
        <item x="5"/>
        <item x="6"/>
        <item x="7"/>
        <item x="8"/>
        <item x="9"/>
        <item m="1" x="843"/>
        <item m="1" x="794"/>
        <item m="1" x="907"/>
        <item m="1" x="644"/>
        <item x="12"/>
        <item x="13"/>
        <item x="14"/>
        <item m="1" x="757"/>
        <item x="17"/>
        <item x="18"/>
        <item x="19"/>
        <item x="20"/>
        <item x="23"/>
        <item x="24"/>
        <item x="25"/>
        <item x="26"/>
        <item m="1" x="1324"/>
        <item m="1" x="933"/>
        <item m="1" x="1289"/>
        <item x="28"/>
        <item x="29"/>
        <item x="31"/>
        <item x="33"/>
        <item m="1" x="311"/>
        <item x="35"/>
        <item x="36"/>
        <item x="37"/>
        <item x="38"/>
        <item x="39"/>
        <item x="40"/>
        <item x="45"/>
        <item m="1" x="166"/>
        <item m="1" x="655"/>
        <item m="1" x="487"/>
        <item m="1" x="220"/>
        <item x="48"/>
        <item x="49"/>
        <item m="1" x="299"/>
        <item x="51"/>
        <item m="1" x="583"/>
        <item m="1" x="1078"/>
        <item m="1" x="688"/>
        <item m="1" x="480"/>
        <item m="1" x="1021"/>
        <item x="54"/>
        <item m="1" x="906"/>
        <item m="1" x="132"/>
        <item m="1" x="1216"/>
        <item m="1" x="1083"/>
        <item m="1" x="279"/>
        <item m="1" x="1016"/>
        <item m="1" x="301"/>
        <item m="1" x="1386"/>
        <item m="1" x="1121"/>
        <item m="1" x="1159"/>
        <item m="1" x="826"/>
        <item m="1" x="1339"/>
        <item m="1" x="677"/>
        <item m="1" x="1012"/>
        <item m="1" x="1452"/>
        <item m="1" x="718"/>
        <item m="1" x="700"/>
        <item m="1" x="208"/>
        <item m="1" x="1374"/>
        <item m="1" x="1117"/>
        <item m="1" x="914"/>
        <item m="1" x="579"/>
        <item m="1" x="181"/>
        <item m="1" x="825"/>
        <item m="1" x="1146"/>
        <item m="1" x="1211"/>
        <item m="1" x="334"/>
        <item m="1" x="920"/>
        <item m="1" x="597"/>
        <item m="1" x="400"/>
        <item m="1" x="547"/>
        <item m="1" x="925"/>
        <item m="1" x="1010"/>
        <item m="1" x="1238"/>
        <item m="1" x="931"/>
        <item m="1" x="1449"/>
        <item m="1" x="1206"/>
        <item m="1" x="350"/>
        <item m="1" x="259"/>
        <item m="1" x="808"/>
        <item m="1" x="964"/>
        <item m="1" x="494"/>
        <item x="62"/>
        <item x="59"/>
        <item x="63"/>
        <item m="1" x="770"/>
        <item m="1" x="917"/>
        <item m="1" x="1406"/>
        <item x="67"/>
        <item m="1" x="374"/>
        <item m="1" x="996"/>
        <item m="1" x="504"/>
        <item m="1" x="884"/>
        <item m="1" x="966"/>
        <item m="1" x="290"/>
        <item m="1" x="1436"/>
        <item m="1" x="1437"/>
        <item m="1" x="266"/>
        <item m="1" x="409"/>
        <item x="78"/>
        <item m="1" x="1071"/>
        <item m="1" x="663"/>
        <item m="1" x="683"/>
        <item m="1" x="658"/>
        <item m="1" x="889"/>
        <item m="1" x="1252"/>
        <item x="86"/>
        <item m="1" x="986"/>
        <item x="88"/>
        <item m="1" x="1150"/>
        <item m="1" x="1151"/>
        <item x="95"/>
        <item m="1" x="641"/>
        <item m="1" x="1371"/>
        <item x="98"/>
        <item m="1" x="1079"/>
        <item m="1" x="1067"/>
        <item m="1" x="811"/>
        <item m="1" x="680"/>
        <item m="1" x="598"/>
        <item m="1" x="1345"/>
        <item m="1" x="863"/>
        <item m="1" x="318"/>
        <item m="1" x="1349"/>
        <item m="1" x="916"/>
        <item m="1" x="1440"/>
        <item m="1" x="338"/>
        <item m="1" x="1310"/>
        <item m="1" x="932"/>
        <item m="1" x="218"/>
        <item m="1" x="187"/>
        <item m="1" x="1008"/>
        <item m="1" x="593"/>
        <item m="1" x="1287"/>
        <item m="1" x="1247"/>
        <item m="1" x="1186"/>
        <item x="90"/>
        <item x="96"/>
        <item x="99"/>
        <item m="1" x="1196"/>
        <item m="1" x="392"/>
        <item m="1" x="380"/>
        <item m="1" x="1451"/>
        <item m="1" x="1131"/>
        <item m="1" x="672"/>
        <item m="1" x="509"/>
        <item m="1" x="960"/>
        <item m="1" x="1330"/>
        <item m="1" x="177"/>
        <item m="1" x="692"/>
        <item m="1" x="814"/>
        <item m="1" x="228"/>
        <item m="1" x="107"/>
        <item m="1" x="1432"/>
        <item m="1" x="1433"/>
        <item m="1" x="783"/>
        <item m="1" x="1315"/>
        <item m="1" x="141"/>
        <item m="1" x="158"/>
        <item m="1" x="370"/>
        <item m="1" x="1212"/>
        <item m="1" x="1183"/>
        <item m="1" x="735"/>
        <item m="1" x="390"/>
        <item m="1" x="391"/>
        <item m="1" x="1025"/>
        <item m="1" x="793"/>
        <item m="1" x="125"/>
        <item m="1" x="862"/>
        <item m="1" x="1209"/>
        <item m="1" x="1292"/>
        <item m="1" x="873"/>
        <item m="1" x="732"/>
        <item m="1" x="321"/>
        <item m="1" x="810"/>
        <item m="1" x="874"/>
        <item m="1" x="861"/>
        <item m="1" x="1019"/>
        <item m="1" x="875"/>
        <item m="1" x="715"/>
        <item m="1" x="1402"/>
        <item m="1" x="1445"/>
        <item m="1" x="305"/>
        <item m="1" x="306"/>
        <item m="1" x="308"/>
        <item m="1" x="1398"/>
        <item m="1" x="524"/>
        <item m="1" x="928"/>
        <item m="1" x="1404"/>
        <item m="1" x="1143"/>
        <item m="1" x="545"/>
        <item m="1" x="1004"/>
        <item m="1" x="244"/>
        <item x="87"/>
        <item m="1" x="432"/>
        <item m="1" x="1380"/>
        <item m="1" x="573"/>
        <item m="1" x="625"/>
        <item m="1" x="331"/>
        <item m="1" x="212"/>
        <item m="1" x="429"/>
        <item m="1" x="883"/>
        <item m="1" x="534"/>
        <item m="1" x="1340"/>
        <item m="1" x="418"/>
        <item m="1" x="1039"/>
        <item m="1" x="699"/>
        <item m="1" x="327"/>
        <item x="58"/>
        <item m="1" x="375"/>
        <item m="1" x="1246"/>
        <item m="1" x="1195"/>
        <item m="1" x="1334"/>
        <item m="1" x="626"/>
        <item m="1" x="1066"/>
        <item m="1" x="564"/>
        <item m="1" x="1225"/>
        <item m="1" x="1413"/>
        <item x="68"/>
        <item m="1" x="1105"/>
        <item m="1" x="910"/>
        <item m="1" x="1278"/>
        <item m="1" x="661"/>
        <item m="1" x="130"/>
        <item m="1" x="156"/>
        <item m="1" x="215"/>
        <item m="1" x="1388"/>
        <item m="1" x="465"/>
        <item m="1" x="1418"/>
        <item m="1" x="1261"/>
        <item m="1" x="281"/>
        <item m="1" x="1194"/>
        <item m="1" x="603"/>
        <item m="1" x="1470"/>
        <item m="1" x="713"/>
        <item m="1" x="842"/>
        <item m="1" x="367"/>
        <item m="1" x="1127"/>
        <item m="1" x="263"/>
        <item m="1" x="1096"/>
        <item m="1" x="835"/>
        <item m="1" x="1204"/>
        <item m="1" x="145"/>
        <item m="1" x="730"/>
        <item m="1" x="596"/>
        <item m="1" x="1268"/>
        <item m="1" x="216"/>
        <item m="1" x="684"/>
        <item m="1" x="354"/>
        <item m="1" x="437"/>
        <item x="85"/>
        <item m="1" x="1130"/>
        <item m="1" x="1094"/>
        <item m="1" x="548"/>
        <item m="1" x="1273"/>
        <item m="1" x="1474"/>
        <item m="1" x="539"/>
        <item m="1" x="647"/>
        <item m="1" x="506"/>
        <item m="1" x="992"/>
        <item m="1" x="235"/>
        <item m="1" x="1319"/>
        <item m="1" x="821"/>
        <item m="1" x="833"/>
        <item m="1" x="1116"/>
        <item m="1" x="1307"/>
        <item m="1" x="1332"/>
        <item m="1" x="1193"/>
        <item m="1" x="522"/>
        <item m="1" x="1407"/>
        <item m="1" x="1017"/>
        <item m="1" x="1354"/>
        <item m="1" x="1318"/>
        <item m="1" x="754"/>
        <item m="1" x="1052"/>
        <item m="1" x="1424"/>
        <item m="1" x="223"/>
        <item m="1" x="124"/>
        <item m="1" x="849"/>
        <item m="1" x="816"/>
        <item m="1" x="510"/>
        <item m="1" x="1291"/>
        <item m="1" x="247"/>
        <item m="1" x="377"/>
        <item m="1" x="682"/>
        <item m="1" x="1029"/>
        <item m="1" x="1154"/>
        <item m="1" x="915"/>
        <item m="1" x="191"/>
        <item m="1" x="657"/>
        <item x="100"/>
        <item m="1" x="1393"/>
        <item m="1" x="902"/>
        <item m="1" x="900"/>
        <item m="1" x="673"/>
        <item m="1" x="448"/>
        <item x="0"/>
        <item x="16"/>
        <item m="1" x="1050"/>
        <item x="46"/>
        <item m="1" x="445"/>
        <item x="52"/>
        <item x="53"/>
        <item x="56"/>
        <item x="57"/>
        <item x="60"/>
        <item x="61"/>
        <item x="64"/>
        <item x="65"/>
        <item x="66"/>
        <item x="69"/>
        <item x="70"/>
        <item x="71"/>
        <item x="72"/>
        <item x="73"/>
        <item x="74"/>
        <item x="75"/>
        <item x="76"/>
        <item x="77"/>
        <item x="79"/>
        <item x="80"/>
        <item x="81"/>
        <item x="82"/>
        <item x="83"/>
        <item x="84"/>
        <item x="89"/>
        <item x="91"/>
        <item x="92"/>
        <item x="93"/>
        <item x="94"/>
        <item x="97"/>
        <item x="101"/>
        <item x="102"/>
        <item m="1" x="1049"/>
        <item x="27"/>
        <item x="21"/>
        <item x="22"/>
        <item x="41"/>
        <item m="1" x="1443"/>
        <item x="42"/>
        <item x="43"/>
        <item x="44"/>
        <item x="50"/>
        <item m="1" x="1442"/>
        <item x="34"/>
      </items>
    </pivotField>
    <pivotField compact="0" showAll="0" defaultSubtotal="0">
      <items count="17">
        <item m="1" x="12"/>
        <item m="1" x="7"/>
        <item x="1"/>
        <item x="3"/>
        <item m="1" x="9"/>
        <item x="4"/>
        <item m="1" x="5"/>
        <item m="1" x="14"/>
        <item x="2"/>
        <item m="1" x="6"/>
        <item x="0"/>
        <item m="1" x="8"/>
        <item m="1" x="13"/>
        <item m="1" x="10"/>
        <item m="1" x="16"/>
        <item m="1" x="11"/>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0">
        <item x="0"/>
        <item h="1" m="1" x="17"/>
        <item h="1" m="1" x="23"/>
        <item h="1" m="1" x="19"/>
        <item h="1" x="1"/>
        <item h="1" m="1" x="28"/>
        <item h="1" m="1" x="7"/>
        <item h="1" m="1" x="25"/>
        <item h="1" m="1" x="26"/>
        <item h="1" m="1" x="29"/>
        <item h="1" m="1" x="11"/>
        <item h="1" m="1" x="15"/>
        <item h="1" m="1" x="21"/>
        <item h="1" m="1" x="24"/>
        <item h="1" m="1" x="6"/>
        <item h="1" m="1" x="16"/>
        <item h="1" m="1" x="22"/>
        <item h="1" x="2"/>
        <item h="1" m="1" x="9"/>
        <item h="1" m="1" x="4"/>
        <item h="1" m="1" x="8"/>
        <item h="1" m="1" x="13"/>
        <item h="1" m="1" x="27"/>
        <item h="1" m="1" x="14"/>
        <item h="1" m="1" x="20"/>
        <item h="1" m="1" x="18"/>
        <item h="1" m="1" x="10"/>
        <item h="1" m="1" x="3"/>
        <item h="1" m="1" x="12"/>
        <item h="1" m="1" x="5"/>
      </items>
    </pivotField>
    <pivotField axis="axisRow" compact="0" showAll="0" insertBlankRow="1" defaultSubtotal="0">
      <items count="63">
        <item m="1" x="39"/>
        <item m="1" x="61"/>
        <item m="1" x="62"/>
        <item m="1" x="32"/>
        <item m="1" x="18"/>
        <item m="1" x="5"/>
        <item m="1" x="17"/>
        <item m="1" x="57"/>
        <item m="1" x="41"/>
        <item m="1" x="24"/>
        <item m="1" x="4"/>
        <item m="1" x="7"/>
        <item m="1" x="30"/>
        <item m="1" x="14"/>
        <item m="1" x="13"/>
        <item m="1" x="8"/>
        <item m="1" x="33"/>
        <item m="1" x="45"/>
        <item m="1" x="35"/>
        <item m="1" x="29"/>
        <item m="1" x="53"/>
        <item m="1" x="59"/>
        <item m="1" x="60"/>
        <item m="1" x="38"/>
        <item m="1" x="16"/>
        <item m="1" x="37"/>
        <item m="1" x="15"/>
        <item m="1" x="55"/>
        <item m="1" x="47"/>
        <item m="1" x="50"/>
        <item m="1" x="21"/>
        <item m="1" x="49"/>
        <item m="1" x="48"/>
        <item m="1" x="10"/>
        <item m="1" x="12"/>
        <item m="1" x="6"/>
        <item m="1" x="20"/>
        <item m="1" x="34"/>
        <item m="1" x="25"/>
        <item m="1" x="58"/>
        <item m="1" x="22"/>
        <item m="1" x="23"/>
        <item m="1" x="26"/>
        <item m="1" x="36"/>
        <item m="1" x="3"/>
        <item m="1" x="28"/>
        <item m="1" x="52"/>
        <item m="1" x="31"/>
        <item m="1" x="19"/>
        <item m="1" x="51"/>
        <item x="2"/>
        <item m="1" x="42"/>
        <item x="0"/>
        <item m="1" x="56"/>
        <item m="1" x="46"/>
        <item m="1" x="9"/>
        <item m="1" x="27"/>
        <item m="1" x="40"/>
        <item m="1" x="43"/>
        <item m="1" x="11"/>
        <item m="1" x="54"/>
        <item m="1" x="44"/>
        <item x="1"/>
      </items>
    </pivotField>
    <pivotField compact="0" showAll="0" defaultSubtotal="0"/>
    <pivotField compact="0" subtotalTop="0" showAll="0" defaultSubtotal="0"/>
  </pivotFields>
  <rowFields count="2">
    <field x="9"/>
    <field x="10"/>
  </rowFields>
  <rowItems count="4">
    <i>
      <x/>
    </i>
    <i r="1">
      <x v="52"/>
    </i>
    <i t="blank">
      <x/>
    </i>
    <i t="grand">
      <x/>
    </i>
  </rowItems>
  <colItems count="1">
    <i/>
  </colItems>
  <dataFields count="1">
    <dataField name="AMOUNT (RM)" fld="6" baseField="0" baseItem="4" numFmtId="4"/>
  </dataFields>
  <formats count="35">
    <format dxfId="1014">
      <pivotArea type="all" dataOnly="0" outline="0" fieldPosition="0"/>
    </format>
    <format dxfId="1013">
      <pivotArea outline="0" collapsedLevelsAreSubtotals="1" fieldPosition="0"/>
    </format>
    <format dxfId="1012">
      <pivotArea field="0" type="button" dataOnly="0" labelOnly="1" outline="0"/>
    </format>
    <format dxfId="1011">
      <pivotArea field="1" type="button" dataOnly="0" labelOnly="1" outline="0"/>
    </format>
    <format dxfId="1010">
      <pivotArea field="3" type="button" dataOnly="0" labelOnly="1" outline="0"/>
    </format>
    <format dxfId="1009">
      <pivotArea dataOnly="0" labelOnly="1" outline="0" fieldPosition="0">
        <references count="1">
          <reference field="4294967294" count="1">
            <x v="0"/>
          </reference>
        </references>
      </pivotArea>
    </format>
    <format dxfId="1008">
      <pivotArea field="2" type="button" dataOnly="0" labelOnly="1" outline="0"/>
    </format>
    <format dxfId="1007">
      <pivotArea field="0" type="button" dataOnly="0" labelOnly="1" outline="0"/>
    </format>
    <format dxfId="1006">
      <pivotArea field="1" type="button" dataOnly="0" labelOnly="1" outline="0"/>
    </format>
    <format dxfId="1005">
      <pivotArea field="2" type="button" dataOnly="0" labelOnly="1" outline="0"/>
    </format>
    <format dxfId="1004">
      <pivotArea field="3" type="button" dataOnly="0" labelOnly="1" outline="0"/>
    </format>
    <format dxfId="1003">
      <pivotArea dataOnly="0" labelOnly="1" outline="0" fieldPosition="0">
        <references count="1">
          <reference field="4294967294" count="1">
            <x v="0"/>
          </reference>
        </references>
      </pivotArea>
    </format>
    <format dxfId="1002">
      <pivotArea outline="0" fieldPosition="0">
        <references count="1">
          <reference field="4294967294" count="1">
            <x v="0"/>
          </reference>
        </references>
      </pivotArea>
    </format>
    <format dxfId="1001">
      <pivotArea outline="0" fieldPosition="0">
        <references count="2">
          <reference field="9" count="0" selected="0"/>
          <reference field="10" count="3" selected="0">
            <x v="1"/>
            <x v="2"/>
            <x v="3"/>
          </reference>
        </references>
      </pivotArea>
    </format>
    <format dxfId="1000">
      <pivotArea dataOnly="0" labelOnly="1" outline="0" fieldPosition="0">
        <references count="1">
          <reference field="9" count="0"/>
        </references>
      </pivotArea>
    </format>
    <format dxfId="999">
      <pivotArea dataOnly="0" labelOnly="1" outline="0" fieldPosition="0">
        <references count="2">
          <reference field="9" count="0" selected="0"/>
          <reference field="10" count="3">
            <x v="1"/>
            <x v="2"/>
            <x v="3"/>
          </reference>
        </references>
      </pivotArea>
    </format>
    <format dxfId="998">
      <pivotArea outline="0" fieldPosition="0">
        <references count="2">
          <reference field="9" count="0" selected="0"/>
          <reference field="10" count="3" selected="0">
            <x v="1"/>
            <x v="2"/>
            <x v="3"/>
          </reference>
        </references>
      </pivotArea>
    </format>
    <format dxfId="997">
      <pivotArea dataOnly="0" labelOnly="1" outline="0" fieldPosition="0">
        <references count="1">
          <reference field="9" count="0"/>
        </references>
      </pivotArea>
    </format>
    <format dxfId="996">
      <pivotArea dataOnly="0" labelOnly="1" outline="0" fieldPosition="0">
        <references count="2">
          <reference field="9" count="0" selected="0"/>
          <reference field="10" count="3">
            <x v="1"/>
            <x v="2"/>
            <x v="3"/>
          </reference>
        </references>
      </pivotArea>
    </format>
    <format dxfId="995">
      <pivotArea dataOnly="0" labelOnly="1" fieldPosition="0">
        <references count="1">
          <reference field="9" count="0"/>
        </references>
      </pivotArea>
    </format>
    <format dxfId="994">
      <pivotArea dataOnly="0" labelOnly="1" fieldPosition="0">
        <references count="1">
          <reference field="10" count="0"/>
        </references>
      </pivotArea>
    </format>
    <format dxfId="993">
      <pivotArea dataOnly="0" labelOnly="1" fieldPosition="0">
        <references count="1">
          <reference field="10" count="0"/>
        </references>
      </pivotArea>
    </format>
    <format dxfId="992">
      <pivotArea dataOnly="0" labelOnly="1" fieldPosition="0">
        <references count="1">
          <reference field="10" count="0"/>
        </references>
      </pivotArea>
    </format>
    <format dxfId="991">
      <pivotArea dataOnly="0" labelOnly="1" fieldPosition="0">
        <references count="1">
          <reference field="10" count="0"/>
        </references>
      </pivotArea>
    </format>
    <format dxfId="990">
      <pivotArea dataOnly="0" labelOnly="1" fieldPosition="0">
        <references count="1">
          <reference field="10" count="0"/>
        </references>
      </pivotArea>
    </format>
    <format dxfId="989">
      <pivotArea dataOnly="0" labelOnly="1" grandRow="1" outline="0" fieldPosition="0"/>
    </format>
    <format dxfId="988">
      <pivotArea grandRow="1" outline="0" collapsedLevelsAreSubtotals="1" fieldPosition="0"/>
    </format>
    <format dxfId="987">
      <pivotArea field="9" type="button" dataOnly="0" labelOnly="1" outline="0" axis="axisRow" fieldPosition="0"/>
    </format>
    <format dxfId="986">
      <pivotArea field="10" type="button" dataOnly="0" labelOnly="1" outline="0" axis="axisRow" fieldPosition="1"/>
    </format>
    <format dxfId="985">
      <pivotArea dataOnly="0" labelOnly="1" outline="0" axis="axisValues" fieldPosition="0"/>
    </format>
    <format dxfId="984">
      <pivotArea field="9" type="button" dataOnly="0" labelOnly="1" outline="0" axis="axisRow" fieldPosition="0"/>
    </format>
    <format dxfId="983">
      <pivotArea field="10" type="button" dataOnly="0" labelOnly="1" outline="0" axis="axisRow" fieldPosition="1"/>
    </format>
    <format dxfId="982">
      <pivotArea dataOnly="0" labelOnly="1" outline="0" axis="axisValues" fieldPosition="0"/>
    </format>
    <format dxfId="981">
      <pivotArea grandRow="1" outline="0" collapsedLevelsAreSubtotals="1" fieldPosition="0"/>
    </format>
    <format dxfId="980">
      <pivotArea dataOnly="0" labelOnly="1" grandRow="1" outline="0"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2" cacheId="225"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8:H114" firstHeaderRow="0" firstDataRow="1" firstDataCol="4"/>
  <pivotFields count="13">
    <pivotField axis="axisRow"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272"/>
        <item m="1" x="332"/>
        <item m="1" x="391"/>
        <item m="1" x="451"/>
        <item m="1" x="510"/>
        <item m="1" x="569"/>
        <item m="1" x="148"/>
        <item m="1" x="205"/>
        <item m="1" x="264"/>
        <item m="1" x="324"/>
        <item m="1" x="383"/>
        <item m="1" x="443"/>
        <item m="1" x="502"/>
        <item m="1" x="561"/>
        <item m="1" x="139"/>
        <item m="1" x="196"/>
        <item m="1" x="255"/>
        <item m="1" x="314"/>
        <item m="1" x="374"/>
        <item m="1" x="434"/>
        <item m="1" x="493"/>
        <item m="1" x="553"/>
        <item m="1" x="131"/>
        <item m="1" x="188"/>
        <item m="1" x="218"/>
        <item m="1" x="247"/>
        <item m="1" x="278"/>
        <item m="1" x="306"/>
        <item m="1" x="338"/>
        <item m="1" x="366"/>
        <item m="1" x="397"/>
        <item m="1" x="426"/>
        <item m="1" x="457"/>
        <item m="1" x="485"/>
        <item m="1" x="516"/>
        <item m="1" x="544"/>
        <item m="1" x="574"/>
        <item m="1" x="123"/>
        <item m="1" x="153"/>
        <item m="1" x="180"/>
        <item m="1" x="210"/>
        <item m="1" x="239"/>
        <item m="1" x="269"/>
        <item m="1" x="298"/>
        <item m="1" x="329"/>
        <item m="1" x="358"/>
        <item m="1" x="388"/>
        <item m="1" x="418"/>
        <item m="1" x="448"/>
        <item m="1" x="477"/>
        <item m="1" x="507"/>
        <item m="1" x="536"/>
        <item m="1" x="566"/>
        <item m="1" x="116"/>
        <item m="1" x="145"/>
        <item m="1" x="173"/>
        <item m="1" x="202"/>
        <item m="1" x="232"/>
        <item m="1" x="261"/>
        <item m="1" x="291"/>
        <item m="1" x="321"/>
        <item m="1" x="351"/>
        <item m="1" x="380"/>
        <item m="1" x="411"/>
        <item m="1" x="440"/>
        <item m="1" x="470"/>
        <item m="1" x="499"/>
        <item m="1" x="529"/>
        <item m="1" x="559"/>
        <item m="1" x="110"/>
        <item m="1" x="137"/>
        <item m="1" x="166"/>
        <item m="1" x="194"/>
        <item m="1" x="224"/>
        <item m="1" x="253"/>
        <item m="1" x="284"/>
        <item m="1" x="312"/>
        <item m="1" x="344"/>
        <item m="1" x="372"/>
        <item m="1" x="403"/>
        <item m="1" x="432"/>
        <item m="1" x="463"/>
        <item m="1" x="491"/>
        <item m="1" x="522"/>
        <item m="1" x="551"/>
        <item m="1" x="580"/>
        <item m="1" x="129"/>
        <item m="1" x="159"/>
        <item m="1" x="186"/>
        <item m="1" x="216"/>
        <item m="1" x="245"/>
        <item m="1" x="276"/>
        <item m="1" x="304"/>
        <item m="1" x="336"/>
        <item m="1" x="364"/>
        <item m="1" x="395"/>
        <item m="1" x="424"/>
        <item m="1" x="455"/>
        <item m="1" x="483"/>
        <item m="1" x="514"/>
        <item m="1" x="542"/>
        <item m="1" x="573"/>
        <item m="1" x="122"/>
        <item m="1" x="152"/>
        <item m="1" x="179"/>
        <item m="1" x="209"/>
        <item m="1" x="238"/>
        <item m="1" x="268"/>
        <item m="1" x="297"/>
        <item m="1" x="328"/>
        <item m="1" x="357"/>
        <item m="1" x="387"/>
        <item m="1" x="417"/>
        <item m="1" x="447"/>
        <item m="1" x="476"/>
        <item m="1" x="506"/>
        <item m="1" x="535"/>
        <item m="1" x="565"/>
        <item m="1" x="115"/>
        <item m="1" x="144"/>
        <item m="1" x="172"/>
        <item m="1" x="201"/>
        <item m="1" x="231"/>
        <item m="1" x="260"/>
        <item m="1" x="290"/>
        <item m="1" x="320"/>
        <item m="1" x="350"/>
        <item m="1" x="379"/>
        <item m="1" x="410"/>
        <item m="1" x="439"/>
        <item m="1" x="469"/>
        <item m="1" x="498"/>
        <item m="1" x="528"/>
        <item m="1" x="558"/>
        <item m="1" x="109"/>
        <item m="1" x="136"/>
        <item m="1" x="165"/>
        <item m="1" x="193"/>
        <item m="1" x="223"/>
        <item m="1" x="252"/>
        <item m="1" x="283"/>
        <item m="1" x="311"/>
        <item m="1" x="343"/>
        <item m="1" x="371"/>
        <item m="1" x="402"/>
        <item m="1" x="431"/>
        <item m="1" x="462"/>
        <item m="1" x="490"/>
        <item m="1" x="521"/>
        <item m="1" x="549"/>
        <item m="1" x="579"/>
        <item m="1" x="128"/>
        <item m="1" x="143"/>
        <item m="1" x="158"/>
        <item m="1" x="171"/>
        <item m="1" x="185"/>
        <item m="1" x="200"/>
        <item m="1" x="215"/>
        <item m="1" x="229"/>
        <item m="1" x="244"/>
        <item m="1" x="259"/>
        <item m="1" x="275"/>
        <item m="1" x="289"/>
        <item m="1" x="303"/>
        <item m="1" x="319"/>
        <item m="1" x="335"/>
        <item m="1" x="349"/>
        <item m="1" x="363"/>
        <item m="1" x="378"/>
        <item m="1" x="394"/>
        <item m="1" x="409"/>
        <item m="1" x="423"/>
        <item m="1" x="438"/>
        <item m="1" x="454"/>
        <item m="1" x="468"/>
        <item m="1" x="482"/>
        <item m="1" x="497"/>
        <item m="1" x="513"/>
        <item m="1" x="527"/>
        <item m="1" x="541"/>
        <item m="1" x="557"/>
        <item m="1" x="572"/>
        <item m="1" x="108"/>
        <item m="1" x="121"/>
        <item m="1" x="135"/>
        <item m="1" x="151"/>
        <item m="1" x="164"/>
        <item m="1" x="178"/>
        <item m="1" x="192"/>
        <item m="1" x="208"/>
        <item m="1" x="222"/>
        <item m="1" x="237"/>
        <item m="1" x="251"/>
        <item m="1" x="267"/>
        <item m="1" x="282"/>
        <item m="1" x="296"/>
        <item m="1" x="310"/>
        <item m="1" x="327"/>
        <item m="1" x="342"/>
        <item m="1" x="356"/>
        <item m="1" x="370"/>
        <item m="1" x="386"/>
        <item m="1" x="401"/>
        <item m="1" x="416"/>
        <item m="1" x="430"/>
        <item m="1" x="446"/>
        <item m="1" x="461"/>
        <item m="1" x="475"/>
        <item m="1" x="489"/>
        <item m="1" x="505"/>
        <item m="1" x="520"/>
        <item m="1" x="534"/>
        <item m="1" x="548"/>
        <item m="1" x="564"/>
        <item m="1" x="578"/>
        <item m="1" x="114"/>
        <item m="1" x="127"/>
        <item m="1" x="142"/>
        <item m="1" x="157"/>
        <item m="1" x="170"/>
        <item m="1" x="184"/>
        <item m="1" x="199"/>
        <item m="1" x="214"/>
        <item m="1" x="228"/>
        <item m="1" x="243"/>
        <item m="1" x="258"/>
        <item m="1" x="274"/>
        <item m="1" x="288"/>
        <item m="1" x="302"/>
        <item m="1" x="317"/>
        <item m="1" x="334"/>
        <item m="1" x="348"/>
        <item m="1" x="362"/>
        <item m="1" x="377"/>
        <item m="1" x="393"/>
        <item m="1" x="408"/>
        <item m="1" x="422"/>
        <item m="1" x="437"/>
        <item m="1" x="453"/>
        <item m="1" x="467"/>
        <item m="1" x="481"/>
        <item m="1" x="496"/>
        <item m="1" x="512"/>
        <item m="1" x="526"/>
        <item m="1" x="540"/>
        <item m="1" x="556"/>
        <item m="1" x="571"/>
        <item m="1" x="107"/>
        <item m="1" x="120"/>
        <item m="1" x="134"/>
        <item m="1" x="150"/>
        <item m="1" x="163"/>
        <item m="1" x="177"/>
        <item m="1" x="191"/>
        <item m="1" x="207"/>
        <item m="1" x="221"/>
        <item m="1" x="236"/>
        <item m="1" x="250"/>
        <item m="1" x="266"/>
        <item m="1" x="281"/>
        <item m="1" x="295"/>
        <item m="1" x="309"/>
        <item m="1" x="326"/>
        <item m="1" x="341"/>
        <item m="1" x="355"/>
        <item m="1" x="369"/>
        <item m="1" x="385"/>
        <item m="1" x="400"/>
        <item m="1" x="415"/>
        <item m="1" x="429"/>
        <item m="1" x="445"/>
        <item m="1" x="460"/>
        <item m="1" x="474"/>
        <item m="1" x="488"/>
        <item m="1" x="504"/>
        <item m="1" x="519"/>
        <item m="1" x="533"/>
        <item m="1" x="547"/>
        <item m="1" x="563"/>
        <item m="1" x="577"/>
        <item m="1" x="113"/>
        <item m="1" x="126"/>
        <item m="1" x="141"/>
        <item m="1" x="156"/>
        <item m="1" x="169"/>
        <item m="1" x="183"/>
        <item m="1" x="198"/>
        <item m="1" x="213"/>
        <item m="1" x="227"/>
        <item m="1" x="242"/>
        <item m="1" x="257"/>
        <item m="1" x="273"/>
        <item m="1" x="287"/>
        <item m="1" x="301"/>
        <item m="1" x="316"/>
        <item m="1" x="333"/>
        <item m="1" x="347"/>
        <item m="1" x="361"/>
        <item m="1" x="376"/>
        <item m="1" x="392"/>
        <item m="1" x="406"/>
        <item m="1" x="421"/>
        <item m="1" x="436"/>
        <item m="1" x="452"/>
        <item m="1" x="466"/>
        <item m="1" x="480"/>
        <item m="1" x="495"/>
        <item m="1" x="511"/>
        <item m="1" x="525"/>
        <item m="1" x="539"/>
        <item m="1" x="555"/>
        <item m="1" x="570"/>
        <item m="1" x="106"/>
        <item m="1" x="119"/>
        <item m="1" x="133"/>
        <item m="1" x="149"/>
        <item m="1" x="162"/>
        <item m="1" x="176"/>
        <item m="1" x="190"/>
        <item m="1" x="206"/>
        <item m="1" x="220"/>
        <item m="1" x="235"/>
        <item m="1" x="249"/>
        <item m="1" x="265"/>
        <item m="1" x="280"/>
        <item m="1" x="294"/>
        <item m="1" x="308"/>
        <item m="1" x="325"/>
        <item m="1" x="340"/>
        <item m="1" x="354"/>
        <item m="1" x="368"/>
        <item m="1" x="384"/>
        <item m="1" x="399"/>
        <item m="1" x="414"/>
        <item m="1" x="428"/>
        <item m="1" x="444"/>
        <item m="1" x="459"/>
        <item m="1" x="473"/>
        <item m="1" x="487"/>
        <item m="1" x="503"/>
        <item m="1" x="518"/>
        <item m="1" x="532"/>
        <item m="1" x="546"/>
        <item m="1" x="562"/>
        <item m="1" x="576"/>
        <item m="1" x="112"/>
        <item m="1" x="125"/>
        <item m="1" x="140"/>
        <item m="1" x="155"/>
        <item m="1" x="168"/>
        <item m="1" x="182"/>
        <item m="1" x="197"/>
        <item m="1" x="212"/>
        <item m="1" x="226"/>
        <item m="1" x="241"/>
        <item m="1" x="256"/>
        <item m="1" x="271"/>
        <item m="1" x="286"/>
        <item m="1" x="300"/>
        <item m="1" x="315"/>
        <item m="1" x="331"/>
        <item m="1" x="346"/>
        <item m="1" x="360"/>
        <item m="1" x="375"/>
        <item m="1" x="390"/>
        <item m="1" x="405"/>
        <item m="1" x="420"/>
        <item m="1" x="435"/>
        <item m="1" x="450"/>
        <item m="1" x="465"/>
        <item m="1" x="479"/>
        <item m="1" x="494"/>
        <item m="1" x="509"/>
        <item m="1" x="524"/>
        <item m="1" x="538"/>
        <item m="1" x="554"/>
        <item m="1" x="568"/>
        <item m="1" x="105"/>
        <item m="1" x="118"/>
        <item m="1" x="132"/>
        <item m="1" x="147"/>
        <item m="1" x="161"/>
        <item m="1" x="175"/>
        <item m="1" x="189"/>
        <item m="1" x="204"/>
        <item m="1" x="219"/>
        <item m="1" x="234"/>
        <item m="1" x="248"/>
        <item m="1" x="263"/>
        <item m="1" x="279"/>
        <item m="1" x="293"/>
        <item m="1" x="307"/>
        <item m="1" x="323"/>
        <item m="1" x="339"/>
        <item m="1" x="353"/>
        <item m="1" x="367"/>
        <item m="1" x="382"/>
        <item m="1" x="398"/>
        <item m="1" x="413"/>
        <item m="1" x="427"/>
        <item m="1" x="442"/>
        <item m="1" x="458"/>
        <item m="1" x="472"/>
        <item m="1" x="486"/>
        <item m="1" x="501"/>
        <item m="1" x="517"/>
        <item m="1" x="531"/>
        <item m="1" x="545"/>
        <item m="1" x="552"/>
        <item m="1" x="560"/>
        <item m="1" x="567"/>
        <item m="1" x="575"/>
        <item m="1" x="104"/>
        <item m="1" x="111"/>
        <item m="1" x="117"/>
        <item m="1" x="124"/>
        <item m="1" x="130"/>
        <item m="1" x="138"/>
        <item m="1" x="146"/>
        <item m="1" x="154"/>
        <item m="1" x="160"/>
        <item m="1" x="167"/>
        <item m="1" x="174"/>
        <item m="1" x="181"/>
        <item m="1" x="187"/>
        <item m="1" x="195"/>
        <item m="1" x="203"/>
        <item m="1" x="211"/>
        <item m="1" x="217"/>
        <item m="1" x="225"/>
        <item m="1" x="233"/>
        <item m="1" x="240"/>
        <item m="1" x="246"/>
        <item m="1" x="254"/>
        <item m="1" x="262"/>
        <item m="1" x="270"/>
        <item m="1" x="277"/>
        <item m="1" x="285"/>
        <item m="1" x="292"/>
        <item m="1" x="299"/>
        <item m="1" x="305"/>
        <item m="1" x="313"/>
        <item m="1" x="322"/>
        <item m="1" x="330"/>
        <item m="1" x="337"/>
        <item m="1" x="345"/>
        <item m="1" x="352"/>
        <item m="1" x="359"/>
        <item m="1" x="365"/>
        <item m="1" x="373"/>
        <item m="1" x="381"/>
        <item m="1" x="389"/>
        <item m="1" x="396"/>
        <item m="1" x="404"/>
        <item m="1" x="412"/>
        <item m="1" x="419"/>
        <item m="1" x="425"/>
        <item m="1" x="433"/>
        <item m="1" x="441"/>
        <item m="1" x="449"/>
        <item m="1" x="456"/>
        <item m="1" x="464"/>
        <item m="1" x="471"/>
        <item m="1" x="478"/>
        <item m="1" x="484"/>
        <item m="1" x="492"/>
        <item m="1" x="500"/>
        <item m="1" x="508"/>
        <item m="1" x="515"/>
        <item m="1" x="523"/>
        <item m="1" x="530"/>
        <item m="1" x="230"/>
        <item m="1" x="318"/>
        <item m="1" x="407"/>
        <item m="1" x="550"/>
        <item m="1" x="537"/>
        <item m="1" x="543"/>
      </items>
    </pivotField>
    <pivotField axis="axisRow" compact="0" outline="0" showAll="0" defaultSubtotal="0">
      <items count="1124">
        <item m="1" x="458"/>
        <item m="1" x="500"/>
        <item m="1" x="552"/>
        <item m="1" x="597"/>
        <item m="1" x="627"/>
        <item m="1" x="648"/>
        <item m="1" x="665"/>
        <item m="1" x="678"/>
        <item m="1" x="705"/>
        <item m="1" x="440"/>
        <item m="1" x="465"/>
        <item m="1" x="506"/>
        <item m="1" x="556"/>
        <item m="1" x="601"/>
        <item m="1" x="629"/>
        <item m="1" x="649"/>
        <item m="1" x="666"/>
        <item m="1" x="679"/>
        <item m="1" x="706"/>
        <item m="1" x="441"/>
        <item m="1" x="468"/>
        <item m="1" x="514"/>
        <item m="1" x="564"/>
        <item m="1" x="603"/>
        <item m="1" x="630"/>
        <item m="1" x="650"/>
        <item m="1" x="667"/>
        <item m="1" x="680"/>
        <item m="1" x="707"/>
        <item m="1" x="442"/>
        <item m="1" x="469"/>
        <item m="1" x="517"/>
        <item m="1" x="568"/>
        <item m="1" x="604"/>
        <item m="1" x="631"/>
        <item m="1" x="651"/>
        <item m="1" x="668"/>
        <item m="1" x="681"/>
        <item m="1" x="708"/>
        <item m="1" x="697"/>
        <item m="1" x="746"/>
        <item m="1" x="802"/>
        <item m="1" x="857"/>
        <item m="1" x="909"/>
        <item m="1" x="981"/>
        <item m="1" x="1018"/>
        <item m="1" x="166"/>
        <item m="1" x="956"/>
        <item m="1" x="993"/>
        <item m="1" x="1037"/>
        <item m="1" x="1088"/>
        <item m="1" x="77"/>
        <item m="1" x="105"/>
        <item m="1" x="127"/>
        <item m="1" x="143"/>
        <item m="1" x="157"/>
        <item m="1" x="193"/>
        <item m="1" x="971"/>
        <item m="1" x="1001"/>
        <item m="1" x="1042"/>
        <item m="1" x="1092"/>
        <item m="1" x="81"/>
        <item m="1" x="108"/>
        <item m="1" x="128"/>
        <item m="1" x="144"/>
        <item m="1" x="180"/>
        <item m="1" x="232"/>
        <item m="1" x="456"/>
        <item m="1" x="497"/>
        <item m="1" x="549"/>
        <item m="1" x="594"/>
        <item m="1" x="624"/>
        <item m="1" x="646"/>
        <item m="1" x="664"/>
        <item m="1" x="677"/>
        <item m="1" x="695"/>
        <item m="1" x="743"/>
        <item m="1" x="798"/>
        <item m="1" x="853"/>
        <item m="1" x="980"/>
        <item m="1" x="165"/>
        <item m="1" x="476"/>
        <item m="1" x="524"/>
        <item m="1" x="576"/>
        <item m="1" x="612"/>
        <item m="1" x="637"/>
        <item m="1" x="657"/>
        <item m="1" x="672"/>
        <item m="1" x="689"/>
        <item m="1" x="732"/>
        <item m="1" x="449"/>
        <item m="1" x="481"/>
        <item m="1" x="528"/>
        <item m="1" x="580"/>
        <item m="1" x="615"/>
        <item m="1" x="639"/>
        <item m="1" x="658"/>
        <item m="1" x="673"/>
        <item m="1" x="690"/>
        <item m="1" x="733"/>
        <item m="1" x="452"/>
        <item m="1" x="489"/>
        <item m="1" x="534"/>
        <item m="1" x="584"/>
        <item m="1" x="617"/>
        <item m="1" x="640"/>
        <item m="1" x="659"/>
        <item m="1" x="674"/>
        <item m="1" x="691"/>
        <item m="1" x="734"/>
        <item m="1" x="453"/>
        <item m="1" x="492"/>
        <item m="1" x="541"/>
        <item m="1" x="588"/>
        <item m="1" x="618"/>
        <item m="1" x="641"/>
        <item m="1" x="660"/>
        <item m="1" x="675"/>
        <item m="1" x="692"/>
        <item m="1" x="735"/>
        <item m="1" x="454"/>
        <item m="1" x="493"/>
        <item m="1" x="543"/>
        <item m="1" x="589"/>
        <item m="1" x="619"/>
        <item m="1" x="642"/>
        <item m="1" x="661"/>
        <item m="1" x="676"/>
        <item m="1" x="693"/>
        <item m="1" x="736"/>
        <item m="1" x="716"/>
        <item m="1" x="771"/>
        <item m="1" x="826"/>
        <item m="1" x="882"/>
        <item m="1" x="927"/>
        <item m="1" x="991"/>
        <item m="1" x="1035"/>
        <item m="1" x="1086"/>
        <item m="1" x="76"/>
        <item m="1" x="104"/>
        <item m="1" x="126"/>
        <item m="1" x="142"/>
        <item m="1" x="156"/>
        <item m="1" x="192"/>
        <item m="1" x="969"/>
        <item m="1" x="177"/>
        <item m="1" x="1015"/>
        <item m="1" x="1065"/>
        <item m="1" x="1113"/>
        <item m="1" x="95"/>
        <item m="1" x="119"/>
        <item m="1" x="139"/>
        <item m="1" x="152"/>
        <item m="1" x="175"/>
        <item m="1" x="224"/>
        <item m="1" x="985"/>
        <item m="1" x="1021"/>
        <item m="1" x="1069"/>
        <item m="1" x="1117"/>
        <item m="1" x="98"/>
        <item m="1" x="122"/>
        <item m="1" x="140"/>
        <item m="1" x="153"/>
        <item m="1" x="176"/>
        <item m="1" x="203"/>
        <item m="1" x="258"/>
        <item m="1" x="314"/>
        <item m="1" x="370"/>
        <item m="1" x="474"/>
        <item m="1" x="521"/>
        <item m="1" x="573"/>
        <item m="1" x="609"/>
        <item m="1" x="712"/>
        <item m="1" x="768"/>
        <item m="1" x="822"/>
        <item m="1" x="878"/>
        <item m="1" x="686"/>
        <item m="1" x="990"/>
        <item m="1" x="495"/>
        <item m="1" x="547"/>
        <item m="1" x="593"/>
        <item m="1" x="623"/>
        <item x="0"/>
        <item m="1" x="963"/>
        <item m="1" x="158"/>
        <item m="1" x="194"/>
        <item m="1" x="972"/>
        <item m="1" x="1006"/>
        <item m="1" x="1051"/>
        <item m="1" x="1098"/>
        <item m="1" x="84"/>
        <item m="1" x="109"/>
        <item m="1" x="129"/>
        <item m="1" x="145"/>
        <item m="1" x="1081"/>
        <item m="1" x="539"/>
        <item m="1" x="1052"/>
        <item m="1" x="512"/>
        <item m="1" x="1029"/>
        <item m="1" x="487"/>
        <item m="1" x="1002"/>
        <item m="1" x="463"/>
        <item m="1" x="986"/>
        <item m="1" x="587"/>
        <item m="1" x="1099"/>
        <item m="1" x="561"/>
        <item m="1" x="1074"/>
        <item m="1" x="531"/>
        <item m="1" x="1043"/>
        <item m="1" x="503"/>
        <item m="1" x="1022"/>
        <item m="1" x="479"/>
        <item m="1" x="994"/>
        <item m="1" x="602"/>
        <item m="1" x="1121"/>
        <item m="1" x="582"/>
        <item m="1" x="1093"/>
        <item m="1" x="554"/>
        <item m="1" x="1070"/>
        <item m="1" x="526"/>
        <item m="1" x="1038"/>
        <item m="1" x="276"/>
        <item m="1" x="787"/>
        <item m="1" x="247"/>
        <item m="1" x="758"/>
        <item m="1" x="220"/>
        <item m="1" x="727"/>
        <item m="1" x="567"/>
        <item m="1" x="1079"/>
        <item m="1" x="536"/>
        <item m="1" x="1047"/>
        <item m="1" x="508"/>
        <item m="1" x="1025"/>
        <item m="1" x="483"/>
        <item m="1" x="997"/>
        <item m="1" x="459"/>
        <item m="1" x="1123"/>
        <item m="1" x="585"/>
        <item m="1" x="1095"/>
        <item m="1" x="557"/>
        <item m="1" x="1072"/>
        <item m="1" x="529"/>
        <item m="1" x="1040"/>
        <item m="1" x="501"/>
        <item m="1" x="1019"/>
        <item m="1" x="477"/>
        <item m="1" x="815"/>
        <item m="1" x="274"/>
        <item m="1" x="784"/>
        <item m="1" x="243"/>
        <item m="1" x="754"/>
        <item m="1" x="216"/>
        <item m="1" x="723"/>
        <item m="1" x="184"/>
        <item m="1" x="698"/>
        <item m="1" x="329"/>
        <item m="1" x="838"/>
        <item m="1" x="297"/>
        <item m="1" x="808"/>
        <item m="1" x="267"/>
        <item m="1" x="777"/>
        <item m="1" x="236"/>
        <item m="1" x="747"/>
        <item m="1" x="208"/>
        <item m="1" x="717"/>
        <item m="1" x="355"/>
        <item m="1" x="864"/>
        <item m="1" x="323"/>
        <item m="1" x="832"/>
        <item m="1" x="292"/>
        <item m="1" x="803"/>
        <item m="1" x="262"/>
        <item m="1" x="772"/>
        <item m="1" x="230"/>
        <item m="1" x="741"/>
        <item m="1" x="379"/>
        <item m="1" x="889"/>
        <item m="1" x="350"/>
        <item m="1" x="858"/>
        <item m="1" x="318"/>
        <item m="1" x="827"/>
        <item m="1" x="286"/>
        <item m="1" x="796"/>
        <item m="1" x="256"/>
        <item m="1" x="766"/>
        <item m="1" x="400"/>
        <item m="1" x="910"/>
        <item m="1" x="374"/>
        <item m="1" x="883"/>
        <item m="1" x="344"/>
        <item m="1" x="851"/>
        <item m="1" x="312"/>
        <item m="1" x="1101"/>
        <item m="1" x="563"/>
        <item m="1" x="1076"/>
        <item m="1" x="533"/>
        <item m="1" x="1045"/>
        <item m="1" x="505"/>
        <item m="1" x="178"/>
        <item m="1" x="201"/>
        <item m="1" x="225"/>
        <item m="1" x="251"/>
        <item m="1" x="277"/>
        <item m="1" x="304"/>
        <item m="1" x="332"/>
        <item m="1" x="358"/>
        <item m="1" x="381"/>
        <item m="1" x="207"/>
        <item m="1" x="229"/>
        <item m="1" x="255"/>
        <item m="1" x="28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714"/>
        <item m="1" x="739"/>
        <item m="1" x="764"/>
        <item m="1" x="791"/>
        <item m="1" x="443"/>
        <item m="1" x="470"/>
        <item m="1" x="518"/>
        <item m="1" x="569"/>
        <item m="1" x="605"/>
        <item m="1" x="632"/>
        <item m="1" x="652"/>
        <item m="1" x="669"/>
        <item m="1" x="682"/>
        <item m="1" x="709"/>
        <item m="1" x="444"/>
        <item m="1" x="471"/>
        <item m="1" x="519"/>
        <item m="1" x="570"/>
        <item m="1" x="606"/>
        <item m="1" x="633"/>
        <item m="1" x="653"/>
        <item m="1" x="670"/>
        <item m="1" x="683"/>
        <item m="1" x="710"/>
        <item m="1" x="159"/>
        <item m="1" x="195"/>
        <item m="1" x="973"/>
        <item m="1" x="1007"/>
        <item m="1" x="1056"/>
        <item m="1" x="1103"/>
        <item m="1" x="85"/>
        <item m="1" x="110"/>
        <item m="1" x="130"/>
        <item m="1" x="146"/>
        <item m="1" x="160"/>
        <item m="1" x="196"/>
        <item m="1" x="974"/>
        <item m="1" x="1008"/>
        <item m="1" x="1057"/>
        <item m="1" x="1104"/>
        <item m="1" x="86"/>
        <item m="1" x="111"/>
        <item m="1" x="131"/>
        <item m="1" x="147"/>
        <item m="1" x="161"/>
        <item m="1" x="197"/>
        <item m="1" x="975"/>
        <item m="1" x="1009"/>
        <item m="1" x="1058"/>
        <item m="1" x="1105"/>
        <item m="1" x="87"/>
        <item m="1" x="112"/>
        <item m="1" x="132"/>
        <item m="1" x="148"/>
        <item m="1" x="162"/>
        <item m="1" x="198"/>
        <item m="1" x="976"/>
        <item m="1" x="1010"/>
        <item m="1" x="1059"/>
        <item m="1" x="1106"/>
        <item m="1" x="88"/>
        <item m="1" x="113"/>
        <item m="1" x="133"/>
        <item m="1" x="149"/>
        <item m="1" x="163"/>
        <item m="1" x="199"/>
        <item m="1" x="977"/>
        <item m="1" x="1011"/>
        <item m="1" x="1060"/>
        <item m="1" x="1107"/>
        <item m="1" x="89"/>
        <item m="1" x="114"/>
        <item m="1" x="134"/>
        <item m="1" x="150"/>
        <item m="1" x="164"/>
        <item m="1" x="200"/>
        <item m="1" x="978"/>
        <item m="1" x="1012"/>
        <item m="1" x="1061"/>
        <item m="1" x="1108"/>
        <item m="1" x="90"/>
        <item m="1" x="115"/>
        <item m="1" x="135"/>
        <item m="1" x="167"/>
        <item m="1" x="206"/>
        <item m="1" x="979"/>
        <item m="1" x="1013"/>
        <item m="1" x="1062"/>
        <item m="1" x="1109"/>
        <item m="1" x="91"/>
        <item m="1" x="116"/>
        <item m="1" x="136"/>
        <item m="1" x="151"/>
        <item m="1" x="173"/>
        <item m="1" x="214"/>
        <item m="1" x="154"/>
        <item m="1" x="288"/>
        <item m="1" x="346"/>
        <item m="1" x="396"/>
        <item m="1" x="427"/>
        <item m="1" x="439"/>
        <item m="1" x="445"/>
        <item m="1" x="472"/>
        <item m="1" x="155"/>
        <item m="1" x="930"/>
        <item m="1" x="955"/>
        <item m="1" x="967"/>
        <item m="1" x="498"/>
        <item m="1" x="1016"/>
        <item m="1" x="616"/>
        <item m="1" x="82"/>
        <item m="1" x="599"/>
        <item m="1" x="1118"/>
        <item m="1" x="578"/>
        <item m="1" x="1089"/>
        <item m="1" x="550"/>
        <item m="1" x="1066"/>
        <item m="1" x="522"/>
        <item m="1" x="1033"/>
        <item m="1" x="628"/>
        <item m="1" x="99"/>
        <item m="1" x="613"/>
        <item m="1" x="78"/>
        <item m="1" x="595"/>
        <item m="1" x="1114"/>
        <item m="1" x="574"/>
        <item m="1" x="1084"/>
        <item m="1" x="545"/>
        <item m="1" x="1063"/>
        <item m="1" x="638"/>
        <item m="1" x="106"/>
        <item m="1" x="625"/>
        <item m="1" x="96"/>
        <item m="1" x="610"/>
        <item m="1" x="74"/>
        <item m="1" x="591"/>
        <item m="1" x="1111"/>
        <item m="1" x="571"/>
        <item m="1" x="1082"/>
        <item m="1" x="647"/>
        <item m="1" x="120"/>
        <item m="1" x="636"/>
        <item m="1" x="103"/>
        <item m="1" x="622"/>
        <item m="1" x="94"/>
        <item m="1" x="608"/>
        <item m="1" x="73"/>
        <item m="1" x="590"/>
        <item m="1" x="1110"/>
        <item m="1" x="656"/>
        <item m="1" x="125"/>
        <item m="1" x="645"/>
        <item m="1" x="118"/>
        <item m="1" x="635"/>
        <item m="1" x="102"/>
        <item m="1" x="621"/>
        <item m="1" x="93"/>
        <item m="1" x="607"/>
        <item m="1" x="72"/>
        <item m="1" x="663"/>
        <item m="1" x="138"/>
        <item m="1" x="655"/>
        <item m="1" x="124"/>
        <item m="1" x="644"/>
        <item m="1" x="117"/>
        <item m="1" x="634"/>
        <item m="1" x="101"/>
        <item m="1" x="188"/>
        <item m="1" x="702"/>
        <item m="1" x="171"/>
        <item m="1" x="839"/>
        <item m="1" x="299"/>
        <item m="1" x="810"/>
        <item m="1" x="269"/>
        <item m="1" x="779"/>
        <item m="1" x="238"/>
        <item m="1" x="749"/>
        <item m="1" x="210"/>
        <item m="1" x="719"/>
        <item m="1" x="181"/>
        <item m="1" x="865"/>
        <item m="1" x="325"/>
        <item m="1" x="834"/>
        <item m="1" x="294"/>
        <item m="1" x="805"/>
        <item m="1" x="264"/>
        <item m="1" x="774"/>
        <item m="1" x="233"/>
        <item m="1" x="744"/>
        <item m="1" x="204"/>
        <item m="1" x="890"/>
        <item m="1" x="352"/>
        <item m="1" x="861"/>
        <item m="1" x="320"/>
        <item m="1" x="829"/>
        <item m="1" x="289"/>
        <item m="1" x="799"/>
        <item m="1" x="259"/>
        <item m="1" x="769"/>
        <item m="1" x="227"/>
        <item m="1" x="911"/>
        <item m="1" x="376"/>
        <item m="1" x="886"/>
        <item m="1" x="347"/>
        <item m="1" x="854"/>
        <item m="1" x="315"/>
        <item m="1" x="823"/>
        <item m="1" x="283"/>
        <item m="1" x="794"/>
        <item m="1" x="253"/>
        <item m="1" x="928"/>
        <item m="1" x="397"/>
        <item m="1" x="906"/>
        <item m="1" x="371"/>
        <item m="1" x="879"/>
        <item m="1" x="341"/>
        <item m="1" x="848"/>
        <item m="1" x="309"/>
        <item m="1" x="819"/>
        <item m="1" x="279"/>
        <item m="1" x="942"/>
        <item m="1" x="413"/>
        <item m="1" x="924"/>
        <item m="1" x="392"/>
        <item m="1" x="901"/>
        <item m="1" x="366"/>
        <item m="1" x="874"/>
        <item m="1" x="337"/>
        <item m="1" x="845"/>
        <item m="1" x="306"/>
        <item m="1" x="952"/>
        <item m="1" x="424"/>
        <item m="1" x="939"/>
        <item m="1" x="409"/>
        <item m="1" x="920"/>
        <item m="1" x="388"/>
        <item m="1" x="897"/>
        <item m="1" x="362"/>
        <item m="1" x="871"/>
        <item m="1" x="334"/>
        <item m="1" x="960"/>
        <item m="1" x="432"/>
        <item m="1" x="949"/>
        <item m="1" x="420"/>
        <item m="1" x="935"/>
        <item m="1" x="405"/>
        <item m="1" x="917"/>
        <item m="1" x="385"/>
        <item m="1" x="894"/>
        <item m="1" x="359"/>
        <item m="1" x="965"/>
        <item m="1" x="436"/>
        <item m="1" x="958"/>
        <item m="1" x="429"/>
        <item m="1" x="946"/>
        <item m="1" x="417"/>
        <item m="1" x="932"/>
        <item m="1" x="402"/>
        <item m="1" x="914"/>
        <item m="1" x="382"/>
        <item m="1" x="868"/>
        <item m="1" x="330"/>
        <item m="1" x="840"/>
        <item m="1" x="300"/>
        <item m="1" x="811"/>
        <item m="1" x="270"/>
        <item m="1" x="780"/>
        <item m="1" x="239"/>
        <item m="1" x="750"/>
        <item m="1" x="211"/>
        <item m="1" x="892"/>
        <item m="1" x="356"/>
        <item m="1" x="866"/>
        <item m="1" x="326"/>
        <item m="1" x="835"/>
        <item m="1" x="295"/>
        <item m="1" x="806"/>
        <item m="1" x="265"/>
        <item m="1" x="775"/>
        <item m="1" x="234"/>
        <item m="1" x="913"/>
        <item m="1" x="380"/>
        <item m="1" x="891"/>
        <item m="1" x="353"/>
        <item m="1" x="862"/>
        <item m="1" x="321"/>
        <item m="1" x="830"/>
        <item m="1" x="290"/>
        <item m="1" x="800"/>
        <item m="1" x="260"/>
        <item m="1" x="931"/>
        <item m="1" x="401"/>
        <item m="1" x="912"/>
        <item m="1" x="377"/>
        <item m="1" x="887"/>
        <item m="1" x="348"/>
        <item m="1" x="855"/>
        <item m="1" x="316"/>
        <item m="1" x="824"/>
        <item m="1" x="284"/>
        <item m="1" x="944"/>
        <item m="1" x="416"/>
        <item m="1" x="929"/>
        <item m="1" x="398"/>
        <item m="1" x="907"/>
        <item m="1" x="372"/>
        <item m="1" x="880"/>
        <item m="1" x="342"/>
        <item m="1" x="849"/>
        <item m="1" x="310"/>
        <item m="1" x="954"/>
        <item m="1" x="428"/>
        <item m="1" x="943"/>
        <item m="1" x="414"/>
        <item m="1" x="925"/>
        <item m="1" x="393"/>
        <item m="1" x="902"/>
        <item m="1" x="367"/>
        <item m="1" x="875"/>
        <item m="1" x="338"/>
        <item m="1" x="962"/>
        <item m="1" x="435"/>
        <item m="1" x="953"/>
        <item m="1" x="425"/>
        <item m="1" x="940"/>
        <item m="1" x="410"/>
        <item m="1" x="921"/>
        <item m="1" x="389"/>
        <item m="1" x="898"/>
        <item m="1" x="363"/>
        <item m="1" x="966"/>
        <item m="1" x="438"/>
        <item m="1" x="961"/>
        <item m="1" x="433"/>
        <item m="1" x="950"/>
        <item m="1" x="421"/>
        <item m="1" x="936"/>
        <item m="1" x="406"/>
        <item m="1" x="246"/>
        <item m="1" x="757"/>
        <item m="1" x="219"/>
        <item m="1" x="726"/>
        <item m="1" x="187"/>
        <item m="1" x="701"/>
        <item m="1" x="170"/>
        <item m="1" x="685"/>
        <item m="1" x="1050"/>
        <item m="1" x="511"/>
        <item m="1" x="1028"/>
        <item m="1" x="486"/>
        <item m="1" x="1000"/>
        <item m="1" x="462"/>
        <item m="1" x="984"/>
        <item m="1" x="447"/>
        <item m="1" x="968"/>
        <item m="1" x="560"/>
        <item m="1" x="786"/>
        <item m="1" x="245"/>
        <item m="1" x="756"/>
        <item m="1" x="218"/>
        <item m="1" x="725"/>
        <item m="1" x="186"/>
        <item m="1" x="700"/>
        <item m="1" x="169"/>
        <item m="1" x="684"/>
        <item m="1" x="298"/>
        <item m="1" x="809"/>
        <item m="1" x="268"/>
        <item m="1" x="778"/>
        <item m="1" x="237"/>
        <item m="1" x="748"/>
        <item m="1" x="209"/>
        <item m="1" x="718"/>
        <item m="1" x="179"/>
        <item m="1" x="694"/>
        <item m="1" x="324"/>
        <item m="1" x="833"/>
        <item m="1" x="293"/>
        <item m="1" x="804"/>
        <item m="1" x="263"/>
        <item m="1" x="773"/>
        <item m="1" x="231"/>
        <item m="1" x="742"/>
        <item m="1" x="202"/>
        <item m="1" x="711"/>
        <item m="1" x="351"/>
        <item m="1" x="859"/>
        <item m="1" x="319"/>
        <item m="1" x="828"/>
        <item m="1" x="287"/>
        <item m="1" x="797"/>
        <item m="1" x="257"/>
        <item m="1" x="767"/>
        <item m="1" x="226"/>
        <item m="1" x="737"/>
        <item m="1" x="375"/>
        <item m="1" x="884"/>
        <item m="1" x="345"/>
        <item m="1" x="852"/>
        <item m="1" x="313"/>
        <item m="1" x="821"/>
        <item m="1" x="282"/>
        <item m="1" x="793"/>
        <item m="1" x="252"/>
        <item m="1" x="762"/>
        <item m="1" x="395"/>
        <item m="1" x="904"/>
        <item m="1" x="369"/>
        <item m="1" x="877"/>
        <item m="1" x="340"/>
        <item m="1" x="847"/>
        <item m="1" x="308"/>
        <item m="1" x="818"/>
        <item m="1" x="278"/>
        <item m="1" x="790"/>
        <item m="1" x="412"/>
        <item m="1" x="923"/>
        <item m="1" x="391"/>
        <item m="1" x="900"/>
        <item m="1" x="365"/>
        <item m="1" x="873"/>
        <item m="1" x="336"/>
        <item m="1" x="844"/>
        <item m="1" x="305"/>
        <item m="1" x="816"/>
        <item m="1" x="423"/>
        <item m="1" x="938"/>
        <item m="1" x="408"/>
        <item m="1" x="919"/>
        <item m="1" x="387"/>
        <item m="1" x="896"/>
        <item m="1" x="361"/>
        <item m="1" x="870"/>
        <item m="1" x="333"/>
        <item m="1" x="842"/>
        <item m="1" x="431"/>
        <item m="1" x="948"/>
        <item m="1" x="419"/>
        <item m="1" x="934"/>
        <item m="1" x="404"/>
        <item m="1" x="916"/>
        <item m="1" x="384"/>
        <item m="1" x="538"/>
        <item m="1" x="1049"/>
        <item m="1" x="510"/>
        <item m="1" x="1027"/>
        <item m="1" x="485"/>
        <item m="1" x="999"/>
        <item m="1" x="461"/>
        <item m="1" x="983"/>
        <item m="1" x="446"/>
        <item m="1" x="1097"/>
        <item m="1" x="559"/>
        <item m="1" x="1073"/>
        <item m="1" x="530"/>
        <item m="1" x="1041"/>
        <item m="1" x="502"/>
        <item m="1" x="1020"/>
        <item m="1" x="478"/>
        <item m="1" x="992"/>
        <item m="1" x="455"/>
        <item m="1" x="1120"/>
        <item m="1" x="581"/>
        <item m="1" x="1091"/>
        <item m="1" x="553"/>
        <item m="1" x="1068"/>
        <item m="1" x="525"/>
        <item m="1" x="1036"/>
        <item m="1" x="496"/>
        <item m="1" x="1014"/>
        <item m="1" x="473"/>
        <item m="1" x="80"/>
        <item m="1" x="598"/>
        <item m="1" x="1116"/>
        <item m="1" x="577"/>
        <item m="1" x="1087"/>
        <item m="1" x="548"/>
        <item m="1" x="275"/>
        <item m="1" x="785"/>
        <item m="1" x="244"/>
        <item m="1" x="755"/>
        <item m="1" x="217"/>
        <item m="1" x="724"/>
        <item m="1" x="185"/>
        <item m="1" x="699"/>
        <item m="1" x="1080"/>
        <item m="1" x="537"/>
        <item m="1" x="1048"/>
        <item m="1" x="509"/>
        <item m="1" x="1026"/>
        <item m="1" x="484"/>
        <item m="1" x="998"/>
        <item m="1" x="460"/>
        <item m="1" x="982"/>
        <item m="1" x="586"/>
        <item m="1" x="1096"/>
        <item m="1" x="540"/>
        <item m="1" x="1053"/>
        <item m="1" x="513"/>
        <item m="1" x="250"/>
        <item m="1" x="761"/>
        <item m="1" x="223"/>
        <item m="1" x="730"/>
        <item m="1" x="191"/>
        <item m="1" x="1055"/>
        <item m="1" x="516"/>
        <item m="1" x="1032"/>
        <item m="1" x="491"/>
        <item m="1" x="1005"/>
        <item m="1" x="467"/>
        <item m="1" x="989"/>
        <item m="1" x="451"/>
        <item m="1" x="970"/>
        <item m="1" x="566"/>
        <item m="1" x="1078"/>
        <item m="1" x="789"/>
        <item m="1" x="249"/>
        <item m="1" x="760"/>
        <item m="1" x="222"/>
        <item m="1" x="729"/>
        <item m="1" x="190"/>
        <item m="1" x="704"/>
        <item m="1" x="174"/>
        <item m="1" x="688"/>
        <item m="1" x="303"/>
        <item m="1" x="814"/>
        <item m="1" x="273"/>
        <item m="1" x="783"/>
        <item m="1" x="242"/>
        <item m="1" x="753"/>
        <item m="1" x="215"/>
        <item m="1" x="722"/>
        <item m="1" x="183"/>
        <item m="1" x="542"/>
        <item m="1" x="1054"/>
        <item m="1" x="515"/>
        <item m="1" x="1031"/>
        <item m="1" x="490"/>
        <item m="1" x="1004"/>
        <item m="1" x="466"/>
        <item m="1" x="988"/>
        <item m="1" x="450"/>
        <item m="1" x="1102"/>
        <item m="1" x="565"/>
        <item m="1" x="1077"/>
        <item m="1" x="535"/>
        <item m="1" x="1046"/>
        <item m="1" x="507"/>
        <item m="1" x="1024"/>
        <item m="1" x="482"/>
        <item m="1" x="996"/>
        <item m="1" x="731"/>
        <item m="1" x="558"/>
        <item m="1" x="168"/>
        <item x="33"/>
        <item x="34"/>
        <item x="35"/>
        <item x="36"/>
        <item m="1" x="945"/>
        <item m="1" x="957"/>
        <item m="1" x="964"/>
        <item m="1" x="860"/>
        <item m="1" x="885"/>
        <item m="1" x="905"/>
        <item m="1" x="620"/>
        <item m="1" x="92"/>
        <item m="1" x="671"/>
        <item m="1" x="141"/>
        <item m="1" x="662"/>
        <item m="1" x="137"/>
        <item m="1" x="654"/>
        <item m="1" x="123"/>
        <item m="1" x="643"/>
        <item m="1" x="1030"/>
        <item m="1" x="488"/>
        <item m="1" x="1003"/>
        <item m="1" x="464"/>
        <item m="1" x="987"/>
        <item m="1" x="448"/>
        <item m="1" x="1100"/>
        <item m="1" x="562"/>
        <item m="1" x="1075"/>
        <item m="1" x="532"/>
        <item m="1" x="1044"/>
        <item m="1" x="504"/>
        <item m="1" x="1023"/>
        <item m="1" x="480"/>
        <item m="1" x="995"/>
        <item m="1" x="457"/>
        <item m="1" x="1122"/>
        <item m="1" x="583"/>
        <item m="1" x="1094"/>
        <item m="1" x="555"/>
        <item m="1" x="1071"/>
        <item m="1" x="527"/>
        <item m="1" x="1039"/>
        <item m="1" x="499"/>
        <item m="1" x="1017"/>
        <item m="1" x="475"/>
        <item m="1" x="83"/>
        <item m="1" x="600"/>
        <item m="1" x="1119"/>
        <item m="1" x="579"/>
        <item m="1" x="1090"/>
        <item m="1" x="551"/>
        <item m="1" x="1067"/>
        <item m="1" x="523"/>
        <item m="1" x="1034"/>
        <item m="1" x="494"/>
        <item m="1" x="100"/>
        <item m="1" x="614"/>
        <item m="1" x="79"/>
        <item m="1" x="596"/>
        <item m="1" x="1115"/>
        <item m="1" x="575"/>
        <item m="1" x="1085"/>
        <item m="1" x="546"/>
        <item m="1" x="1064"/>
        <item m="1" x="520"/>
        <item m="1" x="107"/>
        <item m="1" x="626"/>
        <item m="1" x="97"/>
        <item m="1" x="611"/>
        <item m="1" x="75"/>
        <item m="1" x="592"/>
        <item m="1" x="1112"/>
        <item m="1" x="572"/>
        <item m="1" x="1083"/>
        <item m="1" x="544"/>
        <item m="1" x="121"/>
        <item m="1" x="788"/>
        <item m="1" x="248"/>
        <item m="1" x="759"/>
        <item m="1" x="221"/>
        <item m="1" x="728"/>
        <item m="1" x="189"/>
        <item m="1" x="703"/>
        <item m="1" x="172"/>
        <item m="1" x="687"/>
        <item m="1" x="301"/>
        <item m="1" x="812"/>
        <item m="1" x="271"/>
        <item m="1" x="781"/>
        <item m="1" x="240"/>
        <item m="1" x="751"/>
        <item m="1" x="212"/>
        <item m="1" x="720"/>
        <item m="1" x="182"/>
        <item m="1" x="696"/>
        <item m="1" x="327"/>
        <item m="1" x="836"/>
        <item m="1" x="296"/>
        <item m="1" x="807"/>
        <item m="1" x="266"/>
        <item m="1" x="776"/>
        <item m="1" x="235"/>
        <item m="1" x="745"/>
        <item m="1" x="205"/>
        <item m="1" x="715"/>
        <item m="1" x="354"/>
        <item m="1" x="863"/>
        <item m="1" x="322"/>
        <item m="1" x="831"/>
        <item m="1" x="291"/>
        <item m="1" x="801"/>
        <item m="1" x="261"/>
        <item m="1" x="770"/>
        <item m="1" x="228"/>
        <item m="1" x="740"/>
        <item m="1" x="378"/>
        <item m="1" x="888"/>
        <item m="1" x="349"/>
        <item m="1" x="856"/>
        <item m="1" x="317"/>
        <item m="1" x="825"/>
        <item m="1" x="285"/>
        <item m="1" x="795"/>
        <item m="1" x="254"/>
        <item m="1" x="765"/>
        <item m="1" x="399"/>
        <item m="1" x="908"/>
        <item m="1" x="373"/>
        <item m="1" x="881"/>
        <item m="1" x="343"/>
        <item m="1" x="850"/>
        <item m="1" x="311"/>
        <item m="1" x="820"/>
        <item m="1" x="280"/>
        <item m="1" x="792"/>
        <item m="1" x="415"/>
        <item m="1" x="926"/>
        <item m="1" x="394"/>
        <item m="1" x="903"/>
        <item m="1" x="368"/>
        <item m="1" x="876"/>
        <item m="1" x="339"/>
        <item m="1" x="846"/>
        <item m="1" x="307"/>
        <item m="1" x="817"/>
        <item m="1" x="426"/>
        <item m="1" x="941"/>
        <item m="1" x="411"/>
        <item m="1" x="922"/>
        <item m="1" x="390"/>
        <item m="1" x="899"/>
        <item m="1" x="364"/>
        <item m="1" x="872"/>
        <item m="1" x="335"/>
        <item m="1" x="843"/>
        <item m="1" x="434"/>
        <item m="1" x="951"/>
        <item m="1" x="422"/>
        <item m="1" x="937"/>
        <item m="1" x="407"/>
        <item m="1" x="918"/>
        <item m="1" x="386"/>
        <item m="1" x="895"/>
        <item m="1" x="360"/>
        <item m="1" x="869"/>
        <item m="1" x="437"/>
        <item m="1" x="959"/>
        <item m="1" x="430"/>
        <item m="1" x="947"/>
        <item m="1" x="418"/>
        <item m="1" x="933"/>
        <item m="1" x="403"/>
        <item m="1" x="915"/>
        <item m="1" x="383"/>
        <item m="1" x="893"/>
        <item m="1" x="331"/>
        <item m="1" x="841"/>
        <item m="1" x="302"/>
        <item m="1" x="813"/>
        <item m="1" x="272"/>
        <item m="1" x="782"/>
        <item m="1" x="241"/>
        <item m="1" x="752"/>
        <item m="1" x="213"/>
        <item m="1" x="721"/>
        <item m="1" x="357"/>
        <item m="1" x="867"/>
        <item m="1" x="328"/>
        <item m="1" x="837"/>
        <item x="71"/>
        <item m="1" x="713"/>
        <item m="1" x="738"/>
        <item m="1" x="763"/>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axis="axisRow" compact="0" outline="0" showAll="0" defaultSubtotal="0">
      <items count="1505">
        <item m="1" x="589"/>
        <item m="1" x="728"/>
        <item m="1" x="1036"/>
        <item m="1" x="628"/>
        <item m="1" x="340"/>
        <item m="1" x="978"/>
        <item m="1" x="701"/>
        <item m="1" x="236"/>
        <item m="1" x="876"/>
        <item m="1" x="1070"/>
        <item m="1" x="706"/>
        <item m="1" x="1364"/>
        <item m="1" x="824"/>
        <item m="1" x="330"/>
        <item m="1" x="609"/>
        <item m="1" x="405"/>
        <item m="1" x="473"/>
        <item m="1" x="272"/>
        <item m="1" x="240"/>
        <item m="1" x="1381"/>
        <item m="1" x="353"/>
        <item m="1" x="137"/>
        <item m="1" x="1190"/>
        <item m="1" x="526"/>
        <item m="1" x="1422"/>
        <item m="1" x="830"/>
        <item m="1" x="339"/>
        <item m="1" x="1118"/>
        <item m="1" x="723"/>
        <item m="1" x="118"/>
        <item m="1" x="119"/>
        <item m="1" x="574"/>
        <item m="1" x="283"/>
        <item m="1" x="284"/>
        <item m="1" x="1001"/>
        <item m="1" x="1372"/>
        <item m="1" x="1135"/>
        <item m="1" x="310"/>
        <item m="1" x="1220"/>
        <item m="1" x="975"/>
        <item m="1" x="264"/>
        <item m="1" x="1309"/>
        <item m="1" x="458"/>
        <item m="1" x="779"/>
        <item m="1" x="201"/>
        <item m="1" x="827"/>
        <item m="1" x="1086"/>
        <item m="1" x="408"/>
        <item m="1" x="590"/>
        <item m="1" x="1425"/>
        <item m="1" x="492"/>
        <item m="1" x="1203"/>
        <item m="1" x="600"/>
        <item x="11"/>
        <item m="1" x="345"/>
        <item m="1" x="983"/>
        <item m="1" x="358"/>
        <item m="1" x="258"/>
        <item m="1" x="1023"/>
        <item m="1" x="675"/>
        <item m="1" x="144"/>
        <item m="1" x="267"/>
        <item m="1" x="1213"/>
        <item m="1" x="569"/>
        <item m="1" x="1030"/>
        <item m="1" x="289"/>
        <item m="1" x="286"/>
        <item m="1" x="1028"/>
        <item m="1" x="1006"/>
        <item m="1" x="529"/>
        <item m="1" x="452"/>
        <item m="1" x="523"/>
        <item m="1" x="278"/>
        <item m="1" x="1265"/>
        <item m="1" x="460"/>
        <item m="1" x="302"/>
        <item m="1" x="1106"/>
        <item m="1" x="1002"/>
        <item m="1" x="1087"/>
        <item m="1" x="775"/>
        <item m="1" x="359"/>
        <item m="1" x="627"/>
        <item m="1" x="652"/>
        <item m="1" x="309"/>
        <item m="1" x="869"/>
        <item m="1" x="587"/>
        <item m="1" x="1119"/>
        <item m="1" x="341"/>
        <item m="1" x="762"/>
        <item m="1" x="1178"/>
        <item m="1" x="805"/>
        <item m="1" x="710"/>
        <item m="1" x="711"/>
        <item m="1" x="1095"/>
        <item m="1" x="111"/>
        <item m="1" x="546"/>
        <item m="1" x="1377"/>
        <item m="1" x="1481"/>
        <item m="1" x="518"/>
        <item m="1" x="203"/>
        <item m="1" x="924"/>
        <item m="1" x="544"/>
        <item m="1" x="734"/>
        <item m="1" x="1091"/>
        <item m="1" x="519"/>
        <item m="1" x="727"/>
        <item m="1" x="691"/>
        <item m="1" x="905"/>
        <item m="1" x="767"/>
        <item m="1" x="204"/>
        <item m="1" x="472"/>
        <item m="1" x="1321"/>
        <item m="1" x="224"/>
        <item m="1" x="679"/>
        <item m="1" x="1153"/>
        <item m="1" x="206"/>
        <item m="1" x="621"/>
        <item m="1" x="1192"/>
        <item m="1" x="485"/>
        <item m="1" x="619"/>
        <item m="1" x="200"/>
        <item m="1" x="610"/>
        <item m="1" x="952"/>
        <item m="1" x="1441"/>
        <item m="1" x="1262"/>
        <item m="1" x="1201"/>
        <item m="1" x="1051"/>
        <item m="1" x="1328"/>
        <item m="1" x="1189"/>
        <item m="1" x="499"/>
        <item m="1" x="490"/>
        <item m="1" x="336"/>
        <item m="1" x="813"/>
        <item m="1" x="1311"/>
        <item m="1" x="645"/>
        <item m="1" x="1229"/>
        <item m="1" x="211"/>
        <item m="1" x="296"/>
        <item m="1" x="1249"/>
        <item m="1" x="623"/>
        <item m="1" x="1259"/>
        <item m="1" x="1396"/>
        <item m="1" x="588"/>
        <item m="1" x="383"/>
        <item m="1" x="1149"/>
        <item m="1" x="394"/>
        <item m="1" x="425"/>
        <item m="1" x="640"/>
        <item m="1" x="314"/>
        <item m="1" x="1410"/>
        <item m="1" x="271"/>
        <item m="1" x="498"/>
        <item m="1" x="885"/>
        <item m="1" x="385"/>
        <item m="1" x="1038"/>
        <item m="1" x="178"/>
        <item m="1" x="346"/>
        <item m="1" x="776"/>
        <item m="1" x="146"/>
        <item m="1" x="934"/>
        <item m="1" x="194"/>
        <item m="1" x="395"/>
        <item m="1" x="707"/>
        <item m="1" x="1409"/>
        <item m="1" x="708"/>
        <item m="1" x="1263"/>
        <item m="1" x="823"/>
        <item sd="0" x="47"/>
        <item m="1" x="973"/>
        <item m="1" x="950"/>
        <item m="1" x="936"/>
        <item m="1" x="288"/>
        <item m="1" x="401"/>
        <item m="1" x="1353"/>
        <item m="1" x="285"/>
        <item m="1" x="455"/>
        <item m="1" x="1145"/>
        <item m="1" x="954"/>
        <item m="1" x="542"/>
        <item m="1" x="115"/>
        <item m="1" x="252"/>
        <item m="1" x="131"/>
        <item m="1" x="213"/>
        <item m="1" x="570"/>
        <item m="1" x="229"/>
        <item m="1" x="270"/>
        <item m="1" x="300"/>
        <item m="1" x="979"/>
        <item m="1" x="1142"/>
        <item m="1" x="1179"/>
        <item m="1" x="1335"/>
        <item m="1" x="120"/>
        <item m="1" x="1180"/>
        <item m="1" x="1336"/>
        <item m="1" x="121"/>
        <item m="1" x="325"/>
        <item m="1" x="470"/>
        <item m="1" x="1147"/>
        <item m="1" x="1341"/>
        <item m="1" x="1446"/>
        <item x="3"/>
        <item m="1" x="1362"/>
        <item m="1" x="608"/>
        <item m="1" x="981"/>
        <item m="1" x="1040"/>
        <item m="1" x="1317"/>
        <item m="1" x="1099"/>
        <item m="1" x="481"/>
        <item m="1" x="837"/>
        <item m="1" x="736"/>
        <item m="1" x="475"/>
        <item m="1" x="469"/>
        <item m="1" x="1027"/>
        <item m="1" x="760"/>
        <item m="1" x="230"/>
        <item m="1" x="995"/>
        <item m="1" x="1208"/>
        <item m="1" x="503"/>
        <item m="1" x="388"/>
        <item m="1" x="953"/>
        <item m="1" x="962"/>
        <item m="1" x="686"/>
        <item m="1" x="1283"/>
        <item m="1" x="1108"/>
        <item m="1" x="1264"/>
        <item m="1" x="1133"/>
        <item m="1" x="1032"/>
        <item m="1" x="769"/>
        <item m="1" x="1450"/>
        <item m="1" x="702"/>
        <item m="1" x="217"/>
        <item m="1" x="371"/>
        <item x="10"/>
        <item m="1" x="1495"/>
        <item m="1" x="362"/>
        <item m="1" x="172"/>
        <item m="1" x="515"/>
        <item m="1" x="1488"/>
        <item m="1" x="500"/>
        <item m="1" x="1401"/>
        <item m="1" x="157"/>
        <item m="1" x="568"/>
        <item m="1" x="581"/>
        <item m="1" x="630"/>
        <item m="1" x="368"/>
        <item m="1" x="1400"/>
        <item m="1" x="1390"/>
        <item m="1" x="1089"/>
        <item m="1" x="576"/>
        <item m="1" x="372"/>
        <item m="1" x="752"/>
        <item m="1" x="255"/>
        <item m="1" x="836"/>
        <item m="1" x="853"/>
        <item m="1" x="1301"/>
        <item m="1" x="317"/>
        <item m="1" x="462"/>
        <item m="1" x="257"/>
        <item m="1" x="210"/>
        <item m="1" x="1069"/>
        <item m="1" x="1501"/>
        <item m="1" x="265"/>
        <item m="1" x="1222"/>
        <item m="1" x="774"/>
        <item m="1" x="479"/>
        <item m="1" x="968"/>
        <item m="1" x="858"/>
        <item m="1" x="1462"/>
        <item m="1" x="189"/>
        <item m="1" x="366"/>
        <item m="1" x="397"/>
        <item m="1" x="1167"/>
        <item m="1" x="646"/>
        <item m="1" x="866"/>
        <item m="1" x="955"/>
        <item m="1" x="1157"/>
        <item m="1" x="899"/>
        <item m="1" x="1434"/>
        <item m="1" x="369"/>
        <item m="1" x="450"/>
        <item x="30"/>
        <item m="1" x="844"/>
        <item m="1" x="1352"/>
        <item m="1" x="1015"/>
        <item m="1" x="994"/>
        <item m="1" x="489"/>
        <item m="1" x="871"/>
        <item m="1" x="248"/>
        <item m="1" x="976"/>
        <item m="1" x="578"/>
        <item m="1" x="328"/>
        <item m="1" x="681"/>
        <item m="1" x="167"/>
        <item m="1" x="712"/>
        <item m="1" x="605"/>
        <item m="1" x="1168"/>
        <item m="1" x="1219"/>
        <item m="1" x="1376"/>
        <item m="1" x="537"/>
        <item m="1" x="988"/>
        <item m="1" x="234"/>
        <item m="1" x="944"/>
        <item m="1" x="703"/>
        <item m="1" x="631"/>
        <item m="1" x="453"/>
        <item m="1" x="1034"/>
        <item m="1" x="841"/>
        <item m="1" x="1115"/>
        <item m="1" x="316"/>
        <item m="1" x="847"/>
        <item m="1" x="848"/>
        <item m="1" x="946"/>
        <item m="1" x="1419"/>
        <item m="1" x="1114"/>
        <item m="1" x="329"/>
        <item m="1" x="969"/>
        <item m="1" x="1185"/>
        <item m="1" x="129"/>
        <item m="1" x="1417"/>
        <item m="1" x="1256"/>
        <item m="1" x="1412"/>
        <item m="1" x="1093"/>
        <item m="1" x="1363"/>
        <item m="1" x="1475"/>
        <item m="1" x="1329"/>
        <item m="1" x="1338"/>
        <item m="1" x="766"/>
        <item m="1" x="951"/>
        <item m="1" x="777"/>
        <item m="1" x="1166"/>
        <item m="1" x="729"/>
        <item m="1" x="1281"/>
        <item m="1" x="436"/>
        <item m="1" x="602"/>
        <item m="1" x="1429"/>
        <item m="1" x="972"/>
        <item m="1" x="342"/>
        <item m="1" x="116"/>
        <item m="1" x="781"/>
        <item m="1" x="622"/>
        <item m="1" x="182"/>
        <item m="1" x="806"/>
        <item m="1" x="911"/>
        <item m="1" x="1170"/>
        <item x="32"/>
        <item m="1" x="357"/>
        <item m="1" x="1138"/>
        <item m="1" x="1005"/>
        <item m="1" x="1020"/>
        <item m="1" x="352"/>
        <item m="1" x="671"/>
        <item m="1" x="678"/>
        <item m="1" x="838"/>
        <item m="1" x="803"/>
        <item m="1" x="804"/>
        <item m="1" x="322"/>
        <item m="1" x="262"/>
        <item m="1" x="320"/>
        <item m="1" x="337"/>
        <item m="1" x="763"/>
        <item m="1" x="764"/>
        <item m="1" x="1483"/>
        <item m="1" x="1484"/>
        <item m="1" x="1128"/>
        <item m="1" x="722"/>
        <item m="1" x="457"/>
        <item m="1" x="1100"/>
        <item m="1" x="495"/>
        <item m="1" x="1227"/>
        <item m="1" x="491"/>
        <item m="1" x="1415"/>
        <item m="1" x="402"/>
        <item m="1" x="382"/>
        <item m="1" x="249"/>
        <item m="1" x="802"/>
        <item m="1" x="373"/>
        <item m="1" x="1375"/>
        <item m="1" x="1391"/>
        <item m="1" x="654"/>
        <item m="1" x="528"/>
        <item m="1" x="606"/>
        <item m="1" x="1485"/>
        <item m="1" x="128"/>
        <item m="1" x="1257"/>
        <item m="1" x="109"/>
        <item m="1" x="694"/>
        <item m="1" x="584"/>
        <item m="1" x="193"/>
        <item m="1" x="575"/>
        <item m="1" x="696"/>
        <item m="1" x="160"/>
        <item m="1" x="1411"/>
        <item m="1" x="787"/>
        <item m="1" x="601"/>
        <item m="1" x="1277"/>
        <item m="1" x="922"/>
        <item m="1" x="1072"/>
        <item m="1" x="1241"/>
        <item m="1" x="202"/>
        <item m="1" x="1337"/>
        <item m="1" x="501"/>
        <item m="1" x="620"/>
        <item m="1" x="870"/>
        <item m="1" x="1325"/>
        <item m="1" x="242"/>
        <item m="1" x="260"/>
        <item m="1" x="1431"/>
        <item m="1" x="961"/>
        <item m="1" x="888"/>
        <item m="1" x="742"/>
        <item m="1" x="207"/>
        <item m="1" x="1198"/>
        <item m="1" x="788"/>
        <item m="1" x="558"/>
        <item m="1" x="674"/>
        <item m="1" x="1420"/>
        <item m="1" x="980"/>
        <item m="1" x="232"/>
        <item m="1" x="507"/>
        <item m="1" x="104"/>
        <item m="1" x="333"/>
        <item m="1" x="171"/>
        <item m="1" x="292"/>
        <item m="1" x="1439"/>
        <item m="1" x="199"/>
        <item m="1" x="790"/>
        <item m="1" x="1346"/>
        <item m="1" x="1065"/>
        <item m="1" x="514"/>
        <item m="1" x="822"/>
        <item m="1" x="1244"/>
        <item m="1" x="1137"/>
        <item m="1" x="348"/>
        <item m="1" x="536"/>
        <item m="1" x="1156"/>
        <item m="1" x="755"/>
        <item m="1" x="798"/>
        <item m="1" x="845"/>
        <item m="1" x="1300"/>
        <item m="1" x="512"/>
        <item m="1" x="1399"/>
        <item m="1" x="356"/>
        <item m="1" x="280"/>
        <item m="1" x="313"/>
        <item m="1" x="463"/>
        <item m="1" x="1295"/>
        <item m="1" x="945"/>
        <item m="1" x="295"/>
        <item m="1" x="438"/>
        <item m="1" x="386"/>
        <item m="1" x="276"/>
        <item m="1" x="1048"/>
        <item m="1" x="277"/>
        <item m="1" x="1046"/>
        <item m="1" x="103"/>
        <item m="1" x="650"/>
        <item m="1" x="451"/>
        <item m="1" x="1011"/>
        <item m="1" x="251"/>
        <item m="1" x="161"/>
        <item m="1" x="1255"/>
        <item m="1" x="807"/>
        <item m="1" x="461"/>
        <item m="1" x="1405"/>
        <item m="1" x="403"/>
        <item m="1" x="919"/>
        <item m="1" x="571"/>
        <item m="1" x="1084"/>
        <item m="1" x="1082"/>
        <item m="1" x="1394"/>
        <item m="1" x="965"/>
        <item m="1" x="1215"/>
        <item m="1" x="446"/>
        <item m="1" x="233"/>
        <item m="1" x="753"/>
        <item m="1" x="987"/>
        <item m="1" x="1022"/>
        <item m="1" x="1164"/>
        <item m="1" x="541"/>
        <item m="1" x="1500"/>
        <item m="1" x="165"/>
        <item m="1" x="231"/>
        <item m="1" x="1144"/>
        <item m="1" x="412"/>
        <item m="1" x="817"/>
        <item m="1" x="586"/>
        <item m="1" x="1207"/>
        <item m="1" x="604"/>
        <item m="1" x="1502"/>
        <item m="1" x="1306"/>
        <item m="1" x="1085"/>
        <item m="1" x="1214"/>
        <item m="1" x="1242"/>
        <item m="1" x="1282"/>
        <item m="1" x="1303"/>
        <item m="1" x="293"/>
        <item m="1" x="294"/>
        <item m="1" x="1136"/>
        <item m="1" x="1103"/>
        <item m="1" x="854"/>
        <item m="1" x="530"/>
        <item m="1" x="471"/>
        <item m="1" x="493"/>
        <item m="1" x="105"/>
        <item m="1" x="531"/>
        <item m="1" x="406"/>
        <item m="1" x="1297"/>
        <item m="1" x="1188"/>
        <item m="1" x="563"/>
        <item m="1" x="441"/>
        <item m="1" x="1226"/>
        <item m="1" x="1331"/>
        <item m="1" x="347"/>
        <item m="1" x="572"/>
        <item m="1" x="1092"/>
        <item m="1" x="577"/>
        <item m="1" x="993"/>
        <item m="1" x="535"/>
        <item m="1" x="389"/>
        <item m="1" x="1113"/>
        <item m="1" x="559"/>
        <item m="1" x="1271"/>
        <item m="1" x="1270"/>
        <item m="1" x="410"/>
        <item m="1" x="908"/>
        <item m="1" x="662"/>
        <item m="1" x="1210"/>
        <item m="1" x="1356"/>
        <item m="1" x="134"/>
        <item m="1" x="275"/>
        <item m="1" x="984"/>
        <item m="1" x="521"/>
        <item m="1" x="520"/>
        <item m="1" x="1447"/>
        <item m="1" x="1448"/>
        <item m="1" x="1129"/>
        <item m="1" x="1342"/>
        <item m="1" x="868"/>
        <item m="1" x="967"/>
        <item m="1" x="174"/>
        <item m="1" x="184"/>
        <item m="1" x="474"/>
        <item m="1" x="1223"/>
        <item m="1" x="127"/>
        <item m="1" x="1224"/>
        <item m="1" x="758"/>
        <item m="1" x="1314"/>
        <item m="1" x="365"/>
        <item m="1" x="225"/>
        <item m="1" x="1397"/>
        <item m="1" x="1090"/>
        <item m="1" x="477"/>
        <item m="1" x="948"/>
        <item m="1" x="741"/>
        <item m="1" x="704"/>
        <item m="1" x="852"/>
        <item m="1" x="1308"/>
        <item m="1" x="1280"/>
        <item m="1" x="898"/>
        <item m="1" x="179"/>
        <item m="1" x="417"/>
        <item m="1" x="947"/>
        <item m="1" x="349"/>
        <item m="1" x="772"/>
        <item m="1" x="1236"/>
        <item m="1" x="253"/>
        <item m="1" x="192"/>
        <item m="1" x="1302"/>
        <item m="1" x="638"/>
        <item m="1" x="909"/>
        <item m="1" x="447"/>
        <item m="1" x="635"/>
        <item m="1" x="716"/>
        <item m="1" x="423"/>
        <item m="1" x="561"/>
        <item m="1" x="404"/>
        <item m="1" x="685"/>
        <item m="1" x="1047"/>
        <item m="1" x="1003"/>
        <item m="1" x="1493"/>
        <item m="1" x="689"/>
        <item m="1" x="261"/>
        <item m="1" x="756"/>
        <item m="1" x="1284"/>
        <item m="1" x="956"/>
        <item m="1" x="773"/>
        <item m="1" x="169"/>
        <item m="1" x="796"/>
        <item m="1" x="486"/>
        <item m="1" x="476"/>
        <item m="1" x="724"/>
        <item m="1" x="170"/>
        <item m="1" x="239"/>
        <item m="1" x="1389"/>
        <item m="1" x="1435"/>
        <item m="1" x="1035"/>
        <item m="1" x="1385"/>
        <item m="1" x="719"/>
        <item m="1" x="1140"/>
        <item m="1" x="117"/>
        <item m="1" x="1479"/>
        <item m="1" x="778"/>
        <item m="1" x="720"/>
        <item m="1" x="1120"/>
        <item m="1" x="903"/>
        <item m="1" x="344"/>
        <item m="1" x="637"/>
        <item m="1" x="1132"/>
        <item m="1" x="585"/>
        <item m="1" x="698"/>
        <item m="1" x="877"/>
        <item m="1" x="195"/>
        <item m="1" x="918"/>
        <item m="1" x="687"/>
        <item m="1" x="1260"/>
        <item m="1" x="1503"/>
        <item m="1" x="1031"/>
        <item m="1" x="828"/>
        <item m="1" x="1305"/>
        <item m="1" x="1202"/>
        <item m="1" x="173"/>
        <item m="1" x="737"/>
        <item m="1" x="656"/>
        <item m="1" x="533"/>
        <item m="1" x="989"/>
        <item m="1" x="839"/>
        <item m="1" x="1161"/>
        <item m="1" x="449"/>
        <item m="1" x="307"/>
        <item m="1" x="219"/>
        <item m="1" x="607"/>
        <item m="1" x="431"/>
        <item m="1" x="163"/>
        <item m="1" x="1045"/>
        <item m="1" x="456"/>
        <item m="1" x="851"/>
        <item m="1" x="649"/>
        <item m="1" x="483"/>
        <item m="1" x="982"/>
        <item m="1" x="1101"/>
        <item m="1" x="1018"/>
        <item m="1" x="1245"/>
        <item x="15"/>
        <item m="1" x="363"/>
        <item m="1" x="1239"/>
        <item m="1" x="846"/>
        <item m="1" x="1322"/>
        <item m="1" x="303"/>
        <item m="1" x="913"/>
        <item m="1" x="1110"/>
        <item m="1" x="1347"/>
        <item m="1" x="1251"/>
        <item m="1" x="381"/>
        <item m="1" x="991"/>
        <item m="1" x="1126"/>
        <item m="1" x="560"/>
        <item m="1" x="376"/>
        <item m="1" x="651"/>
        <item m="1" x="237"/>
        <item m="1" x="1152"/>
        <item m="1" x="926"/>
        <item m="1" x="222"/>
        <item m="1" x="1134"/>
        <item m="1" x="1163"/>
        <item m="1" x="135"/>
        <item m="1" x="335"/>
        <item m="1" x="709"/>
        <item m="1" x="188"/>
        <item m="1" x="439"/>
        <item m="1" x="1014"/>
        <item m="1" x="326"/>
        <item m="1" x="1258"/>
        <item m="1" x="818"/>
        <item m="1" x="676"/>
        <item m="1" x="971"/>
        <item m="1" x="668"/>
        <item m="1" x="690"/>
        <item m="1" x="664"/>
        <item m="1" x="901"/>
        <item m="1" x="565"/>
        <item m="1" x="287"/>
        <item m="1" x="1275"/>
        <item m="1" x="164"/>
        <item m="1" x="1171"/>
        <item m="1" x="393"/>
        <item m="1" x="865"/>
        <item m="1" x="1473"/>
        <item m="1" x="180"/>
        <item m="1" x="624"/>
        <item m="1" x="123"/>
        <item m="1" x="882"/>
        <item m="1" x="1111"/>
        <item m="1" x="1482"/>
        <item m="1" x="497"/>
        <item m="1" x="422"/>
        <item m="1" x="797"/>
        <item m="1" x="430"/>
        <item m="1" x="1102"/>
        <item m="1" x="1466"/>
        <item m="1" x="319"/>
        <item m="1" x="784"/>
        <item m="1" x="482"/>
        <item m="1" x="1139"/>
        <item m="1" x="250"/>
        <item m="1" x="639"/>
        <item m="1" x="1248"/>
        <item m="1" x="1486"/>
        <item m="1" x="168"/>
        <item m="1" x="831"/>
        <item m="1" x="594"/>
        <item m="1" x="970"/>
        <item m="1" x="1024"/>
        <item m="1" x="1162"/>
        <item m="1" x="930"/>
        <item m="1" x="133"/>
        <item m="1" x="516"/>
        <item m="1" x="384"/>
        <item m="1" x="768"/>
        <item m="1" x="361"/>
        <item m="1" x="1357"/>
        <item m="1" x="1037"/>
        <item m="1" x="1253"/>
        <item m="1" x="440"/>
        <item m="1" x="1494"/>
        <item m="1" x="912"/>
        <item m="1" x="435"/>
        <item m="1" x="1477"/>
        <item m="1" x="1476"/>
        <item m="1" x="185"/>
        <item m="1" x="312"/>
        <item m="1" x="355"/>
        <item m="1" x="1489"/>
        <item m="1" x="591"/>
        <item m="1" x="860"/>
        <item m="1" x="592"/>
        <item m="1" x="739"/>
        <item m="1" x="1359"/>
        <item m="1" x="332"/>
        <item m="1" x="959"/>
        <item m="1" x="175"/>
        <item m="1" x="1272"/>
        <item m="1" x="943"/>
        <item m="1" x="740"/>
        <item m="1" x="459"/>
        <item m="1" x="923"/>
        <item m="1" x="502"/>
        <item m="1" x="198"/>
        <item m="1" x="1141"/>
        <item m="1" x="887"/>
        <item m="1" x="1383"/>
        <item m="1" x="1250"/>
        <item m="1" x="517"/>
        <item m="1" x="415"/>
        <item m="1" x="196"/>
        <item m="1" x="974"/>
        <item m="1" x="122"/>
        <item m="1" x="1299"/>
        <item m="1" x="496"/>
        <item m="1" x="433"/>
        <item m="1" x="872"/>
        <item m="1" x="238"/>
        <item m="1" x="1408"/>
        <item m="1" x="205"/>
        <item m="1" x="857"/>
        <item m="1" x="789"/>
        <item m="1" x="1148"/>
        <item m="1" x="580"/>
        <item m="1" x="1197"/>
        <item m="1" x="113"/>
        <item m="1" x="1423"/>
        <item m="1" x="717"/>
        <item m="1" x="176"/>
        <item m="1" x="142"/>
        <item m="1" x="1487"/>
        <item m="1" x="1169"/>
        <item m="1" x="1266"/>
        <item m="1" x="427"/>
        <item m="1" x="538"/>
        <item m="1" x="1320"/>
        <item m="1" x="291"/>
        <item m="1" x="667"/>
        <item m="1" x="282"/>
        <item m="1" x="765"/>
        <item m="1" x="878"/>
        <item m="1" x="1288"/>
        <item m="1" x="1298"/>
        <item m="1" x="1313"/>
        <item m="1" x="904"/>
        <item m="1" x="886"/>
        <item m="1" x="360"/>
        <item m="1" x="527"/>
        <item m="1" x="1155"/>
        <item m="1" x="110"/>
        <item m="1" x="1285"/>
        <item m="1" x="648"/>
        <item m="1" x="241"/>
        <item m="1" x="791"/>
        <item m="1" x="759"/>
        <item m="1" x="1218"/>
        <item m="1" x="399"/>
        <item m="1" x="929"/>
        <item m="1" x="1294"/>
        <item m="1" x="733"/>
        <item m="1" x="549"/>
        <item m="1" x="454"/>
        <item m="1" x="855"/>
        <item m="1" x="1360"/>
        <item m="1" x="567"/>
        <item m="1" x="304"/>
        <item m="1" x="731"/>
        <item m="1" x="725"/>
        <item m="1" x="1430"/>
        <item m="1" x="1414"/>
        <item m="1" x="1465"/>
        <item m="1" x="1480"/>
        <item m="1" x="364"/>
        <item m="1" x="387"/>
        <item m="1" x="751"/>
        <item m="1" x="540"/>
        <item m="1" x="1361"/>
        <item m="1" x="298"/>
        <item m="1" x="467"/>
        <item m="1" x="1088"/>
        <item m="1" x="566"/>
        <item m="1" x="738"/>
        <item m="1" x="815"/>
        <item m="1" x="599"/>
        <item m="1" x="880"/>
        <item m="1" x="879"/>
        <item m="1" x="323"/>
        <item m="1" x="1316"/>
        <item m="1" x="138"/>
        <item m="1" x="226"/>
        <item m="1" x="927"/>
        <item m="1" x="801"/>
        <item m="1" x="782"/>
        <item m="1" x="245"/>
        <item m="1" x="1200"/>
        <item m="1" x="1469"/>
        <item m="1" x="243"/>
        <item m="1" x="1041"/>
        <item m="1" x="1471"/>
        <item m="1" x="859"/>
        <item m="1" x="1073"/>
        <item m="1" x="1472"/>
        <item m="1" x="1387"/>
        <item m="1" x="963"/>
        <item m="1" x="1217"/>
        <item m="1" x="468"/>
        <item m="1" x="1378"/>
        <item m="1" x="1009"/>
        <item m="1" x="1112"/>
        <item m="1" x="1228"/>
        <item m="1" x="1384"/>
        <item m="1" x="414"/>
        <item m="1" x="256"/>
        <item m="1" x="1221"/>
        <item m="1" x="1438"/>
        <item m="1" x="1187"/>
        <item m="1" x="1199"/>
        <item x="55"/>
        <item m="1" x="1382"/>
        <item m="1" x="214"/>
        <item m="1" x="949"/>
        <item m="1" x="1491"/>
        <item m="1" x="1158"/>
        <item m="1" x="416"/>
        <item m="1" x="820"/>
        <item m="1" x="484"/>
        <item m="1" x="921"/>
        <item m="1" x="159"/>
        <item m="1" x="351"/>
        <item m="1" x="442"/>
        <item m="1" x="443"/>
        <item m="1" x="444"/>
        <item m="1" x="274"/>
        <item m="1" x="273"/>
        <item m="1" x="379"/>
        <item m="1" x="643"/>
        <item m="1" x="1044"/>
        <item m="1" x="315"/>
        <item m="1" x="1492"/>
        <item m="1" x="254"/>
        <item m="1" x="508"/>
        <item m="1" x="190"/>
        <item m="1" x="140"/>
        <item m="1" x="1279"/>
        <item m="1" x="1104"/>
        <item m="1" x="532"/>
        <item m="1" x="246"/>
        <item m="1" x="1296"/>
        <item m="1" x="420"/>
        <item m="1" x="1343"/>
        <item m="1" x="155"/>
        <item m="1" x="413"/>
        <item m="1" x="1026"/>
        <item m="1" x="786"/>
        <item m="1" x="1323"/>
        <item m="1" x="1000"/>
        <item m="1" x="761"/>
        <item m="1" x="1379"/>
        <item m="1" x="705"/>
        <item m="1" x="1274"/>
        <item m="1" x="1427"/>
        <item m="1" x="197"/>
        <item m="1" x="1461"/>
        <item m="1" x="653"/>
        <item m="1" x="856"/>
        <item m="1" x="398"/>
        <item m="1" x="1267"/>
        <item m="1" x="126"/>
        <item m="1" x="1373"/>
        <item m="1" x="695"/>
        <item m="1" x="1172"/>
        <item m="1" x="1173"/>
        <item m="1" x="1174"/>
        <item m="1" x="1175"/>
        <item m="1" x="1176"/>
        <item m="1" x="1177"/>
        <item m="1" x="1463"/>
        <item m="1" x="1464"/>
        <item m="1" x="1230"/>
        <item m="1" x="1231"/>
        <item m="1" x="1232"/>
        <item m="1" x="1233"/>
        <item m="1" x="1234"/>
        <item m="1" x="1235"/>
        <item m="1" x="670"/>
        <item m="1" x="562"/>
        <item m="1" x="1122"/>
        <item m="1" x="799"/>
        <item m="1" x="1497"/>
        <item m="1" x="1498"/>
        <item m="1" x="1496"/>
        <item m="1" x="1499"/>
        <item m="1" x="1097"/>
        <item m="1" x="1098"/>
        <item m="1" x="1395"/>
        <item m="1" x="488"/>
        <item m="1" x="726"/>
        <item m="1" x="1348"/>
        <item m="1" x="832"/>
        <item m="1" x="1123"/>
        <item m="1" x="829"/>
        <item m="1" x="411"/>
        <item m="1" x="693"/>
        <item m="1" x="1269"/>
        <item m="1" x="1182"/>
        <item m="1" x="108"/>
        <item m="1" x="1358"/>
        <item m="1" x="297"/>
        <item m="1" x="977"/>
        <item m="1" x="1053"/>
        <item m="1" x="1054"/>
        <item m="1" x="1055"/>
        <item m="1" x="1056"/>
        <item m="1" x="1057"/>
        <item m="1" x="1058"/>
        <item m="1" x="1059"/>
        <item m="1" x="1060"/>
        <item m="1" x="1061"/>
        <item m="1" x="1062"/>
        <item m="1" x="1063"/>
        <item m="1" x="1064"/>
        <item m="1" x="147"/>
        <item m="1" x="148"/>
        <item m="1" x="149"/>
        <item m="1" x="150"/>
        <item m="1" x="151"/>
        <item m="1" x="152"/>
        <item m="1" x="153"/>
        <item m="1" x="154"/>
        <item m="1" x="611"/>
        <item m="1" x="612"/>
        <item m="1" x="613"/>
        <item m="1" x="614"/>
        <item m="1" x="615"/>
        <item m="1" x="616"/>
        <item m="1" x="617"/>
        <item m="1" x="618"/>
        <item m="1" x="890"/>
        <item m="1" x="891"/>
        <item m="1" x="892"/>
        <item m="1" x="893"/>
        <item m="1" x="894"/>
        <item m="1" x="895"/>
        <item m="1" x="896"/>
        <item m="1" x="897"/>
        <item m="1" x="1350"/>
        <item m="1" x="1351"/>
        <item m="1" x="937"/>
        <item m="1" x="938"/>
        <item m="1" x="939"/>
        <item m="1" x="940"/>
        <item m="1" x="941"/>
        <item m="1" x="942"/>
        <item m="1" x="1365"/>
        <item m="1" x="1366"/>
        <item m="1" x="1367"/>
        <item m="1" x="1368"/>
        <item m="1" x="1369"/>
        <item m="1" x="1370"/>
        <item m="1" x="743"/>
        <item m="1" x="744"/>
        <item m="1" x="745"/>
        <item m="1" x="746"/>
        <item m="1" x="747"/>
        <item m="1" x="748"/>
        <item m="1" x="749"/>
        <item m="1" x="750"/>
        <item m="1" x="1453"/>
        <item m="1" x="1454"/>
        <item m="1" x="1455"/>
        <item m="1" x="1456"/>
        <item m="1" x="1457"/>
        <item m="1" x="1458"/>
        <item m="1" x="1459"/>
        <item m="1" x="1460"/>
        <item m="1" x="550"/>
        <item m="1" x="551"/>
        <item m="1" x="552"/>
        <item m="1" x="553"/>
        <item m="1" x="554"/>
        <item m="1" x="555"/>
        <item m="1" x="556"/>
        <item m="1" x="557"/>
        <item m="1" x="1074"/>
        <item m="1" x="1075"/>
        <item m="1" x="1076"/>
        <item m="1" x="1077"/>
        <item m="1" x="1033"/>
        <item m="1" x="809"/>
        <item m="1" x="632"/>
        <item m="1" x="633"/>
        <item m="1" x="634"/>
        <item m="1" x="636"/>
        <item m="1" x="935"/>
        <item m="1" x="834"/>
        <item m="1" x="324"/>
        <item m="1" x="426"/>
        <item m="1" x="1042"/>
        <item m="1" x="136"/>
        <item m="1" x="850"/>
        <item m="1" x="396"/>
        <item m="1" x="780"/>
        <item m="1" x="957"/>
        <item m="1" x="1312"/>
        <item m="1" x="505"/>
        <item m="1" x="1181"/>
        <item m="1" x="1444"/>
        <item m="1" x="1191"/>
        <item m="1" x="1416"/>
        <item m="1" x="867"/>
        <item m="1" x="227"/>
        <item m="1" x="1080"/>
        <item m="1" x="1081"/>
        <item m="1" x="478"/>
        <item m="1" x="795"/>
        <item m="1" x="221"/>
        <item m="1" x="1068"/>
        <item m="1" x="792"/>
        <item m="1" x="595"/>
        <item m="1" x="1184"/>
        <item m="1" x="660"/>
        <item m="1" x="697"/>
        <item m="1" x="511"/>
        <item m="1" x="1240"/>
        <item m="1" x="1205"/>
        <item m="1" x="1392"/>
        <item m="1" x="106"/>
        <item m="1" x="1013"/>
        <item m="1" x="1326"/>
        <item m="1" x="785"/>
        <item m="1" x="819"/>
        <item m="1" x="990"/>
        <item m="1" x="1107"/>
        <item m="1" x="1237"/>
        <item m="1" x="1165"/>
        <item m="1" x="1478"/>
        <item m="1" x="881"/>
        <item m="1" x="642"/>
        <item m="1" x="812"/>
        <item m="1" x="1276"/>
        <item m="1" x="513"/>
        <item m="1" x="424"/>
        <item m="1" x="1504"/>
        <item m="1" x="1109"/>
        <item m="1" x="419"/>
        <item m="1" x="669"/>
        <item m="1" x="665"/>
        <item m="1" x="1468"/>
        <item m="1" x="666"/>
        <item m="1" x="721"/>
        <item m="1" x="800"/>
        <item m="1" x="209"/>
        <item m="1" x="1403"/>
        <item m="1" x="1421"/>
        <item m="1" x="543"/>
        <item m="1" x="1304"/>
        <item m="1" x="997"/>
        <item m="1" x="998"/>
        <item m="1" x="999"/>
        <item m="1" x="378"/>
        <item m="1" x="1426"/>
        <item m="1" x="139"/>
        <item m="1" x="162"/>
        <item m="1" x="1490"/>
        <item m="1" x="864"/>
        <item m="1" x="1125"/>
        <item m="1" x="421"/>
        <item m="1" x="1344"/>
        <item m="1" x="1286"/>
        <item m="1" x="582"/>
        <item m="1" x="1124"/>
        <item m="1" x="466"/>
        <item m="1" x="659"/>
        <item m="1" x="114"/>
        <item m="1" x="771"/>
        <item m="1" x="1467"/>
        <item m="1" x="186"/>
        <item m="1" x="269"/>
        <item m="1" x="1293"/>
        <item m="1" x="1428"/>
        <item m="1" x="714"/>
        <item m="1" x="407"/>
        <item m="1" x="268"/>
        <item m="1" x="428"/>
        <item m="1" x="464"/>
        <item m="1" x="1043"/>
        <item m="1" x="143"/>
        <item m="1" x="343"/>
        <item m="1" x="1243"/>
        <item m="1" x="1007"/>
        <item m="1" x="629"/>
        <item m="1" x="958"/>
        <item m="1" x="1254"/>
        <item m="1" x="1333"/>
        <item m="1" x="1290"/>
        <item m="1" x="1355"/>
        <item m="1" x="1327"/>
        <item m="1" x="840"/>
        <item m="1" x="112"/>
        <item m="1" x="1160"/>
        <item m="1" x="434"/>
        <item m="1" x="183"/>
        <item m="1" x="985"/>
        <item m="1" x="525"/>
        <item x="1"/>
        <item x="2"/>
        <item x="4"/>
        <item x="5"/>
        <item x="6"/>
        <item x="7"/>
        <item x="8"/>
        <item x="9"/>
        <item m="1" x="843"/>
        <item m="1" x="794"/>
        <item m="1" x="907"/>
        <item m="1" x="644"/>
        <item x="12"/>
        <item x="13"/>
        <item x="14"/>
        <item m="1" x="757"/>
        <item x="17"/>
        <item x="18"/>
        <item x="19"/>
        <item x="20"/>
        <item x="23"/>
        <item x="24"/>
        <item x="25"/>
        <item x="26"/>
        <item m="1" x="1324"/>
        <item m="1" x="933"/>
        <item m="1" x="1289"/>
        <item x="28"/>
        <item x="29"/>
        <item x="31"/>
        <item x="33"/>
        <item m="1" x="311"/>
        <item x="35"/>
        <item x="36"/>
        <item sd="0" x="37"/>
        <item x="38"/>
        <item x="39"/>
        <item x="40"/>
        <item x="45"/>
        <item m="1" x="166"/>
        <item m="1" x="655"/>
        <item m="1" x="487"/>
        <item m="1" x="220"/>
        <item x="48"/>
        <item x="49"/>
        <item m="1" x="299"/>
        <item x="51"/>
        <item m="1" x="583"/>
        <item m="1" x="1078"/>
        <item m="1" x="688"/>
        <item m="1" x="480"/>
        <item m="1" x="1021"/>
        <item x="54"/>
        <item m="1" x="906"/>
        <item m="1" x="132"/>
        <item m="1" x="1216"/>
        <item m="1" x="1083"/>
        <item m="1" x="279"/>
        <item m="1" x="1016"/>
        <item m="1" x="301"/>
        <item m="1" x="1386"/>
        <item m="1" x="1121"/>
        <item m="1" x="1159"/>
        <item m="1" x="826"/>
        <item m="1" x="1339"/>
        <item m="1" x="677"/>
        <item m="1" x="1012"/>
        <item m="1" x="1452"/>
        <item m="1" x="718"/>
        <item m="1" x="700"/>
        <item m="1" x="208"/>
        <item m="1" x="1374"/>
        <item m="1" x="1117"/>
        <item m="1" x="914"/>
        <item m="1" x="579"/>
        <item m="1" x="181"/>
        <item m="1" x="825"/>
        <item m="1" x="1146"/>
        <item m="1" x="1211"/>
        <item m="1" x="334"/>
        <item m="1" x="920"/>
        <item m="1" x="597"/>
        <item m="1" x="400"/>
        <item m="1" x="547"/>
        <item m="1" x="925"/>
        <item m="1" x="1010"/>
        <item m="1" x="1238"/>
        <item m="1" x="931"/>
        <item m="1" x="1449"/>
        <item m="1" x="1206"/>
        <item m="1" x="350"/>
        <item m="1" x="259"/>
        <item m="1" x="808"/>
        <item m="1" x="964"/>
        <item m="1" x="494"/>
        <item x="62"/>
        <item x="59"/>
        <item x="63"/>
        <item m="1" x="770"/>
        <item m="1" x="917"/>
        <item m="1" x="1406"/>
        <item x="67"/>
        <item m="1" x="374"/>
        <item m="1" x="996"/>
        <item m="1" x="504"/>
        <item m="1" x="884"/>
        <item m="1" x="966"/>
        <item m="1" x="290"/>
        <item m="1" x="1436"/>
        <item m="1" x="1437"/>
        <item m="1" x="266"/>
        <item m="1" x="409"/>
        <item x="78"/>
        <item m="1" x="1071"/>
        <item m="1" x="663"/>
        <item m="1" x="683"/>
        <item m="1" x="658"/>
        <item m="1" x="889"/>
        <item m="1" x="1252"/>
        <item x="86"/>
        <item m="1" x="986"/>
        <item x="88"/>
        <item m="1" x="1150"/>
        <item m="1" x="1151"/>
        <item x="95"/>
        <item m="1" x="641"/>
        <item m="1" x="1371"/>
        <item x="98"/>
        <item m="1" x="1079"/>
        <item m="1" x="1067"/>
        <item m="1" x="811"/>
        <item m="1" x="680"/>
        <item m="1" x="598"/>
        <item m="1" x="1345"/>
        <item m="1" x="863"/>
        <item m="1" x="318"/>
        <item m="1" x="1349"/>
        <item m="1" x="916"/>
        <item m="1" x="1440"/>
        <item m="1" x="338"/>
        <item m="1" x="1310"/>
        <item m="1" x="932"/>
        <item m="1" x="218"/>
        <item m="1" x="187"/>
        <item m="1" x="1008"/>
        <item m="1" x="593"/>
        <item m="1" x="1287"/>
        <item m="1" x="1247"/>
        <item m="1" x="1186"/>
        <item x="90"/>
        <item x="96"/>
        <item x="99"/>
        <item m="1" x="1196"/>
        <item m="1" x="392"/>
        <item m="1" x="380"/>
        <item m="1" x="1451"/>
        <item m="1" x="1131"/>
        <item m="1" x="672"/>
        <item m="1" x="509"/>
        <item m="1" x="960"/>
        <item m="1" x="1330"/>
        <item m="1" x="177"/>
        <item m="1" x="692"/>
        <item m="1" x="814"/>
        <item m="1" x="228"/>
        <item m="1" x="107"/>
        <item m="1" x="1432"/>
        <item m="1" x="1433"/>
        <item m="1" x="783"/>
        <item m="1" x="1315"/>
        <item m="1" x="141"/>
        <item m="1" x="158"/>
        <item m="1" x="370"/>
        <item m="1" x="1212"/>
        <item m="1" x="1183"/>
        <item m="1" x="735"/>
        <item m="1" x="390"/>
        <item m="1" x="391"/>
        <item m="1" x="1025"/>
        <item m="1" x="793"/>
        <item m="1" x="125"/>
        <item m="1" x="862"/>
        <item m="1" x="1209"/>
        <item m="1" x="1292"/>
        <item m="1" x="873"/>
        <item m="1" x="732"/>
        <item m="1" x="321"/>
        <item m="1" x="810"/>
        <item m="1" x="874"/>
        <item m="1" x="861"/>
        <item m="1" x="1019"/>
        <item m="1" x="875"/>
        <item m="1" x="715"/>
        <item m="1" x="1402"/>
        <item m="1" x="1445"/>
        <item m="1" x="305"/>
        <item m="1" x="306"/>
        <item m="1" x="308"/>
        <item m="1" x="1398"/>
        <item m="1" x="524"/>
        <item m="1" x="928"/>
        <item m="1" x="1404"/>
        <item m="1" x="1143"/>
        <item m="1" x="545"/>
        <item m="1" x="1004"/>
        <item m="1" x="244"/>
        <item x="87"/>
        <item m="1" x="432"/>
        <item m="1" x="1380"/>
        <item m="1" x="573"/>
        <item m="1" x="625"/>
        <item m="1" x="331"/>
        <item m="1" x="212"/>
        <item m="1" x="429"/>
        <item m="1" x="883"/>
        <item m="1" x="534"/>
        <item m="1" x="1340"/>
        <item m="1" x="418"/>
        <item m="1" x="1039"/>
        <item m="1" x="699"/>
        <item m="1" x="327"/>
        <item x="58"/>
        <item m="1" x="375"/>
        <item m="1" x="1246"/>
        <item m="1" x="1195"/>
        <item m="1" x="1334"/>
        <item m="1" x="626"/>
        <item m="1" x="1066"/>
        <item m="1" x="564"/>
        <item m="1" x="1225"/>
        <item m="1" x="1413"/>
        <item x="68"/>
        <item m="1" x="1105"/>
        <item m="1" x="910"/>
        <item m="1" x="1278"/>
        <item m="1" x="661"/>
        <item m="1" x="130"/>
        <item m="1" x="156"/>
        <item m="1" x="215"/>
        <item m="1" x="1388"/>
        <item m="1" x="465"/>
        <item m="1" x="1418"/>
        <item m="1" x="1261"/>
        <item m="1" x="281"/>
        <item m="1" x="1194"/>
        <item m="1" x="603"/>
        <item m="1" x="1470"/>
        <item m="1" x="713"/>
        <item m="1" x="842"/>
        <item m="1" x="367"/>
        <item m="1" x="1127"/>
        <item m="1" x="263"/>
        <item m="1" x="1096"/>
        <item m="1" x="835"/>
        <item m="1" x="1204"/>
        <item m="1" x="145"/>
        <item m="1" x="730"/>
        <item m="1" x="596"/>
        <item m="1" x="1268"/>
        <item m="1" x="216"/>
        <item m="1" x="684"/>
        <item m="1" x="354"/>
        <item m="1" x="437"/>
        <item x="85"/>
        <item m="1" x="1130"/>
        <item m="1" x="1094"/>
        <item m="1" x="548"/>
        <item m="1" x="1273"/>
        <item m="1" x="1474"/>
        <item m="1" x="539"/>
        <item m="1" x="647"/>
        <item m="1" x="506"/>
        <item m="1" x="992"/>
        <item m="1" x="235"/>
        <item m="1" x="1319"/>
        <item m="1" x="821"/>
        <item m="1" x="833"/>
        <item m="1" x="1116"/>
        <item m="1" x="1307"/>
        <item m="1" x="1332"/>
        <item m="1" x="1193"/>
        <item m="1" x="522"/>
        <item m="1" x="1407"/>
        <item m="1" x="1017"/>
        <item m="1" x="1354"/>
        <item m="1" x="1318"/>
        <item m="1" x="754"/>
        <item m="1" x="1052"/>
        <item m="1" x="1424"/>
        <item m="1" x="223"/>
        <item m="1" x="124"/>
        <item m="1" x="849"/>
        <item m="1" x="816"/>
        <item m="1" x="510"/>
        <item m="1" x="1291"/>
        <item m="1" x="247"/>
        <item m="1" x="377"/>
        <item m="1" x="682"/>
        <item m="1" x="1029"/>
        <item m="1" x="1154"/>
        <item m="1" x="915"/>
        <item m="1" x="191"/>
        <item m="1" x="657"/>
        <item x="100"/>
        <item m="1" x="1393"/>
        <item m="1" x="902"/>
        <item m="1" x="900"/>
        <item m="1" x="673"/>
        <item m="1" x="448"/>
        <item x="0"/>
        <item x="16"/>
        <item m="1" x="1050"/>
        <item x="46"/>
        <item m="1" x="445"/>
        <item x="52"/>
        <item x="53"/>
        <item x="56"/>
        <item x="57"/>
        <item x="60"/>
        <item x="61"/>
        <item x="64"/>
        <item x="65"/>
        <item x="66"/>
        <item x="69"/>
        <item x="70"/>
        <item x="71"/>
        <item x="72"/>
        <item x="73"/>
        <item x="74"/>
        <item x="75"/>
        <item x="76"/>
        <item x="77"/>
        <item x="79"/>
        <item x="80"/>
        <item x="81"/>
        <item x="82"/>
        <item x="83"/>
        <item x="84"/>
        <item x="89"/>
        <item x="91"/>
        <item x="92"/>
        <item x="93"/>
        <item x="94"/>
        <item x="97"/>
        <item x="101"/>
        <item x="102"/>
        <item m="1" x="1049"/>
        <item x="27"/>
        <item x="21"/>
        <item x="22"/>
        <item x="41"/>
        <item m="1" x="1443"/>
        <item x="42"/>
        <item x="43"/>
        <item x="44"/>
        <item x="50"/>
        <item m="1" x="1442"/>
        <item x="34"/>
      </items>
    </pivotField>
    <pivotField axis="axisRow" compact="0" outline="0" showAll="0" defaultSubtotal="0">
      <items count="17">
        <item m="1" x="12"/>
        <item m="1" x="7"/>
        <item x="1"/>
        <item x="3"/>
        <item m="1" x="9"/>
        <item x="4"/>
        <item m="1" x="5"/>
        <item m="1" x="14"/>
        <item x="2"/>
        <item m="1" x="6"/>
        <item x="0"/>
        <item m="1" x="8"/>
        <item m="1" x="13"/>
        <item m="1" x="10"/>
        <item m="1" x="16"/>
        <item m="1" x="11"/>
        <item m="1" x="15"/>
      </items>
    </pivotField>
    <pivotField dataField="1" compact="0" outline="0" showAll="0" defaultSubtotal="0"/>
    <pivotField dataField="1" compact="0" outline="0" showAll="0" defaultSubtotal="0"/>
    <pivotField dataField="1" compact="0" outline="0" showAll="0" defaultSubtotal="0"/>
    <pivotField compact="0" outline="0" subtotalTop="0" showAll="0" defaultSubtotal="0"/>
    <pivotField compact="0" outline="0" subtotalTop="0" showAll="0" defaultSubtotal="0"/>
    <pivotField compact="0" outline="0" showAll="0" defaultSubtotal="0">
      <items count="30">
        <item x="0"/>
        <item h="1" m="1" x="17"/>
        <item h="1" m="1" x="23"/>
        <item h="1" m="1" x="19"/>
        <item h="1" x="1"/>
        <item h="1" m="1" x="28"/>
        <item h="1" m="1" x="7"/>
        <item h="1" m="1" x="25"/>
        <item h="1" m="1" x="26"/>
        <item h="1" m="1" x="29"/>
        <item h="1" m="1" x="11"/>
        <item h="1" m="1" x="15"/>
        <item h="1" m="1" x="21"/>
        <item h="1" m="1" x="24"/>
        <item h="1" m="1" x="6"/>
        <item h="1" m="1" x="16"/>
        <item h="1" m="1" x="22"/>
        <item h="1" x="2"/>
        <item h="1" m="1" x="9"/>
        <item h="1" m="1" x="4"/>
        <item h="1" m="1" x="8"/>
        <item h="1" m="1" x="13"/>
        <item h="1" m="1" x="27"/>
        <item h="1" m="1" x="14"/>
        <item h="1" m="1" x="20"/>
        <item h="1" m="1" x="18"/>
        <item h="1" m="1" x="10"/>
        <item h="1" m="1" x="3"/>
        <item h="1" m="1" x="12"/>
        <item h="1" m="1" x="5"/>
      </items>
    </pivotField>
    <pivotField compact="0" outline="0" subtotalTop="0" showAll="0" defaultSubtotal="0">
      <items count="63">
        <item h="1" m="1" x="3"/>
        <item x="0"/>
        <item h="1" m="1" x="39"/>
        <item h="1" m="1" x="33"/>
        <item h="1" m="1" x="45"/>
        <item h="1" m="1" x="35"/>
        <item h="1" m="1" x="53"/>
        <item h="1" m="1" x="13"/>
        <item h="1" x="1"/>
        <item h="1" m="1" x="61"/>
        <item h="1" m="1" x="59"/>
        <item h="1" m="1" x="56"/>
        <item h="1" m="1" x="46"/>
        <item h="1" m="1" x="9"/>
        <item h="1" m="1" x="62"/>
        <item h="1" m="1" x="60"/>
        <item h="1" m="1" x="16"/>
        <item h="1" m="1" x="37"/>
        <item h="1" m="1" x="27"/>
        <item h="1" m="1" x="40"/>
        <item h="1" m="1" x="32"/>
        <item h="1" m="1" x="55"/>
        <item h="1" m="1" x="38"/>
        <item h="1" m="1" x="43"/>
        <item h="1" m="1" x="11"/>
        <item h="1" m="1" x="21"/>
        <item h="1" m="1" x="44"/>
        <item h="1" m="1" x="54"/>
        <item h="1" x="2"/>
        <item h="1" m="1" x="18"/>
        <item h="1" m="1" x="5"/>
        <item h="1" m="1" x="48"/>
        <item h="1" m="1" x="10"/>
        <item h="1" m="1" x="12"/>
        <item h="1" m="1" x="17"/>
        <item h="1" m="1" x="20"/>
        <item h="1" m="1" x="25"/>
        <item h="1" m="1" x="22"/>
        <item h="1" m="1" x="28"/>
        <item h="1" m="1" x="31"/>
        <item h="1" m="1" x="51"/>
        <item h="1" m="1" x="29"/>
        <item h="1" m="1" x="8"/>
        <item h="1" m="1" x="57"/>
        <item h="1" m="1" x="42"/>
        <item h="1" m="1" x="41"/>
        <item h="1" m="1" x="24"/>
        <item h="1" m="1" x="4"/>
        <item h="1" m="1" x="36"/>
        <item h="1" m="1" x="52"/>
        <item h="1" m="1" x="19"/>
        <item h="1" m="1" x="23"/>
        <item h="1" m="1" x="47"/>
        <item h="1" m="1" x="26"/>
        <item h="1" m="1" x="58"/>
        <item h="1" m="1" x="34"/>
        <item h="1" m="1" x="6"/>
        <item h="1" m="1" x="14"/>
        <item h="1" m="1" x="15"/>
        <item h="1" m="1" x="50"/>
        <item h="1" m="1" x="30"/>
        <item h="1" m="1" x="49"/>
        <item h="1" m="1" x="7"/>
      </items>
    </pivotField>
    <pivotField compact="0" outline="0" showAll="0" defaultSubtotal="0"/>
    <pivotField compact="0" outline="0" subtotalTop="0" showAll="0" defaultSubtotal="0"/>
  </pivotFields>
  <rowFields count="4">
    <field x="0"/>
    <field x="1"/>
    <field x="2"/>
    <field x="3"/>
  </rowFields>
  <rowItems count="106">
    <i>
      <x/>
      <x v="182"/>
      <x v="1456"/>
      <x v="10"/>
    </i>
    <i t="blank">
      <x/>
    </i>
    <i>
      <x v="1"/>
      <x v="182"/>
      <x v="1147"/>
      <x v="10"/>
    </i>
    <i t="blank">
      <x v="1"/>
    </i>
    <i>
      <x v="2"/>
      <x v="311"/>
      <x v="1148"/>
      <x v="2"/>
    </i>
    <i t="blank">
      <x v="2"/>
    </i>
    <i>
      <x v="3"/>
      <x v="182"/>
      <x v="200"/>
      <x v="10"/>
    </i>
    <i t="blank">
      <x v="3"/>
    </i>
    <i>
      <x v="4"/>
      <x v="312"/>
      <x v="1149"/>
      <x v="2"/>
    </i>
    <i t="blank">
      <x v="4"/>
    </i>
    <i>
      <x v="5"/>
      <x v="313"/>
      <x v="1150"/>
      <x v="2"/>
    </i>
    <i t="blank">
      <x v="5"/>
    </i>
    <i>
      <x v="6"/>
      <x v="182"/>
      <x v="1151"/>
      <x v="10"/>
    </i>
    <i t="blank">
      <x v="6"/>
    </i>
    <i>
      <x v="7"/>
      <x v="314"/>
      <x v="1152"/>
      <x v="2"/>
    </i>
    <i t="blank">
      <x v="7"/>
    </i>
    <i>
      <x v="8"/>
      <x v="182"/>
      <x v="1153"/>
      <x v="10"/>
    </i>
    <i t="blank">
      <x v="8"/>
    </i>
    <i>
      <x v="9"/>
      <x v="315"/>
      <x v="1154"/>
      <x v="2"/>
    </i>
    <i t="blank">
      <x v="9"/>
    </i>
    <i>
      <x v="10"/>
      <x v="182"/>
      <x v="232"/>
      <x v="10"/>
    </i>
    <i t="blank">
      <x v="10"/>
    </i>
    <i>
      <x v="11"/>
      <x v="316"/>
      <x v="53"/>
      <x v="2"/>
    </i>
    <i t="blank">
      <x v="11"/>
    </i>
    <i>
      <x v="12"/>
      <x v="182"/>
      <x v="1159"/>
      <x v="10"/>
    </i>
    <i t="blank">
      <x v="12"/>
    </i>
    <i>
      <x v="13"/>
      <x v="317"/>
      <x v="1160"/>
      <x v="2"/>
    </i>
    <i t="blank">
      <x v="13"/>
    </i>
    <i>
      <x v="14"/>
      <x v="318"/>
      <x v="1161"/>
      <x v="2"/>
    </i>
    <i t="blank">
      <x v="14"/>
    </i>
    <i>
      <x v="15"/>
      <x v="182"/>
      <x v="642"/>
      <x v="10"/>
    </i>
    <i t="blank">
      <x v="15"/>
    </i>
    <i>
      <x v="16"/>
      <x v="319"/>
      <x v="1457"/>
      <x v="2"/>
    </i>
    <i t="blank">
      <x v="16"/>
    </i>
    <i>
      <x v="17"/>
      <x v="182"/>
      <x v="1163"/>
      <x v="10"/>
    </i>
    <i t="blank">
      <x v="17"/>
    </i>
    <i>
      <x v="18"/>
      <x v="320"/>
      <x v="1164"/>
      <x v="2"/>
    </i>
    <i t="blank">
      <x v="18"/>
    </i>
    <i>
      <x v="19"/>
      <x v="321"/>
      <x v="1165"/>
      <x v="2"/>
    </i>
    <i t="blank">
      <x v="19"/>
    </i>
    <i>
      <x v="20"/>
      <x v="322"/>
      <x v="1166"/>
      <x v="2"/>
    </i>
    <i t="blank">
      <x v="20"/>
    </i>
    <i>
      <x v="21"/>
      <x v="323"/>
      <x v="1495"/>
      <x v="2"/>
    </i>
    <i t="blank">
      <x v="21"/>
    </i>
    <i>
      <x v="22"/>
      <x v="324"/>
      <x v="1496"/>
      <x v="2"/>
    </i>
    <i t="blank">
      <x v="22"/>
    </i>
    <i>
      <x v="23"/>
      <x v="182"/>
      <x v="1167"/>
      <x v="10"/>
    </i>
    <i t="blank">
      <x v="23"/>
    </i>
    <i>
      <x v="24"/>
      <x v="325"/>
      <x v="1168"/>
      <x v="2"/>
    </i>
    <i t="blank">
      <x v="24"/>
    </i>
    <i>
      <x v="25"/>
      <x v="182"/>
      <x v="1169"/>
      <x v="10"/>
    </i>
    <i t="blank">
      <x v="25"/>
    </i>
    <i>
      <x v="26"/>
      <x v="326"/>
      <x v="1170"/>
      <x v="2"/>
    </i>
    <i t="blank">
      <x v="26"/>
    </i>
    <i>
      <x v="27"/>
      <x v="327"/>
      <x v="1494"/>
      <x v="2"/>
    </i>
    <i t="blank">
      <x v="27"/>
    </i>
    <i>
      <x v="28"/>
      <x v="328"/>
      <x v="1174"/>
      <x v="2"/>
    </i>
    <i t="blank">
      <x v="28"/>
    </i>
    <i>
      <x v="29"/>
      <x v="329"/>
      <x v="1175"/>
      <x v="2"/>
    </i>
    <i t="blank">
      <x v="29"/>
    </i>
    <i>
      <x v="30"/>
      <x v="182"/>
      <x v="280"/>
      <x v="10"/>
    </i>
    <i t="blank">
      <x v="30"/>
    </i>
    <i>
      <x v="31"/>
      <x v="330"/>
      <x v="1176"/>
      <x v="2"/>
    </i>
    <i t="blank">
      <x v="31"/>
    </i>
    <i>
      <x v="32"/>
      <x v="331"/>
      <x v="344"/>
      <x v="2"/>
    </i>
    <i t="blank">
      <x v="32"/>
    </i>
    <i>
      <x v="33"/>
      <x v="332"/>
      <x v="1177"/>
      <x v="2"/>
    </i>
    <i t="blank">
      <x v="33"/>
    </i>
    <i>
      <x v="34"/>
      <x v="333"/>
      <x v="1504"/>
      <x v="2"/>
    </i>
    <i t="blank">
      <x v="34"/>
    </i>
    <i>
      <x v="35"/>
      <x v="334"/>
      <x v="1179"/>
      <x v="2"/>
    </i>
    <i t="blank">
      <x v="35"/>
    </i>
    <i>
      <x v="36"/>
      <x v="182"/>
      <x v="1180"/>
      <x v="10"/>
    </i>
    <i t="blank">
      <x v="36"/>
    </i>
    <i>
      <x v="37"/>
      <x v="182"/>
      <x v="1181"/>
    </i>
    <i t="blank">
      <x v="37"/>
    </i>
    <i>
      <x v="38"/>
      <x v="335"/>
      <x v="1182"/>
      <x v="2"/>
    </i>
    <i t="blank">
      <x v="38"/>
    </i>
    <i>
      <x v="39"/>
      <x v="336"/>
      <x v="1183"/>
      <x v="2"/>
    </i>
    <i t="blank">
      <x v="39"/>
    </i>
    <i>
      <x v="40"/>
      <x v="337"/>
      <x v="1184"/>
      <x v="2"/>
    </i>
    <i t="blank">
      <x v="40"/>
    </i>
    <i>
      <x v="41"/>
      <x v="338"/>
      <x v="1497"/>
      <x v="2"/>
    </i>
    <i t="blank">
      <x v="41"/>
    </i>
    <i>
      <x v="42"/>
      <x v="339"/>
      <x v="1499"/>
      <x v="2"/>
    </i>
    <i t="blank">
      <x v="42"/>
    </i>
    <i>
      <x v="43"/>
      <x v="340"/>
      <x v="1500"/>
      <x v="2"/>
    </i>
    <i t="blank">
      <x v="43"/>
    </i>
    <i>
      <x v="44"/>
      <x v="341"/>
      <x v="1501"/>
      <x v="2"/>
    </i>
    <i t="blank">
      <x v="44"/>
    </i>
    <i>
      <x v="45"/>
      <x v="182"/>
      <x v="1185"/>
      <x v="10"/>
    </i>
    <i t="blank">
      <x v="45"/>
    </i>
    <i>
      <x v="46"/>
      <x v="342"/>
      <x v="1459"/>
      <x v="2"/>
    </i>
    <i t="blank">
      <x v="46"/>
    </i>
    <i>
      <x v="47"/>
      <x v="182"/>
      <x v="167"/>
    </i>
    <i t="blank">
      <x v="47"/>
    </i>
    <i>
      <x v="48"/>
      <x v="897"/>
      <x v="1190"/>
      <x v="2"/>
    </i>
    <i t="blank">
      <x v="48"/>
    </i>
    <i>
      <x v="49"/>
      <x v="898"/>
      <x v="1191"/>
      <x v="2"/>
    </i>
    <i t="blank">
      <x v="49"/>
    </i>
    <i>
      <x v="50"/>
      <x v="899"/>
      <x v="1502"/>
      <x v="2"/>
    </i>
    <i t="blank">
      <x v="50"/>
    </i>
    <i>
      <x v="51"/>
      <x v="182"/>
      <x v="1193"/>
      <x v="10"/>
    </i>
    <i t="blank">
      <x v="51"/>
    </i>
    <i>
      <x v="52"/>
      <x v="900"/>
      <x v="1461"/>
      <x v="2"/>
    </i>
    <i t="blank">
      <x v="52"/>
    </i>
  </rowItems>
  <colFields count="1">
    <field x="-2"/>
  </colFields>
  <colItems count="3">
    <i>
      <x/>
    </i>
    <i i="1">
      <x v="1"/>
    </i>
    <i i="2">
      <x v="2"/>
    </i>
  </colItems>
  <dataFields count="3">
    <dataField name="QTY " fld="4" baseField="3" baseItem="10"/>
    <dataField name="RATE (RM)" fld="5" baseField="0" baseItem="4" numFmtId="4"/>
    <dataField name="AMOUNT (RM)" fld="6" baseField="0" baseItem="4" numFmtId="4"/>
  </dataFields>
  <formats count="138">
    <format dxfId="977">
      <pivotArea field="0" type="button" dataOnly="0" labelOnly="1" outline="0" axis="axisRow" fieldPosition="0"/>
    </format>
    <format dxfId="976">
      <pivotArea field="1" type="button" dataOnly="0" labelOnly="1" outline="0" axis="axisRow" fieldPosition="1"/>
    </format>
    <format dxfId="975">
      <pivotArea field="2" type="button" dataOnly="0" labelOnly="1" outline="0" axis="axisRow" fieldPosition="2"/>
    </format>
    <format dxfId="974">
      <pivotArea dataOnly="0" labelOnly="1" outline="0" fieldPosition="0">
        <references count="1">
          <reference field="4294967294" count="3">
            <x v="0"/>
            <x v="1"/>
            <x v="2"/>
          </reference>
        </references>
      </pivotArea>
    </format>
    <format dxfId="973">
      <pivotArea dataOnly="0" labelOnly="1" outline="0" fieldPosition="0">
        <references count="1">
          <reference field="2" count="0"/>
        </references>
      </pivotArea>
    </format>
    <format dxfId="972">
      <pivotArea outline="0" fieldPosition="0">
        <references count="1">
          <reference field="4294967294" count="1" selected="0">
            <x v="0"/>
          </reference>
        </references>
      </pivotArea>
    </format>
    <format dxfId="971">
      <pivotArea dataOnly="0" labelOnly="1" outline="0" fieldPosition="0">
        <references count="1">
          <reference field="4294967294" count="1">
            <x v="0"/>
          </reference>
        </references>
      </pivotArea>
    </format>
    <format dxfId="970">
      <pivotArea dataOnly="0" labelOnly="1" outline="0" fieldPosition="0">
        <references count="1">
          <reference field="1" count="0"/>
        </references>
      </pivotArea>
    </format>
    <format dxfId="969">
      <pivotArea field="3" type="button" dataOnly="0" labelOnly="1" outline="0" axis="axisRow" fieldPosition="3"/>
    </format>
    <format dxfId="968">
      <pivotArea field="3" type="button" dataOnly="0" labelOnly="1" outline="0" axis="axisRow" fieldPosition="3"/>
    </format>
    <format dxfId="967">
      <pivotArea dataOnly="0" labelOnly="1" outline="0" fieldPosition="0">
        <references count="3">
          <reference field="0" count="1" selected="0">
            <x v="16"/>
          </reference>
          <reference field="1" count="1" selected="0">
            <x v="183"/>
          </reference>
          <reference field="2" count="1">
            <x v="631"/>
          </reference>
        </references>
      </pivotArea>
    </format>
    <format dxfId="966">
      <pivotArea dataOnly="0" labelOnly="1" outline="0" fieldPosition="0">
        <references count="3">
          <reference field="0" count="1" selected="0">
            <x v="20"/>
          </reference>
          <reference field="1" count="1" selected="0">
            <x v="183"/>
          </reference>
          <reference field="2" count="1">
            <x v="634"/>
          </reference>
        </references>
      </pivotArea>
    </format>
    <format dxfId="965">
      <pivotArea dataOnly="0" labelOnly="1" outline="0" fieldPosition="0">
        <references count="3">
          <reference field="0" count="1" selected="0">
            <x v="22"/>
          </reference>
          <reference field="1" count="1" selected="0">
            <x v="183"/>
          </reference>
          <reference field="2" count="1">
            <x v="636"/>
          </reference>
        </references>
      </pivotArea>
    </format>
    <format dxfId="964">
      <pivotArea dataOnly="0" labelOnly="1" outline="0" fieldPosition="0">
        <references count="3">
          <reference field="0" count="1" selected="0">
            <x v="24"/>
          </reference>
          <reference field="1" count="1" selected="0">
            <x v="183"/>
          </reference>
          <reference field="2" count="1">
            <x v="225"/>
          </reference>
        </references>
      </pivotArea>
    </format>
    <format dxfId="963">
      <pivotArea dataOnly="0" labelOnly="1" outline="0" fieldPosition="0">
        <references count="3">
          <reference field="0" count="1" selected="0">
            <x v="26"/>
          </reference>
          <reference field="1" count="1" selected="0">
            <x v="183"/>
          </reference>
          <reference field="2" count="1">
            <x v="414"/>
          </reference>
        </references>
      </pivotArea>
    </format>
    <format dxfId="962">
      <pivotArea dataOnly="0" labelOnly="1" outline="0" fieldPosition="0">
        <references count="3">
          <reference field="0" count="1" selected="0">
            <x v="29"/>
          </reference>
          <reference field="1" count="1" selected="0">
            <x v="183"/>
          </reference>
          <reference field="2" count="1">
            <x v="640"/>
          </reference>
        </references>
      </pivotArea>
    </format>
    <format dxfId="961">
      <pivotArea dataOnly="0" labelOnly="1" outline="0" fieldPosition="0">
        <references count="3">
          <reference field="0" count="1" selected="0">
            <x v="31"/>
          </reference>
          <reference field="1" count="1" selected="0">
            <x v="183"/>
          </reference>
          <reference field="2" count="1">
            <x v="642"/>
          </reference>
        </references>
      </pivotArea>
    </format>
    <format dxfId="960">
      <pivotArea dataOnly="0" labelOnly="1" outline="0" fieldPosition="0">
        <references count="3">
          <reference field="0" count="1" selected="0">
            <x v="33"/>
          </reference>
          <reference field="1" count="1" selected="0">
            <x v="183"/>
          </reference>
          <reference field="2" count="1">
            <x v="644"/>
          </reference>
        </references>
      </pivotArea>
    </format>
    <format dxfId="959">
      <pivotArea dataOnly="0" labelOnly="1" outline="0" fieldPosition="0">
        <references count="3">
          <reference field="0" count="1" selected="0">
            <x v="35"/>
          </reference>
          <reference field="1" count="1" selected="0">
            <x v="183"/>
          </reference>
          <reference field="2" count="1">
            <x v="646"/>
          </reference>
        </references>
      </pivotArea>
    </format>
    <format dxfId="958">
      <pivotArea dataOnly="0" labelOnly="1" outline="0" fieldPosition="0">
        <references count="3">
          <reference field="0" count="1" selected="0">
            <x v="37"/>
          </reference>
          <reference field="1" count="1" selected="0">
            <x v="183"/>
          </reference>
          <reference field="2" count="1">
            <x v="648"/>
          </reference>
        </references>
      </pivotArea>
    </format>
    <format dxfId="957">
      <pivotArea dataOnly="0" labelOnly="1" outline="0" fieldPosition="0">
        <references count="1">
          <reference field="3" count="0"/>
        </references>
      </pivotArea>
    </format>
    <format dxfId="956">
      <pivotArea dataOnly="0" outline="0" fieldPosition="0">
        <references count="1">
          <reference field="2" count="1">
            <x v="87"/>
          </reference>
        </references>
      </pivotArea>
    </format>
    <format dxfId="955">
      <pivotArea dataOnly="0" outline="0" fieldPosition="0">
        <references count="1">
          <reference field="2" count="1">
            <x v="87"/>
          </reference>
        </references>
      </pivotArea>
    </format>
    <format dxfId="954">
      <pivotArea dataOnly="0" labelOnly="1" outline="0" fieldPosition="0">
        <references count="3">
          <reference field="0" count="1" selected="0">
            <x v="4"/>
          </reference>
          <reference field="1" count="1" selected="0">
            <x v="182"/>
          </reference>
          <reference field="2" count="1">
            <x v="619"/>
          </reference>
        </references>
      </pivotArea>
    </format>
    <format dxfId="953">
      <pivotArea dataOnly="0" labelOnly="1" outline="0" fieldPosition="0">
        <references count="3">
          <reference field="0" count="1" selected="0">
            <x v="6"/>
          </reference>
          <reference field="1" count="1" selected="0">
            <x v="182"/>
          </reference>
          <reference field="2" count="1">
            <x v="621"/>
          </reference>
        </references>
      </pivotArea>
    </format>
    <format dxfId="952">
      <pivotArea dataOnly="0" labelOnly="1" outline="0" fieldPosition="0">
        <references count="3">
          <reference field="0" count="1" selected="0">
            <x v="10"/>
          </reference>
          <reference field="1" count="1" selected="0">
            <x v="182"/>
          </reference>
          <reference field="2" count="1">
            <x v="625"/>
          </reference>
        </references>
      </pivotArea>
    </format>
    <format dxfId="951">
      <pivotArea dataOnly="0" labelOnly="1" outline="0" fieldPosition="0">
        <references count="3">
          <reference field="0" count="1" selected="0">
            <x v="15"/>
          </reference>
          <reference field="1" count="1" selected="0">
            <x v="182"/>
          </reference>
          <reference field="2" count="1">
            <x v="630"/>
          </reference>
        </references>
      </pivotArea>
    </format>
    <format dxfId="950">
      <pivotArea dataOnly="0" labelOnly="1" outline="0" fieldPosition="0">
        <references count="3">
          <reference field="0" count="1" selected="0">
            <x v="16"/>
          </reference>
          <reference field="1" count="1" selected="0">
            <x v="182"/>
          </reference>
          <reference field="2" count="1">
            <x v="631"/>
          </reference>
        </references>
      </pivotArea>
    </format>
    <format dxfId="949">
      <pivotArea dataOnly="0" labelOnly="1" outline="0" fieldPosition="0">
        <references count="3">
          <reference field="0" count="1" selected="0">
            <x v="19"/>
          </reference>
          <reference field="1" count="1" selected="0">
            <x v="182"/>
          </reference>
          <reference field="2" count="1">
            <x v="342"/>
          </reference>
        </references>
      </pivotArea>
    </format>
    <format dxfId="948">
      <pivotArea dataOnly="0" labelOnly="1" outline="0" fieldPosition="0">
        <references count="3">
          <reference field="0" count="1" selected="0">
            <x v="20"/>
          </reference>
          <reference field="1" count="1" selected="0">
            <x v="182"/>
          </reference>
          <reference field="2" count="1">
            <x v="634"/>
          </reference>
        </references>
      </pivotArea>
    </format>
    <format dxfId="947">
      <pivotArea dataOnly="0" labelOnly="1" outline="0" fieldPosition="0">
        <references count="3">
          <reference field="0" count="1" selected="0">
            <x v="22"/>
          </reference>
          <reference field="1" count="1" selected="0">
            <x v="182"/>
          </reference>
          <reference field="2" count="1">
            <x v="636"/>
          </reference>
        </references>
      </pivotArea>
    </format>
    <format dxfId="946">
      <pivotArea dataOnly="0" labelOnly="1" outline="0" fieldPosition="0">
        <references count="3">
          <reference field="0" count="1" selected="0">
            <x v="24"/>
          </reference>
          <reference field="1" count="1" selected="0">
            <x v="182"/>
          </reference>
          <reference field="2" count="1">
            <x v="225"/>
          </reference>
        </references>
      </pivotArea>
    </format>
    <format dxfId="945">
      <pivotArea dataOnly="0" labelOnly="1" outline="0" fieldPosition="0">
        <references count="3">
          <reference field="0" count="1" selected="0">
            <x v="26"/>
          </reference>
          <reference field="1" count="1" selected="0">
            <x v="182"/>
          </reference>
          <reference field="2" count="1">
            <x v="414"/>
          </reference>
        </references>
      </pivotArea>
    </format>
    <format dxfId="944">
      <pivotArea dataOnly="0" labelOnly="1" outline="0" fieldPosition="0">
        <references count="3">
          <reference field="0" count="1" selected="0">
            <x v="28"/>
          </reference>
          <reference field="1" count="1" selected="0">
            <x v="182"/>
          </reference>
          <reference field="2" count="1">
            <x v="229"/>
          </reference>
        </references>
      </pivotArea>
    </format>
    <format dxfId="943">
      <pivotArea dataOnly="0" labelOnly="1" outline="0" fieldPosition="0">
        <references count="3">
          <reference field="0" count="1" selected="0">
            <x v="29"/>
          </reference>
          <reference field="1" count="1" selected="0">
            <x v="182"/>
          </reference>
          <reference field="2" count="1">
            <x v="640"/>
          </reference>
        </references>
      </pivotArea>
    </format>
    <format dxfId="942">
      <pivotArea dataOnly="0" labelOnly="1" outline="0" fieldPosition="0">
        <references count="3">
          <reference field="0" count="1" selected="0">
            <x v="31"/>
          </reference>
          <reference field="1" count="1" selected="0">
            <x v="182"/>
          </reference>
          <reference field="2" count="1">
            <x v="642"/>
          </reference>
        </references>
      </pivotArea>
    </format>
    <format dxfId="941">
      <pivotArea dataOnly="0" labelOnly="1" outline="0" fieldPosition="0">
        <references count="3">
          <reference field="0" count="1" selected="0">
            <x v="33"/>
          </reference>
          <reference field="1" count="1" selected="0">
            <x v="182"/>
          </reference>
          <reference field="2" count="1">
            <x v="644"/>
          </reference>
        </references>
      </pivotArea>
    </format>
    <format dxfId="940">
      <pivotArea dataOnly="0" labelOnly="1" outline="0" fieldPosition="0">
        <references count="3">
          <reference field="0" count="1" selected="0">
            <x v="35"/>
          </reference>
          <reference field="1" count="1" selected="0">
            <x v="182"/>
          </reference>
          <reference field="2" count="1">
            <x v="646"/>
          </reference>
        </references>
      </pivotArea>
    </format>
    <format dxfId="939">
      <pivotArea dataOnly="0" labelOnly="1" outline="0" fieldPosition="0">
        <references count="3">
          <reference field="0" count="1" selected="0">
            <x v="37"/>
          </reference>
          <reference field="1" count="1" selected="0">
            <x v="182"/>
          </reference>
          <reference field="2" count="1">
            <x v="648"/>
          </reference>
        </references>
      </pivotArea>
    </format>
    <format dxfId="938">
      <pivotArea dataOnly="0" labelOnly="1" outline="0" fieldPosition="0">
        <references count="1">
          <reference field="3" count="0"/>
        </references>
      </pivotArea>
    </format>
    <format dxfId="937">
      <pivotArea dataOnly="0" outline="0" fieldPosition="0">
        <references count="1">
          <reference field="4294967294" count="3">
            <x v="0"/>
            <x v="1"/>
            <x v="2"/>
          </reference>
        </references>
      </pivotArea>
    </format>
    <format dxfId="936">
      <pivotArea dataOnly="0" labelOnly="1" outline="0" fieldPosition="0">
        <references count="3">
          <reference field="0" count="1" selected="0">
            <x v="0"/>
          </reference>
          <reference field="1" count="1" selected="0">
            <x v="183"/>
          </reference>
          <reference field="2" count="1">
            <x v="617"/>
          </reference>
        </references>
      </pivotArea>
    </format>
    <format dxfId="935">
      <pivotArea dataOnly="0" labelOnly="1" outline="0" fieldPosition="0">
        <references count="3">
          <reference field="0" count="1" selected="0">
            <x v="1"/>
          </reference>
          <reference field="1" count="1" selected="0">
            <x v="183"/>
          </reference>
          <reference field="2" count="1">
            <x v="123"/>
          </reference>
        </references>
      </pivotArea>
    </format>
    <format dxfId="934">
      <pivotArea dataOnly="0" labelOnly="1" outline="0" fieldPosition="0">
        <references count="3">
          <reference field="0" count="1" selected="0">
            <x v="4"/>
          </reference>
          <reference field="1" count="1" selected="0">
            <x v="183"/>
          </reference>
          <reference field="2" count="1">
            <x v="619"/>
          </reference>
        </references>
      </pivotArea>
    </format>
    <format dxfId="933">
      <pivotArea dataOnly="0" labelOnly="1" outline="0" fieldPosition="0">
        <references count="3">
          <reference field="0" count="1" selected="0">
            <x v="6"/>
          </reference>
          <reference field="1" count="1" selected="0">
            <x v="183"/>
          </reference>
          <reference field="2" count="1">
            <x v="621"/>
          </reference>
        </references>
      </pivotArea>
    </format>
    <format dxfId="932">
      <pivotArea dataOnly="0" labelOnly="1" outline="0" fieldPosition="0">
        <references count="3">
          <reference field="0" count="1" selected="0">
            <x v="8"/>
          </reference>
          <reference field="1" count="1" selected="0">
            <x v="183"/>
          </reference>
          <reference field="2" count="1">
            <x v="623"/>
          </reference>
        </references>
      </pivotArea>
    </format>
    <format dxfId="931">
      <pivotArea dataOnly="0" labelOnly="1" outline="0" fieldPosition="0">
        <references count="3">
          <reference field="0" count="1" selected="0">
            <x v="10"/>
          </reference>
          <reference field="1" count="1" selected="0">
            <x v="183"/>
          </reference>
          <reference field="2" count="1">
            <x v="625"/>
          </reference>
        </references>
      </pivotArea>
    </format>
    <format dxfId="930">
      <pivotArea dataOnly="0" labelOnly="1" outline="0" fieldPosition="0">
        <references count="3">
          <reference field="0" count="1" selected="0">
            <x v="15"/>
          </reference>
          <reference field="1" count="1" selected="0">
            <x v="183"/>
          </reference>
          <reference field="2" count="1">
            <x v="630"/>
          </reference>
        </references>
      </pivotArea>
    </format>
    <format dxfId="929">
      <pivotArea dataOnly="0" labelOnly="1" outline="0" fieldPosition="0">
        <references count="3">
          <reference field="0" count="1" selected="0">
            <x v="19"/>
          </reference>
          <reference field="1" count="1" selected="0">
            <x v="183"/>
          </reference>
          <reference field="2" count="1">
            <x v="342"/>
          </reference>
        </references>
      </pivotArea>
    </format>
    <format dxfId="928">
      <pivotArea dataOnly="0" labelOnly="1" outline="0" fieldPosition="0">
        <references count="3">
          <reference field="0" count="1" selected="0">
            <x v="28"/>
          </reference>
          <reference field="1" count="1" selected="0">
            <x v="183"/>
          </reference>
          <reference field="2" count="1">
            <x v="229"/>
          </reference>
        </references>
      </pivotArea>
    </format>
    <format dxfId="927">
      <pivotArea dataOnly="0" labelOnly="1" outline="0" fieldPosition="0">
        <references count="3">
          <reference field="0" count="1" selected="0">
            <x v="0"/>
          </reference>
          <reference field="1" count="1" selected="0">
            <x v="182"/>
          </reference>
          <reference field="2" count="1">
            <x v="617"/>
          </reference>
        </references>
      </pivotArea>
    </format>
    <format dxfId="926">
      <pivotArea dataOnly="0" labelOnly="1" outline="0" fieldPosition="0">
        <references count="3">
          <reference field="0" count="1" selected="0">
            <x v="1"/>
          </reference>
          <reference field="1" count="1" selected="0">
            <x v="182"/>
          </reference>
          <reference field="2" count="1">
            <x v="123"/>
          </reference>
        </references>
      </pivotArea>
    </format>
    <format dxfId="925">
      <pivotArea dataOnly="0" labelOnly="1" outline="0" fieldPosition="0">
        <references count="3">
          <reference field="0" count="1" selected="0">
            <x v="4"/>
          </reference>
          <reference field="1" count="1" selected="0">
            <x v="182"/>
          </reference>
          <reference field="2" count="1">
            <x v="619"/>
          </reference>
        </references>
      </pivotArea>
    </format>
    <format dxfId="924">
      <pivotArea dataOnly="0" labelOnly="1" outline="0" fieldPosition="0">
        <references count="3">
          <reference field="0" count="1" selected="0">
            <x v="6"/>
          </reference>
          <reference field="1" count="1" selected="0">
            <x v="182"/>
          </reference>
          <reference field="2" count="1">
            <x v="621"/>
          </reference>
        </references>
      </pivotArea>
    </format>
    <format dxfId="923">
      <pivotArea dataOnly="0" labelOnly="1" outline="0" fieldPosition="0">
        <references count="3">
          <reference field="0" count="1" selected="0">
            <x v="8"/>
          </reference>
          <reference field="1" count="1" selected="0">
            <x v="182"/>
          </reference>
          <reference field="2" count="1">
            <x v="623"/>
          </reference>
        </references>
      </pivotArea>
    </format>
    <format dxfId="922">
      <pivotArea dataOnly="0" labelOnly="1" outline="0" fieldPosition="0">
        <references count="3">
          <reference field="0" count="1" selected="0">
            <x v="10"/>
          </reference>
          <reference field="1" count="1" selected="0">
            <x v="182"/>
          </reference>
          <reference field="2" count="1">
            <x v="625"/>
          </reference>
        </references>
      </pivotArea>
    </format>
    <format dxfId="921">
      <pivotArea dataOnly="0" labelOnly="1" outline="0" fieldPosition="0">
        <references count="3">
          <reference field="0" count="1" selected="0">
            <x v="15"/>
          </reference>
          <reference field="1" count="1" selected="0">
            <x v="182"/>
          </reference>
          <reference field="2" count="1">
            <x v="630"/>
          </reference>
        </references>
      </pivotArea>
    </format>
    <format dxfId="920">
      <pivotArea dataOnly="0" labelOnly="1" outline="0" fieldPosition="0">
        <references count="3">
          <reference field="0" count="1" selected="0">
            <x v="19"/>
          </reference>
          <reference field="1" count="1" selected="0">
            <x v="182"/>
          </reference>
          <reference field="2" count="1">
            <x v="342"/>
          </reference>
        </references>
      </pivotArea>
    </format>
    <format dxfId="919">
      <pivotArea dataOnly="0" labelOnly="1" outline="0" fieldPosition="0">
        <references count="3">
          <reference field="0" count="1" selected="0">
            <x v="28"/>
          </reference>
          <reference field="1" count="1" selected="0">
            <x v="182"/>
          </reference>
          <reference field="2" count="1">
            <x v="229"/>
          </reference>
        </references>
      </pivotArea>
    </format>
    <format dxfId="918">
      <pivotArea dataOnly="0" labelOnly="1" outline="0" fieldPosition="0">
        <references count="3">
          <reference field="0" count="1" selected="0">
            <x v="0"/>
          </reference>
          <reference field="1" count="1" selected="0">
            <x v="182"/>
          </reference>
          <reference field="2" count="1">
            <x v="1147"/>
          </reference>
        </references>
      </pivotArea>
    </format>
    <format dxfId="917">
      <pivotArea dataOnly="0" labelOnly="1" outline="0" fieldPosition="0">
        <references count="3">
          <reference field="0" count="1" selected="0">
            <x v="2"/>
          </reference>
          <reference field="1" count="1" selected="0">
            <x v="182"/>
          </reference>
          <reference field="2" count="1">
            <x v="200"/>
          </reference>
        </references>
      </pivotArea>
    </format>
    <format dxfId="916">
      <pivotArea dataOnly="0" labelOnly="1" outline="0" fieldPosition="0">
        <references count="3">
          <reference field="0" count="1" selected="0">
            <x v="9"/>
          </reference>
          <reference field="1" count="1" selected="0">
            <x v="182"/>
          </reference>
          <reference field="2" count="1">
            <x v="232"/>
          </reference>
        </references>
      </pivotArea>
    </format>
    <format dxfId="915">
      <pivotArea dataOnly="0" labelOnly="1" outline="0" fieldPosition="0">
        <references count="3">
          <reference field="0" count="1" selected="0">
            <x v="7"/>
          </reference>
          <reference field="1" count="1" selected="0">
            <x v="182"/>
          </reference>
          <reference field="2" count="1">
            <x v="1153"/>
          </reference>
        </references>
      </pivotArea>
    </format>
    <format dxfId="914">
      <pivotArea dataOnly="0" labelOnly="1" outline="0" fieldPosition="0">
        <references count="3">
          <reference field="0" count="1" selected="0">
            <x v="5"/>
          </reference>
          <reference field="1" count="1" selected="0">
            <x v="182"/>
          </reference>
          <reference field="2" count="1">
            <x v="1151"/>
          </reference>
        </references>
      </pivotArea>
    </format>
    <format dxfId="913">
      <pivotArea dataOnly="0" labelOnly="1" outline="0" fieldPosition="0">
        <references count="3">
          <reference field="0" count="1" selected="0">
            <x v="14"/>
          </reference>
          <reference field="1" count="1" selected="0">
            <x v="182"/>
          </reference>
          <reference field="2" count="1">
            <x v="1159"/>
          </reference>
        </references>
      </pivotArea>
    </format>
    <format dxfId="912">
      <pivotArea dataOnly="0" labelOnly="1" outline="0" fieldPosition="0">
        <references count="3">
          <reference field="0" count="1" selected="0">
            <x v="17"/>
          </reference>
          <reference field="1" count="1" selected="0">
            <x v="182"/>
          </reference>
          <reference field="2" count="1">
            <x v="642"/>
          </reference>
        </references>
      </pivotArea>
    </format>
    <format dxfId="911">
      <pivotArea dataOnly="0" labelOnly="1" outline="0" fieldPosition="0">
        <references count="3">
          <reference field="0" count="1" selected="0">
            <x v="23"/>
          </reference>
          <reference field="1" count="1" selected="0">
            <x v="182"/>
          </reference>
          <reference field="2" count="1">
            <x v="1167"/>
          </reference>
        </references>
      </pivotArea>
    </format>
    <format dxfId="910">
      <pivotArea dataOnly="0" labelOnly="1" outline="0" fieldPosition="0">
        <references count="3">
          <reference field="0" count="1" selected="0">
            <x v="25"/>
          </reference>
          <reference field="1" count="1" selected="0">
            <x v="182"/>
          </reference>
          <reference field="2" count="1">
            <x v="1169"/>
          </reference>
        </references>
      </pivotArea>
    </format>
    <format dxfId="909">
      <pivotArea dataOnly="0" labelOnly="1" outline="0" fieldPosition="0">
        <references count="3">
          <reference field="0" count="1" selected="0">
            <x v="32"/>
          </reference>
          <reference field="1" count="1" selected="0">
            <x v="182"/>
          </reference>
          <reference field="2" count="1">
            <x v="280"/>
          </reference>
        </references>
      </pivotArea>
    </format>
    <format dxfId="908">
      <pivotArea dataOnly="0" labelOnly="1" outline="0" fieldPosition="0">
        <references count="3">
          <reference field="0" count="1" selected="0">
            <x v="38"/>
          </reference>
          <reference field="1" count="1" selected="0">
            <x v="182"/>
          </reference>
          <reference field="2" count="1">
            <x v="1180"/>
          </reference>
        </references>
      </pivotArea>
    </format>
    <format dxfId="907">
      <pivotArea dataOnly="0" labelOnly="1" outline="0" fieldPosition="0">
        <references count="3">
          <reference field="0" count="1" selected="0">
            <x v="44"/>
          </reference>
          <reference field="1" count="1" selected="0">
            <x v="182"/>
          </reference>
          <reference field="2" count="1">
            <x v="1185"/>
          </reference>
        </references>
      </pivotArea>
    </format>
    <format dxfId="906">
      <pivotArea dataOnly="0" labelOnly="1" outline="0" fieldPosition="0">
        <references count="3">
          <reference field="0" count="1" selected="0">
            <x v="49"/>
          </reference>
          <reference field="1" count="1" selected="0">
            <x v="182"/>
          </reference>
          <reference field="2" count="1">
            <x v="167"/>
          </reference>
        </references>
      </pivotArea>
    </format>
    <format dxfId="905">
      <pivotArea dataOnly="0" labelOnly="1" outline="0" fieldPosition="0">
        <references count="3">
          <reference field="0" count="1" selected="0">
            <x v="53"/>
          </reference>
          <reference field="1" count="1" selected="0">
            <x v="182"/>
          </reference>
          <reference field="2" count="1">
            <x v="1193"/>
          </reference>
        </references>
      </pivotArea>
    </format>
    <format dxfId="904">
      <pivotArea dataOnly="0" labelOnly="1" outline="0" fieldPosition="0">
        <references count="1">
          <reference field="2" count="0"/>
        </references>
      </pivotArea>
    </format>
    <format dxfId="903">
      <pivotArea dataOnly="0" labelOnly="1" outline="0" fieldPosition="0">
        <references count="3">
          <reference field="0" count="1" selected="0">
            <x v="19"/>
          </reference>
          <reference field="1" count="1" selected="0">
            <x v="182"/>
          </reference>
          <reference field="2" count="1">
            <x v="1163"/>
          </reference>
        </references>
      </pivotArea>
    </format>
    <format dxfId="902">
      <pivotArea dataOnly="0" labelOnly="1" outline="0" fieldPosition="0">
        <references count="1">
          <reference field="1" count="0"/>
        </references>
      </pivotArea>
    </format>
    <format dxfId="901">
      <pivotArea dataOnly="0" labelOnly="1" outline="0" fieldPosition="0">
        <references count="1">
          <reference field="1" count="0"/>
        </references>
      </pivotArea>
    </format>
    <format dxfId="900">
      <pivotArea dataOnly="0" labelOnly="1" outline="0" fieldPosition="0">
        <references count="1">
          <reference field="3" count="0"/>
        </references>
      </pivotArea>
    </format>
    <format dxfId="899">
      <pivotArea dataOnly="0" outline="0" fieldPosition="0">
        <references count="1">
          <reference field="4294967294" count="3">
            <x v="0"/>
            <x v="1"/>
            <x v="2"/>
          </reference>
        </references>
      </pivotArea>
    </format>
    <format dxfId="898">
      <pivotArea field="0" type="button" dataOnly="0" labelOnly="1" outline="0" axis="axisRow" fieldPosition="0"/>
    </format>
    <format dxfId="897">
      <pivotArea field="1" type="button" dataOnly="0" labelOnly="1" outline="0" axis="axisRow" fieldPosition="1"/>
    </format>
    <format dxfId="896">
      <pivotArea field="2" type="button" dataOnly="0" labelOnly="1" outline="0" axis="axisRow" fieldPosition="2"/>
    </format>
    <format dxfId="895">
      <pivotArea field="3" type="button" dataOnly="0" labelOnly="1" outline="0" axis="axisRow" fieldPosition="3"/>
    </format>
    <format dxfId="894">
      <pivotArea dataOnly="0" labelOnly="1" outline="0" fieldPosition="0">
        <references count="1">
          <reference field="4294967294" count="3">
            <x v="0"/>
            <x v="1"/>
            <x v="2"/>
          </reference>
        </references>
      </pivotArea>
    </format>
    <format dxfId="893">
      <pivotArea dataOnly="0" labelOnly="1" outline="0" fieldPosition="0">
        <references count="3">
          <reference field="0" count="1" selected="0">
            <x v="39"/>
          </reference>
          <reference field="1" count="1" selected="0">
            <x v="182"/>
          </reference>
          <reference field="2" count="1">
            <x v="1181"/>
          </reference>
        </references>
      </pivotArea>
    </format>
    <format dxfId="892">
      <pivotArea field="0" type="button" dataOnly="0" labelOnly="1" outline="0" axis="axisRow" fieldPosition="0"/>
    </format>
    <format dxfId="891">
      <pivotArea field="1" type="button" dataOnly="0" labelOnly="1" outline="0" axis="axisRow" fieldPosition="1"/>
    </format>
    <format dxfId="890">
      <pivotArea field="2" type="button" dataOnly="0" labelOnly="1" outline="0" axis="axisRow" fieldPosition="2"/>
    </format>
    <format dxfId="889">
      <pivotArea field="3" type="button" dataOnly="0" labelOnly="1" outline="0" axis="axisRow" fieldPosition="3"/>
    </format>
    <format dxfId="888">
      <pivotArea dataOnly="0" labelOnly="1" outline="0" fieldPosition="0">
        <references count="1">
          <reference field="4294967294" count="3">
            <x v="0"/>
            <x v="1"/>
            <x v="2"/>
          </reference>
        </references>
      </pivotArea>
    </format>
    <format dxfId="887">
      <pivotArea field="0" type="button" dataOnly="0" labelOnly="1" outline="0" axis="axisRow" fieldPosition="0"/>
    </format>
    <format dxfId="886">
      <pivotArea field="1" type="button" dataOnly="0" labelOnly="1" outline="0" axis="axisRow" fieldPosition="1"/>
    </format>
    <format dxfId="885">
      <pivotArea field="2" type="button" dataOnly="0" labelOnly="1" outline="0" axis="axisRow" fieldPosition="2"/>
    </format>
    <format dxfId="884">
      <pivotArea field="3" type="button" dataOnly="0" labelOnly="1" outline="0" axis="axisRow" fieldPosition="3"/>
    </format>
    <format dxfId="883">
      <pivotArea dataOnly="0" labelOnly="1" outline="0" fieldPosition="0">
        <references count="1">
          <reference field="4294967294" count="3">
            <x v="0"/>
            <x v="1"/>
            <x v="2"/>
          </reference>
        </references>
      </pivotArea>
    </format>
    <format dxfId="882">
      <pivotArea dataOnly="0" labelOnly="1" outline="0" fieldPosition="0">
        <references count="3">
          <reference field="0" count="1" selected="0">
            <x v="23"/>
          </reference>
          <reference field="1" count="1" selected="0">
            <x v="182"/>
          </reference>
          <reference field="2" count="1">
            <x v="1167"/>
          </reference>
        </references>
      </pivotArea>
    </format>
    <format dxfId="881">
      <pivotArea dataOnly="0" labelOnly="1" outline="0" fieldPosition="0">
        <references count="3">
          <reference field="0" count="1" selected="0">
            <x v="0"/>
          </reference>
          <reference field="1" count="1" selected="0">
            <x v="182"/>
          </reference>
          <reference field="2" count="1">
            <x v="1456"/>
          </reference>
        </references>
      </pivotArea>
    </format>
    <format dxfId="880">
      <pivotArea dataOnly="0" labelOnly="1" outline="0" fieldPosition="0">
        <references count="3">
          <reference field="0" count="1" selected="0">
            <x v="0"/>
          </reference>
          <reference field="1" count="1" selected="0">
            <x v="182"/>
          </reference>
          <reference field="2" count="1">
            <x v="1456"/>
          </reference>
        </references>
      </pivotArea>
    </format>
    <format dxfId="879">
      <pivotArea dataOnly="0" labelOnly="1" outline="0" fieldPosition="0">
        <references count="3">
          <reference field="0" count="1" selected="0">
            <x v="1"/>
          </reference>
          <reference field="1" count="1" selected="0">
            <x v="182"/>
          </reference>
          <reference field="2" count="1">
            <x v="1147"/>
          </reference>
        </references>
      </pivotArea>
    </format>
    <format dxfId="878">
      <pivotArea dataOnly="0" labelOnly="1" outline="0" fieldPosition="0">
        <references count="3">
          <reference field="0" count="1" selected="0">
            <x v="3"/>
          </reference>
          <reference field="1" count="1" selected="0">
            <x v="182"/>
          </reference>
          <reference field="2" count="1">
            <x v="200"/>
          </reference>
        </references>
      </pivotArea>
    </format>
    <format dxfId="877">
      <pivotArea dataOnly="0" labelOnly="1" outline="0" fieldPosition="0">
        <references count="3">
          <reference field="0" count="1" selected="0">
            <x v="6"/>
          </reference>
          <reference field="1" count="1" selected="0">
            <x v="182"/>
          </reference>
          <reference field="2" count="1">
            <x v="1151"/>
          </reference>
        </references>
      </pivotArea>
    </format>
    <format dxfId="876">
      <pivotArea dataOnly="0" labelOnly="1" outline="0" fieldPosition="0">
        <references count="3">
          <reference field="0" count="1" selected="0">
            <x v="10"/>
          </reference>
          <reference field="1" count="1" selected="0">
            <x v="182"/>
          </reference>
          <reference field="2" count="1">
            <x v="232"/>
          </reference>
        </references>
      </pivotArea>
    </format>
    <format dxfId="875">
      <pivotArea dataOnly="0" labelOnly="1" outline="0" fieldPosition="0">
        <references count="3">
          <reference field="0" count="1" selected="0">
            <x v="3"/>
          </reference>
          <reference field="1" count="1" selected="0">
            <x v="182"/>
          </reference>
          <reference field="2" count="1">
            <x v="200"/>
          </reference>
        </references>
      </pivotArea>
    </format>
    <format dxfId="874">
      <pivotArea dataOnly="0" labelOnly="1" outline="0" fieldPosition="0">
        <references count="3">
          <reference field="0" count="1" selected="0">
            <x v="6"/>
          </reference>
          <reference field="1" count="1" selected="0">
            <x v="182"/>
          </reference>
          <reference field="2" count="1">
            <x v="1151"/>
          </reference>
        </references>
      </pivotArea>
    </format>
    <format dxfId="873">
      <pivotArea dataOnly="0" labelOnly="1" outline="0" fieldPosition="0">
        <references count="3">
          <reference field="0" count="1" selected="0">
            <x v="10"/>
          </reference>
          <reference field="1" count="1" selected="0">
            <x v="182"/>
          </reference>
          <reference field="2" count="1">
            <x v="232"/>
          </reference>
        </references>
      </pivotArea>
    </format>
    <format dxfId="872">
      <pivotArea dataOnly="0" labelOnly="1" outline="0" fieldPosition="0">
        <references count="3">
          <reference field="0" count="1" selected="0">
            <x v="15"/>
          </reference>
          <reference field="1" count="1" selected="0">
            <x v="182"/>
          </reference>
          <reference field="2" count="1">
            <x v="1159"/>
          </reference>
        </references>
      </pivotArea>
    </format>
    <format dxfId="871">
      <pivotArea dataOnly="0" labelOnly="1" outline="0" fieldPosition="0">
        <references count="3">
          <reference field="0" count="1" selected="0">
            <x v="18"/>
          </reference>
          <reference field="1" count="1" selected="0">
            <x v="182"/>
          </reference>
          <reference field="2" count="1">
            <x v="642"/>
          </reference>
        </references>
      </pivotArea>
    </format>
    <format dxfId="870">
      <pivotArea dataOnly="0" labelOnly="1" outline="0" fieldPosition="0">
        <references count="3">
          <reference field="0" count="1" selected="0">
            <x v="20"/>
          </reference>
          <reference field="1" count="1" selected="0">
            <x v="182"/>
          </reference>
          <reference field="2" count="1">
            <x v="1163"/>
          </reference>
        </references>
      </pivotArea>
    </format>
    <format dxfId="869">
      <pivotArea dataOnly="0" labelOnly="1" outline="0" fieldPosition="0">
        <references count="3">
          <reference field="0" count="1" selected="0">
            <x v="24"/>
          </reference>
          <reference field="1" count="1" selected="0">
            <x v="182"/>
          </reference>
          <reference field="2" count="1">
            <x v="1167"/>
          </reference>
        </references>
      </pivotArea>
    </format>
    <format dxfId="868">
      <pivotArea dataOnly="0" labelOnly="1" outline="0" fieldPosition="0">
        <references count="3">
          <reference field="0" count="1" selected="0">
            <x v="26"/>
          </reference>
          <reference field="1" count="1" selected="0">
            <x v="182"/>
          </reference>
          <reference field="2" count="1">
            <x v="1169"/>
          </reference>
        </references>
      </pivotArea>
    </format>
    <format dxfId="867">
      <pivotArea dataOnly="0" labelOnly="1" outline="0" fieldPosition="0">
        <references count="3">
          <reference field="0" count="1" selected="0">
            <x v="33"/>
          </reference>
          <reference field="1" count="1" selected="0">
            <x v="182"/>
          </reference>
          <reference field="2" count="1">
            <x v="280"/>
          </reference>
        </references>
      </pivotArea>
    </format>
    <format dxfId="866">
      <pivotArea dataOnly="0" labelOnly="1" outline="0" fieldPosition="0">
        <references count="3">
          <reference field="0" count="1" selected="0">
            <x v="39"/>
          </reference>
          <reference field="1" count="1" selected="0">
            <x v="182"/>
          </reference>
          <reference field="2" count="1">
            <x v="1180"/>
          </reference>
        </references>
      </pivotArea>
    </format>
    <format dxfId="865">
      <pivotArea dataOnly="0" labelOnly="1" outline="0" fieldPosition="0">
        <references count="3">
          <reference field="0" count="1" selected="0">
            <x v="39"/>
          </reference>
          <reference field="1" count="1" selected="0">
            <x v="182"/>
          </reference>
          <reference field="2" count="1">
            <x v="1180"/>
          </reference>
        </references>
      </pivotArea>
    </format>
    <format dxfId="864">
      <pivotArea dataOnly="0" labelOnly="1" outline="0" fieldPosition="0">
        <references count="3">
          <reference field="0" count="1" selected="0">
            <x v="45"/>
          </reference>
          <reference field="1" count="1" selected="0">
            <x v="182"/>
          </reference>
          <reference field="2" count="1">
            <x v="1185"/>
          </reference>
        </references>
      </pivotArea>
    </format>
    <format dxfId="863">
      <pivotArea dataOnly="0" labelOnly="1" outline="0" fieldPosition="0">
        <references count="3">
          <reference field="0" count="1" selected="0">
            <x v="50"/>
          </reference>
          <reference field="1" count="1" selected="0">
            <x v="182"/>
          </reference>
          <reference field="2" count="1">
            <x v="167"/>
          </reference>
        </references>
      </pivotArea>
    </format>
    <format dxfId="862">
      <pivotArea dataOnly="0" labelOnly="1" outline="0" fieldPosition="0">
        <references count="3">
          <reference field="0" count="1" selected="0">
            <x v="54"/>
          </reference>
          <reference field="1" count="1" selected="0">
            <x v="182"/>
          </reference>
          <reference field="2" count="1">
            <x v="1193"/>
          </reference>
        </references>
      </pivotArea>
    </format>
    <format dxfId="861">
      <pivotArea dataOnly="0" labelOnly="1" outline="0" fieldPosition="0">
        <references count="3">
          <reference field="0" count="1" selected="0">
            <x v="12"/>
          </reference>
          <reference field="1" count="1" selected="0">
            <x v="182"/>
          </reference>
          <reference field="2" count="1">
            <x v="1159"/>
          </reference>
        </references>
      </pivotArea>
    </format>
    <format dxfId="860">
      <pivotArea dataOnly="0" labelOnly="1" outline="0" fieldPosition="0">
        <references count="3">
          <reference field="0" count="1" selected="0">
            <x v="15"/>
          </reference>
          <reference field="1" count="1" selected="0">
            <x v="182"/>
          </reference>
          <reference field="2" count="1">
            <x v="642"/>
          </reference>
        </references>
      </pivotArea>
    </format>
    <format dxfId="859">
      <pivotArea dataOnly="0" labelOnly="1" outline="0" fieldPosition="0">
        <references count="3">
          <reference field="0" count="1" selected="0">
            <x v="17"/>
          </reference>
          <reference field="1" count="1" selected="0">
            <x v="182"/>
          </reference>
          <reference field="2" count="1">
            <x v="1163"/>
          </reference>
        </references>
      </pivotArea>
    </format>
    <format dxfId="858">
      <pivotArea dataOnly="0" labelOnly="1" outline="0" fieldPosition="0">
        <references count="3">
          <reference field="0" count="1" selected="0">
            <x v="21"/>
          </reference>
          <reference field="1" count="1" selected="0">
            <x v="182"/>
          </reference>
          <reference field="2" count="1">
            <x v="1167"/>
          </reference>
        </references>
      </pivotArea>
    </format>
    <format dxfId="857">
      <pivotArea dataOnly="0" labelOnly="1" outline="0" fieldPosition="0">
        <references count="3">
          <reference field="0" count="1" selected="0">
            <x v="23"/>
          </reference>
          <reference field="1" count="1" selected="0">
            <x v="182"/>
          </reference>
          <reference field="2" count="1">
            <x v="1169"/>
          </reference>
        </references>
      </pivotArea>
    </format>
    <format dxfId="856">
      <pivotArea dataOnly="0" labelOnly="1" outline="0" fieldPosition="0">
        <references count="3">
          <reference field="0" count="1" selected="0">
            <x v="28"/>
          </reference>
          <reference field="1" count="1" selected="0">
            <x v="182"/>
          </reference>
          <reference field="2" count="1">
            <x v="280"/>
          </reference>
        </references>
      </pivotArea>
    </format>
    <format dxfId="855">
      <pivotArea dataOnly="0" labelOnly="1" outline="0" fieldPosition="0">
        <references count="3">
          <reference field="0" count="1" selected="0">
            <x v="34"/>
          </reference>
          <reference field="1" count="1" selected="0">
            <x v="182"/>
          </reference>
          <reference field="2" count="1">
            <x v="1180"/>
          </reference>
        </references>
      </pivotArea>
    </format>
    <format dxfId="854">
      <pivotArea dataOnly="0" labelOnly="1" outline="0" fieldPosition="0">
        <references count="3">
          <reference field="0" count="1" selected="0">
            <x v="40"/>
          </reference>
          <reference field="1" count="1" selected="0">
            <x v="182"/>
          </reference>
          <reference field="2" count="1">
            <x v="1185"/>
          </reference>
        </references>
      </pivotArea>
    </format>
    <format dxfId="853">
      <pivotArea dataOnly="0" labelOnly="1" outline="0" fieldPosition="0">
        <references count="3">
          <reference field="0" count="1" selected="0">
            <x v="42"/>
          </reference>
          <reference field="1" count="1" selected="0">
            <x v="182"/>
          </reference>
          <reference field="2" count="1">
            <x v="167"/>
          </reference>
        </references>
      </pivotArea>
    </format>
    <format dxfId="852">
      <pivotArea dataOnly="0" labelOnly="1" outline="0" fieldPosition="0">
        <references count="3">
          <reference field="0" count="1" selected="0">
            <x v="46"/>
          </reference>
          <reference field="1" count="1" selected="0">
            <x v="182"/>
          </reference>
          <reference field="2" count="1">
            <x v="1193"/>
          </reference>
        </references>
      </pivotArea>
    </format>
    <format dxfId="851">
      <pivotArea field="0" type="button" dataOnly="0" labelOnly="1" outline="0" axis="axisRow" fieldPosition="0"/>
    </format>
    <format dxfId="850">
      <pivotArea field="1" type="button" dataOnly="0" labelOnly="1" outline="0" axis="axisRow" fieldPosition="1"/>
    </format>
    <format dxfId="849">
      <pivotArea field="2" type="button" dataOnly="0" labelOnly="1" outline="0" axis="axisRow" fieldPosition="2"/>
    </format>
    <format dxfId="848">
      <pivotArea field="3" type="button" dataOnly="0" labelOnly="1" outline="0" axis="axisRow" fieldPosition="3"/>
    </format>
    <format dxfId="847">
      <pivotArea dataOnly="0" labelOnly="1" outline="0" fieldPosition="0">
        <references count="1">
          <reference field="4294967294" count="3">
            <x v="0"/>
            <x v="1"/>
            <x v="2"/>
          </reference>
        </references>
      </pivotArea>
    </format>
    <format dxfId="846">
      <pivotArea dataOnly="0" labelOnly="1" outline="0" fieldPosition="0">
        <references count="1">
          <reference field="0" count="0"/>
        </references>
      </pivotArea>
    </format>
    <format dxfId="845">
      <pivotArea dataOnly="0" labelOnly="1" outline="0" fieldPosition="0">
        <references count="1">
          <reference field="0" count="0"/>
        </references>
      </pivotArea>
    </format>
    <format dxfId="844">
      <pivotArea dataOnly="0" labelOnly="1" outline="0" fieldPosition="0">
        <references count="3">
          <reference field="0" count="1" selected="0">
            <x v="8"/>
          </reference>
          <reference field="1" count="1" selected="0">
            <x v="182"/>
          </reference>
          <reference field="2" count="1">
            <x v="1153"/>
          </reference>
        </references>
      </pivotArea>
    </format>
    <format dxfId="843">
      <pivotArea dataOnly="0" labelOnly="1" outline="0" fieldPosition="0">
        <references count="3">
          <reference field="0" count="1" selected="0">
            <x v="30"/>
          </reference>
          <reference field="1" count="1" selected="0">
            <x v="182"/>
          </reference>
          <reference field="2" count="1">
            <x v="280"/>
          </reference>
        </references>
      </pivotArea>
    </format>
    <format dxfId="842">
      <pivotArea dataOnly="0" labelOnly="1" outline="0" fieldPosition="0">
        <references count="3">
          <reference field="0" count="1" selected="0">
            <x v="36"/>
          </reference>
          <reference field="1" count="1" selected="0">
            <x v="182"/>
          </reference>
          <reference field="2" count="1">
            <x v="1180"/>
          </reference>
        </references>
      </pivotArea>
    </format>
    <format dxfId="841">
      <pivotArea dataOnly="0" labelOnly="1" outline="0" fieldPosition="0">
        <references count="3">
          <reference field="0" count="1" selected="0">
            <x v="47"/>
          </reference>
          <reference field="1" count="1" selected="0">
            <x v="182"/>
          </reference>
          <reference field="2" count="1">
            <x v="167"/>
          </reference>
        </references>
      </pivotArea>
    </format>
    <format dxfId="840">
      <pivotArea dataOnly="0" labelOnly="1" outline="0" fieldPosition="0">
        <references count="3">
          <reference field="0" count="1" selected="0">
            <x v="51"/>
          </reference>
          <reference field="1" count="1" selected="0">
            <x v="182"/>
          </reference>
          <reference field="2" count="1">
            <x v="1193"/>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DACD3C-5643-4A94-8BFF-9365D1FFE0F7}" name="PivotTable2" cacheId="225"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6:D10"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272"/>
        <item m="1" x="332"/>
        <item m="1" x="391"/>
        <item m="1" x="451"/>
        <item m="1" x="510"/>
        <item m="1" x="569"/>
        <item m="1" x="148"/>
        <item m="1" x="205"/>
        <item m="1" x="264"/>
        <item m="1" x="324"/>
        <item m="1" x="383"/>
        <item m="1" x="443"/>
        <item m="1" x="502"/>
        <item m="1" x="561"/>
        <item m="1" x="139"/>
        <item m="1" x="196"/>
        <item m="1" x="255"/>
        <item m="1" x="314"/>
        <item m="1" x="374"/>
        <item m="1" x="434"/>
        <item m="1" x="493"/>
        <item m="1" x="553"/>
        <item m="1" x="131"/>
        <item m="1" x="188"/>
        <item m="1" x="218"/>
        <item m="1" x="247"/>
        <item m="1" x="278"/>
        <item m="1" x="306"/>
        <item m="1" x="338"/>
        <item m="1" x="366"/>
        <item m="1" x="397"/>
        <item m="1" x="426"/>
        <item m="1" x="457"/>
        <item m="1" x="485"/>
        <item m="1" x="516"/>
        <item m="1" x="544"/>
        <item m="1" x="574"/>
        <item m="1" x="123"/>
        <item m="1" x="153"/>
        <item m="1" x="180"/>
        <item m="1" x="210"/>
        <item m="1" x="239"/>
        <item m="1" x="269"/>
        <item m="1" x="298"/>
        <item m="1" x="329"/>
        <item m="1" x="358"/>
        <item m="1" x="388"/>
        <item m="1" x="418"/>
        <item m="1" x="448"/>
        <item m="1" x="477"/>
        <item m="1" x="507"/>
        <item m="1" x="536"/>
        <item m="1" x="566"/>
        <item m="1" x="116"/>
        <item m="1" x="145"/>
        <item m="1" x="173"/>
        <item m="1" x="202"/>
        <item m="1" x="232"/>
        <item m="1" x="261"/>
        <item m="1" x="291"/>
        <item m="1" x="321"/>
        <item m="1" x="351"/>
        <item m="1" x="380"/>
        <item m="1" x="411"/>
        <item m="1" x="440"/>
        <item m="1" x="470"/>
        <item m="1" x="499"/>
        <item m="1" x="529"/>
        <item m="1" x="559"/>
        <item m="1" x="110"/>
        <item m="1" x="137"/>
        <item m="1" x="166"/>
        <item m="1" x="194"/>
        <item m="1" x="224"/>
        <item m="1" x="253"/>
        <item m="1" x="284"/>
        <item m="1" x="312"/>
        <item m="1" x="344"/>
        <item m="1" x="372"/>
        <item m="1" x="403"/>
        <item m="1" x="432"/>
        <item m="1" x="463"/>
        <item m="1" x="491"/>
        <item m="1" x="522"/>
        <item m="1" x="551"/>
        <item m="1" x="580"/>
        <item m="1" x="129"/>
        <item m="1" x="159"/>
        <item m="1" x="186"/>
        <item m="1" x="216"/>
        <item m="1" x="245"/>
        <item m="1" x="276"/>
        <item m="1" x="304"/>
        <item m="1" x="336"/>
        <item m="1" x="364"/>
        <item m="1" x="395"/>
        <item m="1" x="424"/>
        <item m="1" x="455"/>
        <item m="1" x="483"/>
        <item m="1" x="514"/>
        <item m="1" x="542"/>
        <item m="1" x="573"/>
        <item m="1" x="122"/>
        <item m="1" x="152"/>
        <item m="1" x="179"/>
        <item m="1" x="209"/>
        <item m="1" x="238"/>
        <item m="1" x="268"/>
        <item m="1" x="297"/>
        <item m="1" x="328"/>
        <item m="1" x="357"/>
        <item m="1" x="387"/>
        <item m="1" x="417"/>
        <item m="1" x="447"/>
        <item m="1" x="476"/>
        <item m="1" x="506"/>
        <item m="1" x="535"/>
        <item m="1" x="565"/>
        <item m="1" x="115"/>
        <item m="1" x="144"/>
        <item m="1" x="172"/>
        <item m="1" x="201"/>
        <item m="1" x="231"/>
        <item m="1" x="260"/>
        <item m="1" x="290"/>
        <item m="1" x="320"/>
        <item m="1" x="350"/>
        <item m="1" x="379"/>
        <item m="1" x="410"/>
        <item m="1" x="439"/>
        <item m="1" x="469"/>
        <item m="1" x="498"/>
        <item m="1" x="528"/>
        <item m="1" x="558"/>
        <item m="1" x="109"/>
        <item m="1" x="136"/>
        <item m="1" x="165"/>
        <item m="1" x="193"/>
        <item m="1" x="223"/>
        <item m="1" x="252"/>
        <item m="1" x="283"/>
        <item m="1" x="311"/>
        <item m="1" x="343"/>
        <item m="1" x="371"/>
        <item m="1" x="402"/>
        <item m="1" x="431"/>
        <item m="1" x="462"/>
        <item m="1" x="490"/>
        <item m="1" x="521"/>
        <item m="1" x="549"/>
        <item m="1" x="579"/>
        <item m="1" x="128"/>
        <item m="1" x="143"/>
        <item m="1" x="158"/>
        <item m="1" x="171"/>
        <item m="1" x="185"/>
        <item m="1" x="200"/>
        <item m="1" x="215"/>
        <item m="1" x="229"/>
        <item m="1" x="244"/>
        <item m="1" x="259"/>
        <item m="1" x="275"/>
        <item m="1" x="289"/>
        <item m="1" x="303"/>
        <item m="1" x="319"/>
        <item m="1" x="335"/>
        <item m="1" x="349"/>
        <item m="1" x="363"/>
        <item m="1" x="378"/>
        <item m="1" x="394"/>
        <item m="1" x="409"/>
        <item m="1" x="423"/>
        <item m="1" x="438"/>
        <item m="1" x="454"/>
        <item m="1" x="468"/>
        <item m="1" x="482"/>
        <item m="1" x="497"/>
        <item m="1" x="513"/>
        <item m="1" x="527"/>
        <item m="1" x="541"/>
        <item m="1" x="557"/>
        <item m="1" x="572"/>
        <item m="1" x="108"/>
        <item m="1" x="121"/>
        <item m="1" x="135"/>
        <item m="1" x="151"/>
        <item m="1" x="164"/>
        <item m="1" x="178"/>
        <item m="1" x="192"/>
        <item m="1" x="208"/>
        <item m="1" x="222"/>
        <item m="1" x="237"/>
        <item m="1" x="251"/>
        <item m="1" x="267"/>
        <item m="1" x="282"/>
        <item m="1" x="296"/>
        <item m="1" x="310"/>
        <item m="1" x="327"/>
        <item m="1" x="342"/>
        <item m="1" x="356"/>
        <item m="1" x="370"/>
        <item m="1" x="386"/>
        <item m="1" x="401"/>
        <item m="1" x="416"/>
        <item m="1" x="430"/>
        <item m="1" x="446"/>
        <item m="1" x="461"/>
        <item m="1" x="475"/>
        <item m="1" x="489"/>
        <item m="1" x="505"/>
        <item m="1" x="520"/>
        <item m="1" x="534"/>
        <item m="1" x="548"/>
        <item m="1" x="564"/>
        <item m="1" x="578"/>
        <item m="1" x="114"/>
        <item m="1" x="127"/>
        <item m="1" x="142"/>
        <item m="1" x="157"/>
        <item m="1" x="170"/>
        <item m="1" x="184"/>
        <item m="1" x="199"/>
        <item m="1" x="214"/>
        <item m="1" x="228"/>
        <item m="1" x="243"/>
        <item m="1" x="258"/>
        <item m="1" x="274"/>
        <item m="1" x="288"/>
        <item m="1" x="302"/>
        <item m="1" x="317"/>
        <item m="1" x="334"/>
        <item m="1" x="348"/>
        <item m="1" x="362"/>
        <item m="1" x="377"/>
        <item m="1" x="393"/>
        <item m="1" x="408"/>
        <item m="1" x="422"/>
        <item m="1" x="437"/>
        <item m="1" x="453"/>
        <item m="1" x="467"/>
        <item m="1" x="481"/>
        <item m="1" x="496"/>
        <item m="1" x="512"/>
        <item m="1" x="526"/>
        <item m="1" x="540"/>
        <item m="1" x="556"/>
        <item m="1" x="571"/>
        <item m="1" x="107"/>
        <item m="1" x="120"/>
        <item m="1" x="134"/>
        <item m="1" x="150"/>
        <item m="1" x="163"/>
        <item m="1" x="177"/>
        <item m="1" x="191"/>
        <item m="1" x="207"/>
        <item m="1" x="221"/>
        <item m="1" x="236"/>
        <item m="1" x="250"/>
        <item m="1" x="266"/>
        <item m="1" x="281"/>
        <item m="1" x="295"/>
        <item m="1" x="309"/>
        <item m="1" x="326"/>
        <item m="1" x="341"/>
        <item m="1" x="355"/>
        <item m="1" x="369"/>
        <item m="1" x="385"/>
        <item m="1" x="400"/>
        <item m="1" x="415"/>
        <item m="1" x="429"/>
        <item m="1" x="445"/>
        <item m="1" x="460"/>
        <item m="1" x="474"/>
        <item m="1" x="488"/>
        <item m="1" x="504"/>
        <item m="1" x="519"/>
        <item m="1" x="533"/>
        <item m="1" x="547"/>
        <item m="1" x="563"/>
        <item m="1" x="577"/>
        <item m="1" x="113"/>
        <item m="1" x="126"/>
        <item m="1" x="141"/>
        <item m="1" x="156"/>
        <item m="1" x="169"/>
        <item m="1" x="183"/>
        <item m="1" x="198"/>
        <item m="1" x="213"/>
        <item m="1" x="227"/>
        <item m="1" x="242"/>
        <item m="1" x="257"/>
        <item m="1" x="273"/>
        <item m="1" x="287"/>
        <item m="1" x="301"/>
        <item m="1" x="316"/>
        <item m="1" x="333"/>
        <item m="1" x="347"/>
        <item m="1" x="361"/>
        <item m="1" x="376"/>
        <item m="1" x="392"/>
        <item m="1" x="406"/>
        <item m="1" x="421"/>
        <item m="1" x="436"/>
        <item m="1" x="452"/>
        <item m="1" x="466"/>
        <item m="1" x="480"/>
        <item m="1" x="495"/>
        <item m="1" x="511"/>
        <item m="1" x="525"/>
        <item m="1" x="539"/>
        <item m="1" x="555"/>
        <item m="1" x="570"/>
        <item m="1" x="106"/>
        <item m="1" x="119"/>
        <item m="1" x="133"/>
        <item m="1" x="149"/>
        <item m="1" x="162"/>
        <item m="1" x="176"/>
        <item m="1" x="190"/>
        <item m="1" x="206"/>
        <item m="1" x="220"/>
        <item m="1" x="235"/>
        <item m="1" x="249"/>
        <item m="1" x="265"/>
        <item m="1" x="280"/>
        <item m="1" x="294"/>
        <item m="1" x="308"/>
        <item m="1" x="325"/>
        <item m="1" x="340"/>
        <item m="1" x="354"/>
        <item m="1" x="368"/>
        <item m="1" x="384"/>
        <item m="1" x="399"/>
        <item m="1" x="414"/>
        <item m="1" x="428"/>
        <item m="1" x="444"/>
        <item m="1" x="459"/>
        <item m="1" x="473"/>
        <item m="1" x="487"/>
        <item m="1" x="503"/>
        <item m="1" x="518"/>
        <item m="1" x="532"/>
        <item m="1" x="546"/>
        <item m="1" x="562"/>
        <item m="1" x="576"/>
        <item m="1" x="112"/>
        <item m="1" x="125"/>
        <item m="1" x="140"/>
        <item m="1" x="155"/>
        <item m="1" x="168"/>
        <item m="1" x="182"/>
        <item m="1" x="197"/>
        <item m="1" x="212"/>
        <item m="1" x="226"/>
        <item m="1" x="241"/>
        <item m="1" x="256"/>
        <item m="1" x="271"/>
        <item m="1" x="286"/>
        <item m="1" x="300"/>
        <item m="1" x="315"/>
        <item m="1" x="331"/>
        <item m="1" x="346"/>
        <item m="1" x="360"/>
        <item m="1" x="375"/>
        <item m="1" x="390"/>
        <item m="1" x="405"/>
        <item m="1" x="420"/>
        <item m="1" x="435"/>
        <item m="1" x="450"/>
        <item m="1" x="465"/>
        <item m="1" x="479"/>
        <item m="1" x="494"/>
        <item m="1" x="509"/>
        <item m="1" x="524"/>
        <item m="1" x="538"/>
        <item m="1" x="554"/>
        <item m="1" x="568"/>
        <item m="1" x="105"/>
        <item m="1" x="118"/>
        <item m="1" x="132"/>
        <item m="1" x="147"/>
        <item m="1" x="161"/>
        <item m="1" x="175"/>
        <item m="1" x="189"/>
        <item m="1" x="204"/>
        <item m="1" x="219"/>
        <item m="1" x="234"/>
        <item m="1" x="248"/>
        <item m="1" x="263"/>
        <item m="1" x="279"/>
        <item m="1" x="293"/>
        <item m="1" x="307"/>
        <item m="1" x="323"/>
        <item m="1" x="339"/>
        <item m="1" x="353"/>
        <item m="1" x="367"/>
        <item m="1" x="382"/>
        <item m="1" x="398"/>
        <item m="1" x="413"/>
        <item m="1" x="427"/>
        <item m="1" x="442"/>
        <item m="1" x="458"/>
        <item m="1" x="472"/>
        <item m="1" x="486"/>
        <item m="1" x="501"/>
        <item m="1" x="517"/>
        <item m="1" x="531"/>
        <item m="1" x="545"/>
        <item m="1" x="552"/>
        <item m="1" x="560"/>
        <item m="1" x="567"/>
        <item m="1" x="575"/>
        <item m="1" x="104"/>
        <item m="1" x="111"/>
        <item m="1" x="117"/>
        <item m="1" x="124"/>
        <item m="1" x="130"/>
        <item m="1" x="138"/>
        <item m="1" x="146"/>
        <item m="1" x="154"/>
        <item m="1" x="160"/>
        <item m="1" x="167"/>
        <item m="1" x="174"/>
        <item m="1" x="181"/>
        <item m="1" x="187"/>
        <item m="1" x="195"/>
        <item m="1" x="203"/>
        <item m="1" x="211"/>
        <item m="1" x="217"/>
        <item m="1" x="225"/>
        <item m="1" x="233"/>
        <item m="1" x="240"/>
        <item m="1" x="246"/>
        <item m="1" x="254"/>
        <item m="1" x="262"/>
        <item m="1" x="270"/>
        <item m="1" x="277"/>
        <item m="1" x="285"/>
        <item m="1" x="292"/>
        <item m="1" x="299"/>
        <item m="1" x="305"/>
        <item m="1" x="313"/>
        <item m="1" x="322"/>
        <item m="1" x="330"/>
        <item m="1" x="337"/>
        <item m="1" x="345"/>
        <item m="1" x="352"/>
        <item m="1" x="359"/>
        <item m="1" x="365"/>
        <item m="1" x="373"/>
        <item m="1" x="381"/>
        <item m="1" x="389"/>
        <item m="1" x="396"/>
        <item m="1" x="404"/>
        <item m="1" x="412"/>
        <item m="1" x="419"/>
        <item m="1" x="425"/>
        <item m="1" x="433"/>
        <item m="1" x="441"/>
        <item m="1" x="449"/>
        <item m="1" x="456"/>
        <item m="1" x="464"/>
        <item m="1" x="471"/>
        <item m="1" x="478"/>
        <item m="1" x="484"/>
        <item m="1" x="492"/>
        <item m="1" x="500"/>
        <item m="1" x="508"/>
        <item m="1" x="515"/>
        <item m="1" x="523"/>
        <item m="1" x="530"/>
        <item m="1" x="230"/>
        <item m="1" x="318"/>
        <item m="1" x="407"/>
        <item m="1" x="550"/>
        <item m="1" x="537"/>
        <item m="1" x="543"/>
      </items>
    </pivotField>
    <pivotField compact="0" showAll="0" defaultSubtotal="0">
      <items count="1124">
        <item m="1" x="458"/>
        <item m="1" x="500"/>
        <item m="1" x="552"/>
        <item m="1" x="597"/>
        <item m="1" x="627"/>
        <item m="1" x="648"/>
        <item m="1" x="665"/>
        <item m="1" x="678"/>
        <item m="1" x="705"/>
        <item m="1" x="440"/>
        <item m="1" x="465"/>
        <item m="1" x="506"/>
        <item m="1" x="556"/>
        <item m="1" x="601"/>
        <item m="1" x="629"/>
        <item m="1" x="649"/>
        <item m="1" x="666"/>
        <item m="1" x="679"/>
        <item m="1" x="706"/>
        <item m="1" x="441"/>
        <item m="1" x="468"/>
        <item m="1" x="514"/>
        <item m="1" x="564"/>
        <item m="1" x="603"/>
        <item m="1" x="630"/>
        <item m="1" x="650"/>
        <item m="1" x="667"/>
        <item m="1" x="680"/>
        <item m="1" x="707"/>
        <item m="1" x="442"/>
        <item m="1" x="469"/>
        <item m="1" x="517"/>
        <item m="1" x="568"/>
        <item m="1" x="604"/>
        <item m="1" x="631"/>
        <item m="1" x="651"/>
        <item m="1" x="668"/>
        <item m="1" x="681"/>
        <item m="1" x="708"/>
        <item m="1" x="697"/>
        <item m="1" x="746"/>
        <item m="1" x="802"/>
        <item m="1" x="857"/>
        <item m="1" x="909"/>
        <item m="1" x="981"/>
        <item m="1" x="1018"/>
        <item m="1" x="166"/>
        <item m="1" x="956"/>
        <item m="1" x="993"/>
        <item m="1" x="1037"/>
        <item m="1" x="1088"/>
        <item m="1" x="77"/>
        <item m="1" x="105"/>
        <item m="1" x="127"/>
        <item m="1" x="143"/>
        <item m="1" x="157"/>
        <item m="1" x="193"/>
        <item m="1" x="971"/>
        <item m="1" x="1001"/>
        <item m="1" x="1042"/>
        <item m="1" x="1092"/>
        <item m="1" x="81"/>
        <item m="1" x="108"/>
        <item m="1" x="128"/>
        <item m="1" x="144"/>
        <item m="1" x="180"/>
        <item m="1" x="232"/>
        <item m="1" x="456"/>
        <item m="1" x="497"/>
        <item m="1" x="549"/>
        <item m="1" x="594"/>
        <item m="1" x="624"/>
        <item m="1" x="646"/>
        <item m="1" x="664"/>
        <item m="1" x="677"/>
        <item m="1" x="695"/>
        <item m="1" x="743"/>
        <item m="1" x="798"/>
        <item m="1" x="853"/>
        <item m="1" x="980"/>
        <item m="1" x="165"/>
        <item m="1" x="476"/>
        <item m="1" x="524"/>
        <item m="1" x="576"/>
        <item m="1" x="612"/>
        <item m="1" x="637"/>
        <item m="1" x="657"/>
        <item m="1" x="672"/>
        <item m="1" x="689"/>
        <item m="1" x="732"/>
        <item m="1" x="449"/>
        <item m="1" x="481"/>
        <item m="1" x="528"/>
        <item m="1" x="580"/>
        <item m="1" x="615"/>
        <item m="1" x="639"/>
        <item m="1" x="658"/>
        <item m="1" x="673"/>
        <item m="1" x="690"/>
        <item m="1" x="733"/>
        <item m="1" x="452"/>
        <item m="1" x="489"/>
        <item m="1" x="534"/>
        <item m="1" x="584"/>
        <item m="1" x="617"/>
        <item m="1" x="640"/>
        <item m="1" x="659"/>
        <item m="1" x="674"/>
        <item m="1" x="691"/>
        <item m="1" x="734"/>
        <item m="1" x="453"/>
        <item m="1" x="492"/>
        <item m="1" x="541"/>
        <item m="1" x="588"/>
        <item m="1" x="618"/>
        <item m="1" x="641"/>
        <item m="1" x="660"/>
        <item m="1" x="675"/>
        <item m="1" x="692"/>
        <item m="1" x="735"/>
        <item m="1" x="454"/>
        <item m="1" x="493"/>
        <item m="1" x="543"/>
        <item m="1" x="589"/>
        <item m="1" x="619"/>
        <item m="1" x="642"/>
        <item m="1" x="661"/>
        <item m="1" x="676"/>
        <item m="1" x="693"/>
        <item m="1" x="736"/>
        <item m="1" x="716"/>
        <item m="1" x="771"/>
        <item m="1" x="826"/>
        <item m="1" x="882"/>
        <item m="1" x="927"/>
        <item m="1" x="991"/>
        <item m="1" x="1035"/>
        <item m="1" x="1086"/>
        <item m="1" x="76"/>
        <item m="1" x="104"/>
        <item m="1" x="126"/>
        <item m="1" x="142"/>
        <item m="1" x="156"/>
        <item m="1" x="192"/>
        <item m="1" x="969"/>
        <item m="1" x="177"/>
        <item m="1" x="1015"/>
        <item m="1" x="1065"/>
        <item m="1" x="1113"/>
        <item m="1" x="95"/>
        <item m="1" x="119"/>
        <item m="1" x="139"/>
        <item m="1" x="152"/>
        <item m="1" x="175"/>
        <item m="1" x="224"/>
        <item m="1" x="985"/>
        <item m="1" x="1021"/>
        <item m="1" x="1069"/>
        <item m="1" x="1117"/>
        <item m="1" x="98"/>
        <item m="1" x="122"/>
        <item m="1" x="140"/>
        <item m="1" x="153"/>
        <item m="1" x="176"/>
        <item m="1" x="203"/>
        <item m="1" x="258"/>
        <item m="1" x="314"/>
        <item m="1" x="370"/>
        <item m="1" x="474"/>
        <item m="1" x="521"/>
        <item m="1" x="573"/>
        <item m="1" x="609"/>
        <item m="1" x="712"/>
        <item m="1" x="768"/>
        <item m="1" x="822"/>
        <item m="1" x="878"/>
        <item m="1" x="686"/>
        <item m="1" x="990"/>
        <item m="1" x="495"/>
        <item m="1" x="547"/>
        <item m="1" x="593"/>
        <item m="1" x="623"/>
        <item x="0"/>
        <item m="1" x="963"/>
        <item m="1" x="158"/>
        <item m="1" x="194"/>
        <item m="1" x="972"/>
        <item m="1" x="1006"/>
        <item m="1" x="1051"/>
        <item m="1" x="1098"/>
        <item m="1" x="84"/>
        <item m="1" x="109"/>
        <item m="1" x="129"/>
        <item m="1" x="145"/>
        <item m="1" x="1081"/>
        <item m="1" x="539"/>
        <item m="1" x="1052"/>
        <item m="1" x="512"/>
        <item m="1" x="1029"/>
        <item m="1" x="487"/>
        <item m="1" x="1002"/>
        <item m="1" x="463"/>
        <item m="1" x="986"/>
        <item m="1" x="587"/>
        <item m="1" x="1099"/>
        <item m="1" x="561"/>
        <item m="1" x="1074"/>
        <item m="1" x="531"/>
        <item m="1" x="1043"/>
        <item m="1" x="503"/>
        <item m="1" x="1022"/>
        <item m="1" x="479"/>
        <item m="1" x="994"/>
        <item m="1" x="602"/>
        <item m="1" x="1121"/>
        <item m="1" x="582"/>
        <item m="1" x="1093"/>
        <item m="1" x="554"/>
        <item m="1" x="1070"/>
        <item m="1" x="526"/>
        <item m="1" x="1038"/>
        <item m="1" x="276"/>
        <item m="1" x="787"/>
        <item m="1" x="247"/>
        <item m="1" x="758"/>
        <item m="1" x="220"/>
        <item m="1" x="727"/>
        <item m="1" x="567"/>
        <item m="1" x="1079"/>
        <item m="1" x="536"/>
        <item m="1" x="1047"/>
        <item m="1" x="508"/>
        <item m="1" x="1025"/>
        <item m="1" x="483"/>
        <item m="1" x="997"/>
        <item m="1" x="459"/>
        <item m="1" x="1123"/>
        <item m="1" x="585"/>
        <item m="1" x="1095"/>
        <item m="1" x="557"/>
        <item m="1" x="1072"/>
        <item m="1" x="529"/>
        <item m="1" x="1040"/>
        <item m="1" x="501"/>
        <item m="1" x="1019"/>
        <item m="1" x="477"/>
        <item m="1" x="815"/>
        <item m="1" x="274"/>
        <item m="1" x="784"/>
        <item m="1" x="243"/>
        <item m="1" x="754"/>
        <item m="1" x="216"/>
        <item m="1" x="723"/>
        <item m="1" x="184"/>
        <item m="1" x="698"/>
        <item m="1" x="329"/>
        <item m="1" x="838"/>
        <item m="1" x="297"/>
        <item m="1" x="808"/>
        <item m="1" x="267"/>
        <item m="1" x="777"/>
        <item m="1" x="236"/>
        <item m="1" x="747"/>
        <item m="1" x="208"/>
        <item m="1" x="717"/>
        <item m="1" x="355"/>
        <item m="1" x="864"/>
        <item m="1" x="323"/>
        <item m="1" x="832"/>
        <item m="1" x="292"/>
        <item m="1" x="803"/>
        <item m="1" x="262"/>
        <item m="1" x="772"/>
        <item m="1" x="230"/>
        <item m="1" x="741"/>
        <item m="1" x="379"/>
        <item m="1" x="889"/>
        <item m="1" x="350"/>
        <item m="1" x="858"/>
        <item m="1" x="318"/>
        <item m="1" x="827"/>
        <item m="1" x="286"/>
        <item m="1" x="796"/>
        <item m="1" x="256"/>
        <item m="1" x="766"/>
        <item m="1" x="400"/>
        <item m="1" x="910"/>
        <item m="1" x="374"/>
        <item m="1" x="883"/>
        <item m="1" x="344"/>
        <item m="1" x="851"/>
        <item m="1" x="312"/>
        <item m="1" x="1101"/>
        <item m="1" x="563"/>
        <item m="1" x="1076"/>
        <item m="1" x="533"/>
        <item m="1" x="1045"/>
        <item m="1" x="505"/>
        <item m="1" x="178"/>
        <item m="1" x="201"/>
        <item m="1" x="225"/>
        <item m="1" x="251"/>
        <item m="1" x="277"/>
        <item m="1" x="304"/>
        <item m="1" x="332"/>
        <item m="1" x="358"/>
        <item m="1" x="381"/>
        <item m="1" x="207"/>
        <item m="1" x="229"/>
        <item m="1" x="255"/>
        <item m="1" x="28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714"/>
        <item m="1" x="739"/>
        <item m="1" x="764"/>
        <item m="1" x="791"/>
        <item m="1" x="443"/>
        <item m="1" x="470"/>
        <item m="1" x="518"/>
        <item m="1" x="569"/>
        <item m="1" x="605"/>
        <item m="1" x="632"/>
        <item m="1" x="652"/>
        <item m="1" x="669"/>
        <item m="1" x="682"/>
        <item m="1" x="709"/>
        <item m="1" x="444"/>
        <item m="1" x="471"/>
        <item m="1" x="519"/>
        <item m="1" x="570"/>
        <item m="1" x="606"/>
        <item m="1" x="633"/>
        <item m="1" x="653"/>
        <item m="1" x="670"/>
        <item m="1" x="683"/>
        <item m="1" x="710"/>
        <item m="1" x="159"/>
        <item m="1" x="195"/>
        <item m="1" x="973"/>
        <item m="1" x="1007"/>
        <item m="1" x="1056"/>
        <item m="1" x="1103"/>
        <item m="1" x="85"/>
        <item m="1" x="110"/>
        <item m="1" x="130"/>
        <item m="1" x="146"/>
        <item m="1" x="160"/>
        <item m="1" x="196"/>
        <item m="1" x="974"/>
        <item m="1" x="1008"/>
        <item m="1" x="1057"/>
        <item m="1" x="1104"/>
        <item m="1" x="86"/>
        <item m="1" x="111"/>
        <item m="1" x="131"/>
        <item m="1" x="147"/>
        <item m="1" x="161"/>
        <item m="1" x="197"/>
        <item m="1" x="975"/>
        <item m="1" x="1009"/>
        <item m="1" x="1058"/>
        <item m="1" x="1105"/>
        <item m="1" x="87"/>
        <item m="1" x="112"/>
        <item m="1" x="132"/>
        <item m="1" x="148"/>
        <item m="1" x="162"/>
        <item m="1" x="198"/>
        <item m="1" x="976"/>
        <item m="1" x="1010"/>
        <item m="1" x="1059"/>
        <item m="1" x="1106"/>
        <item m="1" x="88"/>
        <item m="1" x="113"/>
        <item m="1" x="133"/>
        <item m="1" x="149"/>
        <item m="1" x="163"/>
        <item m="1" x="199"/>
        <item m="1" x="977"/>
        <item m="1" x="1011"/>
        <item m="1" x="1060"/>
        <item m="1" x="1107"/>
        <item m="1" x="89"/>
        <item m="1" x="114"/>
        <item m="1" x="134"/>
        <item m="1" x="150"/>
        <item m="1" x="164"/>
        <item m="1" x="200"/>
        <item m="1" x="978"/>
        <item m="1" x="1012"/>
        <item m="1" x="1061"/>
        <item m="1" x="1108"/>
        <item m="1" x="90"/>
        <item m="1" x="115"/>
        <item m="1" x="135"/>
        <item m="1" x="167"/>
        <item m="1" x="206"/>
        <item m="1" x="979"/>
        <item m="1" x="1013"/>
        <item m="1" x="1062"/>
        <item m="1" x="1109"/>
        <item m="1" x="91"/>
        <item m="1" x="116"/>
        <item m="1" x="136"/>
        <item m="1" x="151"/>
        <item m="1" x="173"/>
        <item m="1" x="214"/>
        <item m="1" x="154"/>
        <item m="1" x="288"/>
        <item m="1" x="346"/>
        <item m="1" x="396"/>
        <item m="1" x="427"/>
        <item m="1" x="439"/>
        <item m="1" x="445"/>
        <item m="1" x="472"/>
        <item m="1" x="155"/>
        <item m="1" x="930"/>
        <item m="1" x="955"/>
        <item m="1" x="967"/>
        <item m="1" x="498"/>
        <item m="1" x="1016"/>
        <item m="1" x="616"/>
        <item m="1" x="82"/>
        <item m="1" x="599"/>
        <item m="1" x="1118"/>
        <item m="1" x="578"/>
        <item m="1" x="1089"/>
        <item m="1" x="550"/>
        <item m="1" x="1066"/>
        <item m="1" x="522"/>
        <item m="1" x="1033"/>
        <item m="1" x="628"/>
        <item m="1" x="99"/>
        <item m="1" x="613"/>
        <item m="1" x="78"/>
        <item m="1" x="595"/>
        <item m="1" x="1114"/>
        <item m="1" x="574"/>
        <item m="1" x="1084"/>
        <item m="1" x="545"/>
        <item m="1" x="1063"/>
        <item m="1" x="638"/>
        <item m="1" x="106"/>
        <item m="1" x="625"/>
        <item m="1" x="96"/>
        <item m="1" x="610"/>
        <item m="1" x="74"/>
        <item m="1" x="591"/>
        <item m="1" x="1111"/>
        <item m="1" x="571"/>
        <item m="1" x="1082"/>
        <item m="1" x="647"/>
        <item m="1" x="120"/>
        <item m="1" x="636"/>
        <item m="1" x="103"/>
        <item m="1" x="622"/>
        <item m="1" x="94"/>
        <item m="1" x="608"/>
        <item m="1" x="73"/>
        <item m="1" x="590"/>
        <item m="1" x="1110"/>
        <item m="1" x="656"/>
        <item m="1" x="125"/>
        <item m="1" x="645"/>
        <item m="1" x="118"/>
        <item m="1" x="635"/>
        <item m="1" x="102"/>
        <item m="1" x="621"/>
        <item m="1" x="93"/>
        <item m="1" x="607"/>
        <item m="1" x="72"/>
        <item m="1" x="663"/>
        <item m="1" x="138"/>
        <item m="1" x="655"/>
        <item m="1" x="124"/>
        <item m="1" x="644"/>
        <item m="1" x="117"/>
        <item m="1" x="634"/>
        <item m="1" x="101"/>
        <item m="1" x="188"/>
        <item m="1" x="702"/>
        <item m="1" x="171"/>
        <item m="1" x="839"/>
        <item m="1" x="299"/>
        <item m="1" x="810"/>
        <item m="1" x="269"/>
        <item m="1" x="779"/>
        <item m="1" x="238"/>
        <item m="1" x="749"/>
        <item m="1" x="210"/>
        <item m="1" x="719"/>
        <item m="1" x="181"/>
        <item m="1" x="865"/>
        <item m="1" x="325"/>
        <item m="1" x="834"/>
        <item m="1" x="294"/>
        <item m="1" x="805"/>
        <item m="1" x="264"/>
        <item m="1" x="774"/>
        <item m="1" x="233"/>
        <item m="1" x="744"/>
        <item m="1" x="204"/>
        <item m="1" x="890"/>
        <item m="1" x="352"/>
        <item m="1" x="861"/>
        <item m="1" x="320"/>
        <item m="1" x="829"/>
        <item m="1" x="289"/>
        <item m="1" x="799"/>
        <item m="1" x="259"/>
        <item m="1" x="769"/>
        <item m="1" x="227"/>
        <item m="1" x="911"/>
        <item m="1" x="376"/>
        <item m="1" x="886"/>
        <item m="1" x="347"/>
        <item m="1" x="854"/>
        <item m="1" x="315"/>
        <item m="1" x="823"/>
        <item m="1" x="283"/>
        <item m="1" x="794"/>
        <item m="1" x="253"/>
        <item m="1" x="928"/>
        <item m="1" x="397"/>
        <item m="1" x="906"/>
        <item m="1" x="371"/>
        <item m="1" x="879"/>
        <item m="1" x="341"/>
        <item m="1" x="848"/>
        <item m="1" x="309"/>
        <item m="1" x="819"/>
        <item m="1" x="279"/>
        <item m="1" x="942"/>
        <item m="1" x="413"/>
        <item m="1" x="924"/>
        <item m="1" x="392"/>
        <item m="1" x="901"/>
        <item m="1" x="366"/>
        <item m="1" x="874"/>
        <item m="1" x="337"/>
        <item m="1" x="845"/>
        <item m="1" x="306"/>
        <item m="1" x="952"/>
        <item m="1" x="424"/>
        <item m="1" x="939"/>
        <item m="1" x="409"/>
        <item m="1" x="920"/>
        <item m="1" x="388"/>
        <item m="1" x="897"/>
        <item m="1" x="362"/>
        <item m="1" x="871"/>
        <item m="1" x="334"/>
        <item m="1" x="960"/>
        <item m="1" x="432"/>
        <item m="1" x="949"/>
        <item m="1" x="420"/>
        <item m="1" x="935"/>
        <item m="1" x="405"/>
        <item m="1" x="917"/>
        <item m="1" x="385"/>
        <item m="1" x="894"/>
        <item m="1" x="359"/>
        <item m="1" x="965"/>
        <item m="1" x="436"/>
        <item m="1" x="958"/>
        <item m="1" x="429"/>
        <item m="1" x="946"/>
        <item m="1" x="417"/>
        <item m="1" x="932"/>
        <item m="1" x="402"/>
        <item m="1" x="914"/>
        <item m="1" x="382"/>
        <item m="1" x="868"/>
        <item m="1" x="330"/>
        <item m="1" x="840"/>
        <item m="1" x="300"/>
        <item m="1" x="811"/>
        <item m="1" x="270"/>
        <item m="1" x="780"/>
        <item m="1" x="239"/>
        <item m="1" x="750"/>
        <item m="1" x="211"/>
        <item m="1" x="892"/>
        <item m="1" x="356"/>
        <item m="1" x="866"/>
        <item m="1" x="326"/>
        <item m="1" x="835"/>
        <item m="1" x="295"/>
        <item m="1" x="806"/>
        <item m="1" x="265"/>
        <item m="1" x="775"/>
        <item m="1" x="234"/>
        <item m="1" x="913"/>
        <item m="1" x="380"/>
        <item m="1" x="891"/>
        <item m="1" x="353"/>
        <item m="1" x="862"/>
        <item m="1" x="321"/>
        <item m="1" x="830"/>
        <item m="1" x="290"/>
        <item m="1" x="800"/>
        <item m="1" x="260"/>
        <item m="1" x="931"/>
        <item m="1" x="401"/>
        <item m="1" x="912"/>
        <item m="1" x="377"/>
        <item m="1" x="887"/>
        <item m="1" x="348"/>
        <item m="1" x="855"/>
        <item m="1" x="316"/>
        <item m="1" x="824"/>
        <item m="1" x="284"/>
        <item m="1" x="944"/>
        <item m="1" x="416"/>
        <item m="1" x="929"/>
        <item m="1" x="398"/>
        <item m="1" x="907"/>
        <item m="1" x="372"/>
        <item m="1" x="880"/>
        <item m="1" x="342"/>
        <item m="1" x="849"/>
        <item m="1" x="310"/>
        <item m="1" x="954"/>
        <item m="1" x="428"/>
        <item m="1" x="943"/>
        <item m="1" x="414"/>
        <item m="1" x="925"/>
        <item m="1" x="393"/>
        <item m="1" x="902"/>
        <item m="1" x="367"/>
        <item m="1" x="875"/>
        <item m="1" x="338"/>
        <item m="1" x="962"/>
        <item m="1" x="435"/>
        <item m="1" x="953"/>
        <item m="1" x="425"/>
        <item m="1" x="940"/>
        <item m="1" x="410"/>
        <item m="1" x="921"/>
        <item m="1" x="389"/>
        <item m="1" x="898"/>
        <item m="1" x="363"/>
        <item m="1" x="966"/>
        <item m="1" x="438"/>
        <item m="1" x="961"/>
        <item m="1" x="433"/>
        <item m="1" x="950"/>
        <item m="1" x="421"/>
        <item m="1" x="936"/>
        <item m="1" x="406"/>
        <item m="1" x="246"/>
        <item m="1" x="757"/>
        <item m="1" x="219"/>
        <item m="1" x="726"/>
        <item m="1" x="187"/>
        <item m="1" x="701"/>
        <item m="1" x="170"/>
        <item m="1" x="685"/>
        <item m="1" x="1050"/>
        <item m="1" x="511"/>
        <item m="1" x="1028"/>
        <item m="1" x="486"/>
        <item m="1" x="1000"/>
        <item m="1" x="462"/>
        <item m="1" x="984"/>
        <item m="1" x="447"/>
        <item m="1" x="968"/>
        <item m="1" x="560"/>
        <item m="1" x="786"/>
        <item m="1" x="245"/>
        <item m="1" x="756"/>
        <item m="1" x="218"/>
        <item m="1" x="725"/>
        <item m="1" x="186"/>
        <item m="1" x="700"/>
        <item m="1" x="169"/>
        <item m="1" x="684"/>
        <item m="1" x="298"/>
        <item m="1" x="809"/>
        <item m="1" x="268"/>
        <item m="1" x="778"/>
        <item m="1" x="237"/>
        <item m="1" x="748"/>
        <item m="1" x="209"/>
        <item m="1" x="718"/>
        <item m="1" x="179"/>
        <item m="1" x="694"/>
        <item m="1" x="324"/>
        <item m="1" x="833"/>
        <item m="1" x="293"/>
        <item m="1" x="804"/>
        <item m="1" x="263"/>
        <item m="1" x="773"/>
        <item m="1" x="231"/>
        <item m="1" x="742"/>
        <item m="1" x="202"/>
        <item m="1" x="711"/>
        <item m="1" x="351"/>
        <item m="1" x="859"/>
        <item m="1" x="319"/>
        <item m="1" x="828"/>
        <item m="1" x="287"/>
        <item m="1" x="797"/>
        <item m="1" x="257"/>
        <item m="1" x="767"/>
        <item m="1" x="226"/>
        <item m="1" x="737"/>
        <item m="1" x="375"/>
        <item m="1" x="884"/>
        <item m="1" x="345"/>
        <item m="1" x="852"/>
        <item m="1" x="313"/>
        <item m="1" x="821"/>
        <item m="1" x="282"/>
        <item m="1" x="793"/>
        <item m="1" x="252"/>
        <item m="1" x="762"/>
        <item m="1" x="395"/>
        <item m="1" x="904"/>
        <item m="1" x="369"/>
        <item m="1" x="877"/>
        <item m="1" x="340"/>
        <item m="1" x="847"/>
        <item m="1" x="308"/>
        <item m="1" x="818"/>
        <item m="1" x="278"/>
        <item m="1" x="790"/>
        <item m="1" x="412"/>
        <item m="1" x="923"/>
        <item m="1" x="391"/>
        <item m="1" x="900"/>
        <item m="1" x="365"/>
        <item m="1" x="873"/>
        <item m="1" x="336"/>
        <item m="1" x="844"/>
        <item m="1" x="305"/>
        <item m="1" x="816"/>
        <item m="1" x="423"/>
        <item m="1" x="938"/>
        <item m="1" x="408"/>
        <item m="1" x="919"/>
        <item m="1" x="387"/>
        <item m="1" x="896"/>
        <item m="1" x="361"/>
        <item m="1" x="870"/>
        <item m="1" x="333"/>
        <item m="1" x="842"/>
        <item m="1" x="431"/>
        <item m="1" x="948"/>
        <item m="1" x="419"/>
        <item m="1" x="934"/>
        <item m="1" x="404"/>
        <item m="1" x="916"/>
        <item m="1" x="384"/>
        <item m="1" x="538"/>
        <item m="1" x="1049"/>
        <item m="1" x="510"/>
        <item m="1" x="1027"/>
        <item m="1" x="485"/>
        <item m="1" x="999"/>
        <item m="1" x="461"/>
        <item m="1" x="983"/>
        <item m="1" x="446"/>
        <item m="1" x="1097"/>
        <item m="1" x="559"/>
        <item m="1" x="1073"/>
        <item m="1" x="530"/>
        <item m="1" x="1041"/>
        <item m="1" x="502"/>
        <item m="1" x="1020"/>
        <item m="1" x="478"/>
        <item m="1" x="992"/>
        <item m="1" x="455"/>
        <item m="1" x="1120"/>
        <item m="1" x="581"/>
        <item m="1" x="1091"/>
        <item m="1" x="553"/>
        <item m="1" x="1068"/>
        <item m="1" x="525"/>
        <item m="1" x="1036"/>
        <item m="1" x="496"/>
        <item m="1" x="1014"/>
        <item m="1" x="473"/>
        <item m="1" x="80"/>
        <item m="1" x="598"/>
        <item m="1" x="1116"/>
        <item m="1" x="577"/>
        <item m="1" x="1087"/>
        <item m="1" x="548"/>
        <item m="1" x="275"/>
        <item m="1" x="785"/>
        <item m="1" x="244"/>
        <item m="1" x="755"/>
        <item m="1" x="217"/>
        <item m="1" x="724"/>
        <item m="1" x="185"/>
        <item m="1" x="699"/>
        <item m="1" x="1080"/>
        <item m="1" x="537"/>
        <item m="1" x="1048"/>
        <item m="1" x="509"/>
        <item m="1" x="1026"/>
        <item m="1" x="484"/>
        <item m="1" x="998"/>
        <item m="1" x="460"/>
        <item m="1" x="982"/>
        <item m="1" x="586"/>
        <item m="1" x="1096"/>
        <item m="1" x="540"/>
        <item m="1" x="1053"/>
        <item m="1" x="513"/>
        <item m="1" x="250"/>
        <item m="1" x="761"/>
        <item m="1" x="223"/>
        <item m="1" x="730"/>
        <item m="1" x="191"/>
        <item m="1" x="1055"/>
        <item m="1" x="516"/>
        <item m="1" x="1032"/>
        <item m="1" x="491"/>
        <item m="1" x="1005"/>
        <item m="1" x="467"/>
        <item m="1" x="989"/>
        <item m="1" x="451"/>
        <item m="1" x="970"/>
        <item m="1" x="566"/>
        <item m="1" x="1078"/>
        <item m="1" x="789"/>
        <item m="1" x="249"/>
        <item m="1" x="760"/>
        <item m="1" x="222"/>
        <item m="1" x="729"/>
        <item m="1" x="190"/>
        <item m="1" x="704"/>
        <item m="1" x="174"/>
        <item m="1" x="688"/>
        <item m="1" x="303"/>
        <item m="1" x="814"/>
        <item m="1" x="273"/>
        <item m="1" x="783"/>
        <item m="1" x="242"/>
        <item m="1" x="753"/>
        <item m="1" x="215"/>
        <item m="1" x="722"/>
        <item m="1" x="183"/>
        <item m="1" x="542"/>
        <item m="1" x="1054"/>
        <item m="1" x="515"/>
        <item m="1" x="1031"/>
        <item m="1" x="490"/>
        <item m="1" x="1004"/>
        <item m="1" x="466"/>
        <item m="1" x="988"/>
        <item m="1" x="450"/>
        <item m="1" x="1102"/>
        <item m="1" x="565"/>
        <item m="1" x="1077"/>
        <item m="1" x="535"/>
        <item m="1" x="1046"/>
        <item m="1" x="507"/>
        <item m="1" x="1024"/>
        <item m="1" x="482"/>
        <item m="1" x="996"/>
        <item m="1" x="731"/>
        <item m="1" x="558"/>
        <item m="1" x="168"/>
        <item x="33"/>
        <item x="34"/>
        <item x="35"/>
        <item x="36"/>
        <item m="1" x="945"/>
        <item m="1" x="957"/>
        <item m="1" x="964"/>
        <item m="1" x="860"/>
        <item m="1" x="885"/>
        <item m="1" x="905"/>
        <item m="1" x="620"/>
        <item m="1" x="92"/>
        <item m="1" x="671"/>
        <item m="1" x="141"/>
        <item m="1" x="662"/>
        <item m="1" x="137"/>
        <item m="1" x="654"/>
        <item m="1" x="123"/>
        <item m="1" x="643"/>
        <item m="1" x="1030"/>
        <item m="1" x="488"/>
        <item m="1" x="1003"/>
        <item m="1" x="464"/>
        <item m="1" x="987"/>
        <item m="1" x="448"/>
        <item m="1" x="1100"/>
        <item m="1" x="562"/>
        <item m="1" x="1075"/>
        <item m="1" x="532"/>
        <item m="1" x="1044"/>
        <item m="1" x="504"/>
        <item m="1" x="1023"/>
        <item m="1" x="480"/>
        <item m="1" x="995"/>
        <item m="1" x="457"/>
        <item m="1" x="1122"/>
        <item m="1" x="583"/>
        <item m="1" x="1094"/>
        <item m="1" x="555"/>
        <item m="1" x="1071"/>
        <item m="1" x="527"/>
        <item m="1" x="1039"/>
        <item m="1" x="499"/>
        <item m="1" x="1017"/>
        <item m="1" x="475"/>
        <item m="1" x="83"/>
        <item m="1" x="600"/>
        <item m="1" x="1119"/>
        <item m="1" x="579"/>
        <item m="1" x="1090"/>
        <item m="1" x="551"/>
        <item m="1" x="1067"/>
        <item m="1" x="523"/>
        <item m="1" x="1034"/>
        <item m="1" x="494"/>
        <item m="1" x="100"/>
        <item m="1" x="614"/>
        <item m="1" x="79"/>
        <item m="1" x="596"/>
        <item m="1" x="1115"/>
        <item m="1" x="575"/>
        <item m="1" x="1085"/>
        <item m="1" x="546"/>
        <item m="1" x="1064"/>
        <item m="1" x="520"/>
        <item m="1" x="107"/>
        <item m="1" x="626"/>
        <item m="1" x="97"/>
        <item m="1" x="611"/>
        <item m="1" x="75"/>
        <item m="1" x="592"/>
        <item m="1" x="1112"/>
        <item m="1" x="572"/>
        <item m="1" x="1083"/>
        <item m="1" x="544"/>
        <item m="1" x="121"/>
        <item m="1" x="788"/>
        <item m="1" x="248"/>
        <item m="1" x="759"/>
        <item m="1" x="221"/>
        <item m="1" x="728"/>
        <item m="1" x="189"/>
        <item m="1" x="703"/>
        <item m="1" x="172"/>
        <item m="1" x="687"/>
        <item m="1" x="301"/>
        <item m="1" x="812"/>
        <item m="1" x="271"/>
        <item m="1" x="781"/>
        <item m="1" x="240"/>
        <item m="1" x="751"/>
        <item m="1" x="212"/>
        <item m="1" x="720"/>
        <item m="1" x="182"/>
        <item m="1" x="696"/>
        <item m="1" x="327"/>
        <item m="1" x="836"/>
        <item m="1" x="296"/>
        <item m="1" x="807"/>
        <item m="1" x="266"/>
        <item m="1" x="776"/>
        <item m="1" x="235"/>
        <item m="1" x="745"/>
        <item m="1" x="205"/>
        <item m="1" x="715"/>
        <item m="1" x="354"/>
        <item m="1" x="863"/>
        <item m="1" x="322"/>
        <item m="1" x="831"/>
        <item m="1" x="291"/>
        <item m="1" x="801"/>
        <item m="1" x="261"/>
        <item m="1" x="770"/>
        <item m="1" x="228"/>
        <item m="1" x="740"/>
        <item m="1" x="378"/>
        <item m="1" x="888"/>
        <item m="1" x="349"/>
        <item m="1" x="856"/>
        <item m="1" x="317"/>
        <item m="1" x="825"/>
        <item m="1" x="285"/>
        <item m="1" x="795"/>
        <item m="1" x="254"/>
        <item m="1" x="765"/>
        <item m="1" x="399"/>
        <item m="1" x="908"/>
        <item m="1" x="373"/>
        <item m="1" x="881"/>
        <item m="1" x="343"/>
        <item m="1" x="850"/>
        <item m="1" x="311"/>
        <item m="1" x="820"/>
        <item m="1" x="280"/>
        <item m="1" x="792"/>
        <item m="1" x="415"/>
        <item m="1" x="926"/>
        <item m="1" x="394"/>
        <item m="1" x="903"/>
        <item m="1" x="368"/>
        <item m="1" x="876"/>
        <item m="1" x="339"/>
        <item m="1" x="846"/>
        <item m="1" x="307"/>
        <item m="1" x="817"/>
        <item m="1" x="426"/>
        <item m="1" x="941"/>
        <item m="1" x="411"/>
        <item m="1" x="922"/>
        <item m="1" x="390"/>
        <item m="1" x="899"/>
        <item m="1" x="364"/>
        <item m="1" x="872"/>
        <item m="1" x="335"/>
        <item m="1" x="843"/>
        <item m="1" x="434"/>
        <item m="1" x="951"/>
        <item m="1" x="422"/>
        <item m="1" x="937"/>
        <item m="1" x="407"/>
        <item m="1" x="918"/>
        <item m="1" x="386"/>
        <item m="1" x="895"/>
        <item m="1" x="360"/>
        <item m="1" x="869"/>
        <item m="1" x="437"/>
        <item m="1" x="959"/>
        <item m="1" x="430"/>
        <item m="1" x="947"/>
        <item m="1" x="418"/>
        <item m="1" x="933"/>
        <item m="1" x="403"/>
        <item m="1" x="915"/>
        <item m="1" x="383"/>
        <item m="1" x="893"/>
        <item m="1" x="331"/>
        <item m="1" x="841"/>
        <item m="1" x="302"/>
        <item m="1" x="813"/>
        <item m="1" x="272"/>
        <item m="1" x="782"/>
        <item m="1" x="241"/>
        <item m="1" x="752"/>
        <item m="1" x="213"/>
        <item m="1" x="721"/>
        <item m="1" x="357"/>
        <item m="1" x="867"/>
        <item m="1" x="328"/>
        <item m="1" x="837"/>
        <item x="71"/>
        <item m="1" x="713"/>
        <item m="1" x="738"/>
        <item m="1" x="763"/>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compact="0" showAll="0" defaultSubtotal="0">
      <items count="1505">
        <item m="1" x="589"/>
        <item m="1" x="728"/>
        <item m="1" x="1036"/>
        <item m="1" x="628"/>
        <item m="1" x="340"/>
        <item m="1" x="978"/>
        <item m="1" x="701"/>
        <item m="1" x="236"/>
        <item m="1" x="876"/>
        <item m="1" x="1070"/>
        <item m="1" x="706"/>
        <item m="1" x="1364"/>
        <item m="1" x="824"/>
        <item m="1" x="330"/>
        <item m="1" x="609"/>
        <item m="1" x="405"/>
        <item m="1" x="473"/>
        <item m="1" x="272"/>
        <item m="1" x="240"/>
        <item m="1" x="1381"/>
        <item m="1" x="353"/>
        <item m="1" x="137"/>
        <item m="1" x="1190"/>
        <item m="1" x="526"/>
        <item m="1" x="1422"/>
        <item m="1" x="830"/>
        <item m="1" x="339"/>
        <item m="1" x="1118"/>
        <item m="1" x="723"/>
        <item m="1" x="118"/>
        <item m="1" x="119"/>
        <item m="1" x="574"/>
        <item m="1" x="283"/>
        <item m="1" x="284"/>
        <item m="1" x="1001"/>
        <item m="1" x="1372"/>
        <item m="1" x="1135"/>
        <item m="1" x="310"/>
        <item m="1" x="1220"/>
        <item m="1" x="975"/>
        <item m="1" x="264"/>
        <item m="1" x="1309"/>
        <item m="1" x="458"/>
        <item m="1" x="779"/>
        <item m="1" x="201"/>
        <item m="1" x="827"/>
        <item m="1" x="1086"/>
        <item m="1" x="408"/>
        <item m="1" x="590"/>
        <item m="1" x="1425"/>
        <item m="1" x="492"/>
        <item m="1" x="1203"/>
        <item m="1" x="600"/>
        <item x="11"/>
        <item m="1" x="345"/>
        <item m="1" x="983"/>
        <item m="1" x="358"/>
        <item m="1" x="258"/>
        <item m="1" x="1023"/>
        <item m="1" x="675"/>
        <item m="1" x="144"/>
        <item m="1" x="267"/>
        <item m="1" x="1213"/>
        <item m="1" x="569"/>
        <item m="1" x="1030"/>
        <item m="1" x="289"/>
        <item m="1" x="286"/>
        <item m="1" x="1028"/>
        <item m="1" x="1006"/>
        <item m="1" x="529"/>
        <item m="1" x="452"/>
        <item m="1" x="523"/>
        <item m="1" x="278"/>
        <item m="1" x="1265"/>
        <item m="1" x="460"/>
        <item m="1" x="302"/>
        <item m="1" x="1106"/>
        <item m="1" x="1002"/>
        <item m="1" x="1087"/>
        <item m="1" x="775"/>
        <item m="1" x="359"/>
        <item m="1" x="627"/>
        <item m="1" x="652"/>
        <item m="1" x="309"/>
        <item m="1" x="869"/>
        <item m="1" x="587"/>
        <item m="1" x="1119"/>
        <item m="1" x="341"/>
        <item m="1" x="762"/>
        <item m="1" x="1178"/>
        <item m="1" x="805"/>
        <item m="1" x="710"/>
        <item m="1" x="711"/>
        <item m="1" x="1095"/>
        <item m="1" x="111"/>
        <item m="1" x="546"/>
        <item m="1" x="1377"/>
        <item m="1" x="1481"/>
        <item m="1" x="518"/>
        <item m="1" x="203"/>
        <item m="1" x="924"/>
        <item m="1" x="544"/>
        <item m="1" x="734"/>
        <item m="1" x="1091"/>
        <item m="1" x="519"/>
        <item m="1" x="727"/>
        <item m="1" x="691"/>
        <item m="1" x="905"/>
        <item m="1" x="767"/>
        <item m="1" x="204"/>
        <item m="1" x="472"/>
        <item m="1" x="1321"/>
        <item m="1" x="224"/>
        <item m="1" x="679"/>
        <item m="1" x="1153"/>
        <item m="1" x="206"/>
        <item m="1" x="621"/>
        <item m="1" x="1192"/>
        <item m="1" x="485"/>
        <item m="1" x="619"/>
        <item m="1" x="200"/>
        <item m="1" x="610"/>
        <item m="1" x="952"/>
        <item m="1" x="1441"/>
        <item m="1" x="1262"/>
        <item m="1" x="1201"/>
        <item m="1" x="1051"/>
        <item m="1" x="1328"/>
        <item m="1" x="1189"/>
        <item m="1" x="499"/>
        <item m="1" x="490"/>
        <item m="1" x="336"/>
        <item m="1" x="813"/>
        <item m="1" x="1311"/>
        <item m="1" x="645"/>
        <item m="1" x="1229"/>
        <item m="1" x="211"/>
        <item m="1" x="296"/>
        <item m="1" x="1249"/>
        <item m="1" x="623"/>
        <item m="1" x="1259"/>
        <item m="1" x="1396"/>
        <item m="1" x="588"/>
        <item m="1" x="383"/>
        <item m="1" x="1149"/>
        <item m="1" x="394"/>
        <item m="1" x="425"/>
        <item m="1" x="640"/>
        <item m="1" x="314"/>
        <item m="1" x="1410"/>
        <item m="1" x="271"/>
        <item m="1" x="498"/>
        <item m="1" x="885"/>
        <item m="1" x="385"/>
        <item m="1" x="1038"/>
        <item m="1" x="178"/>
        <item m="1" x="346"/>
        <item m="1" x="776"/>
        <item m="1" x="146"/>
        <item m="1" x="934"/>
        <item m="1" x="194"/>
        <item m="1" x="395"/>
        <item m="1" x="707"/>
        <item m="1" x="1409"/>
        <item m="1" x="708"/>
        <item m="1" x="1263"/>
        <item m="1" x="823"/>
        <item x="47"/>
        <item m="1" x="973"/>
        <item m="1" x="950"/>
        <item m="1" x="936"/>
        <item m="1" x="288"/>
        <item m="1" x="401"/>
        <item m="1" x="1353"/>
        <item m="1" x="285"/>
        <item m="1" x="455"/>
        <item m="1" x="1145"/>
        <item m="1" x="954"/>
        <item m="1" x="542"/>
        <item m="1" x="115"/>
        <item m="1" x="252"/>
        <item m="1" x="131"/>
        <item m="1" x="213"/>
        <item m="1" x="570"/>
        <item m="1" x="229"/>
        <item m="1" x="270"/>
        <item m="1" x="300"/>
        <item m="1" x="979"/>
        <item m="1" x="1142"/>
        <item m="1" x="1179"/>
        <item m="1" x="1335"/>
        <item m="1" x="120"/>
        <item m="1" x="1180"/>
        <item m="1" x="1336"/>
        <item m="1" x="121"/>
        <item m="1" x="325"/>
        <item m="1" x="470"/>
        <item m="1" x="1147"/>
        <item m="1" x="1341"/>
        <item m="1" x="1446"/>
        <item x="3"/>
        <item m="1" x="1362"/>
        <item m="1" x="608"/>
        <item m="1" x="981"/>
        <item m="1" x="1040"/>
        <item m="1" x="1317"/>
        <item m="1" x="1099"/>
        <item m="1" x="481"/>
        <item m="1" x="837"/>
        <item m="1" x="736"/>
        <item m="1" x="475"/>
        <item m="1" x="469"/>
        <item m="1" x="1027"/>
        <item m="1" x="760"/>
        <item m="1" x="230"/>
        <item m="1" x="995"/>
        <item m="1" x="1208"/>
        <item m="1" x="503"/>
        <item m="1" x="388"/>
        <item m="1" x="953"/>
        <item m="1" x="962"/>
        <item m="1" x="686"/>
        <item m="1" x="1283"/>
        <item m="1" x="1108"/>
        <item m="1" x="1264"/>
        <item m="1" x="1133"/>
        <item m="1" x="1032"/>
        <item m="1" x="769"/>
        <item m="1" x="1450"/>
        <item m="1" x="702"/>
        <item m="1" x="217"/>
        <item m="1" x="371"/>
        <item x="10"/>
        <item m="1" x="1495"/>
        <item m="1" x="362"/>
        <item m="1" x="172"/>
        <item m="1" x="515"/>
        <item m="1" x="1488"/>
        <item m="1" x="500"/>
        <item m="1" x="1401"/>
        <item m="1" x="157"/>
        <item m="1" x="568"/>
        <item m="1" x="581"/>
        <item m="1" x="630"/>
        <item m="1" x="368"/>
        <item m="1" x="1400"/>
        <item m="1" x="1390"/>
        <item m="1" x="1089"/>
        <item m="1" x="576"/>
        <item m="1" x="372"/>
        <item m="1" x="752"/>
        <item m="1" x="255"/>
        <item m="1" x="836"/>
        <item m="1" x="853"/>
        <item m="1" x="1301"/>
        <item m="1" x="317"/>
        <item m="1" x="462"/>
        <item m="1" x="257"/>
        <item m="1" x="210"/>
        <item m="1" x="1069"/>
        <item m="1" x="1501"/>
        <item m="1" x="265"/>
        <item m="1" x="1222"/>
        <item m="1" x="774"/>
        <item m="1" x="479"/>
        <item m="1" x="968"/>
        <item m="1" x="858"/>
        <item m="1" x="1462"/>
        <item m="1" x="189"/>
        <item m="1" x="366"/>
        <item m="1" x="397"/>
        <item m="1" x="1167"/>
        <item m="1" x="646"/>
        <item m="1" x="866"/>
        <item m="1" x="955"/>
        <item m="1" x="1157"/>
        <item m="1" x="899"/>
        <item m="1" x="1434"/>
        <item m="1" x="369"/>
        <item m="1" x="450"/>
        <item x="30"/>
        <item m="1" x="844"/>
        <item m="1" x="1352"/>
        <item m="1" x="1015"/>
        <item m="1" x="994"/>
        <item m="1" x="489"/>
        <item m="1" x="871"/>
        <item m="1" x="248"/>
        <item m="1" x="976"/>
        <item m="1" x="578"/>
        <item m="1" x="328"/>
        <item m="1" x="681"/>
        <item m="1" x="167"/>
        <item m="1" x="712"/>
        <item m="1" x="605"/>
        <item m="1" x="1168"/>
        <item m="1" x="1219"/>
        <item m="1" x="1376"/>
        <item m="1" x="537"/>
        <item m="1" x="988"/>
        <item m="1" x="234"/>
        <item m="1" x="944"/>
        <item m="1" x="703"/>
        <item m="1" x="631"/>
        <item m="1" x="453"/>
        <item m="1" x="1034"/>
        <item m="1" x="841"/>
        <item m="1" x="1115"/>
        <item m="1" x="316"/>
        <item m="1" x="847"/>
        <item m="1" x="848"/>
        <item m="1" x="946"/>
        <item m="1" x="1419"/>
        <item m="1" x="1114"/>
        <item m="1" x="329"/>
        <item m="1" x="969"/>
        <item m="1" x="1185"/>
        <item m="1" x="129"/>
        <item m="1" x="1417"/>
        <item m="1" x="1256"/>
        <item m="1" x="1412"/>
        <item m="1" x="1093"/>
        <item m="1" x="1363"/>
        <item m="1" x="1475"/>
        <item m="1" x="1329"/>
        <item m="1" x="1338"/>
        <item m="1" x="766"/>
        <item m="1" x="951"/>
        <item m="1" x="777"/>
        <item m="1" x="1166"/>
        <item m="1" x="729"/>
        <item m="1" x="1281"/>
        <item m="1" x="436"/>
        <item m="1" x="602"/>
        <item m="1" x="1429"/>
        <item m="1" x="972"/>
        <item m="1" x="342"/>
        <item m="1" x="116"/>
        <item m="1" x="781"/>
        <item m="1" x="622"/>
        <item m="1" x="182"/>
        <item m="1" x="806"/>
        <item m="1" x="911"/>
        <item m="1" x="1170"/>
        <item x="32"/>
        <item m="1" x="357"/>
        <item m="1" x="1138"/>
        <item m="1" x="1005"/>
        <item m="1" x="1020"/>
        <item m="1" x="352"/>
        <item m="1" x="671"/>
        <item m="1" x="678"/>
        <item m="1" x="838"/>
        <item m="1" x="803"/>
        <item m="1" x="804"/>
        <item m="1" x="322"/>
        <item m="1" x="262"/>
        <item m="1" x="320"/>
        <item m="1" x="337"/>
        <item m="1" x="763"/>
        <item m="1" x="764"/>
        <item m="1" x="1483"/>
        <item m="1" x="1484"/>
        <item m="1" x="1128"/>
        <item m="1" x="722"/>
        <item m="1" x="457"/>
        <item m="1" x="1100"/>
        <item m="1" x="495"/>
        <item m="1" x="1227"/>
        <item m="1" x="491"/>
        <item m="1" x="1415"/>
        <item m="1" x="402"/>
        <item m="1" x="382"/>
        <item m="1" x="249"/>
        <item m="1" x="802"/>
        <item m="1" x="373"/>
        <item m="1" x="1375"/>
        <item m="1" x="1391"/>
        <item m="1" x="654"/>
        <item m="1" x="528"/>
        <item m="1" x="606"/>
        <item m="1" x="1485"/>
        <item m="1" x="128"/>
        <item m="1" x="1257"/>
        <item m="1" x="109"/>
        <item m="1" x="694"/>
        <item m="1" x="584"/>
        <item m="1" x="193"/>
        <item m="1" x="575"/>
        <item m="1" x="696"/>
        <item m="1" x="160"/>
        <item m="1" x="1411"/>
        <item m="1" x="787"/>
        <item m="1" x="601"/>
        <item m="1" x="1277"/>
        <item m="1" x="922"/>
        <item m="1" x="1072"/>
        <item m="1" x="1241"/>
        <item m="1" x="202"/>
        <item m="1" x="1337"/>
        <item m="1" x="501"/>
        <item m="1" x="620"/>
        <item m="1" x="870"/>
        <item m="1" x="1325"/>
        <item m="1" x="242"/>
        <item m="1" x="260"/>
        <item m="1" x="1431"/>
        <item m="1" x="961"/>
        <item m="1" x="888"/>
        <item m="1" x="742"/>
        <item m="1" x="207"/>
        <item m="1" x="1198"/>
        <item m="1" x="788"/>
        <item m="1" x="558"/>
        <item m="1" x="674"/>
        <item m="1" x="1420"/>
        <item m="1" x="980"/>
        <item m="1" x="232"/>
        <item m="1" x="507"/>
        <item m="1" x="104"/>
        <item m="1" x="333"/>
        <item m="1" x="171"/>
        <item m="1" x="292"/>
        <item m="1" x="1439"/>
        <item m="1" x="199"/>
        <item m="1" x="790"/>
        <item m="1" x="1346"/>
        <item m="1" x="1065"/>
        <item m="1" x="514"/>
        <item m="1" x="822"/>
        <item m="1" x="1244"/>
        <item m="1" x="1137"/>
        <item m="1" x="348"/>
        <item m="1" x="536"/>
        <item m="1" x="1156"/>
        <item m="1" x="755"/>
        <item m="1" x="798"/>
        <item m="1" x="845"/>
        <item m="1" x="1300"/>
        <item m="1" x="512"/>
        <item m="1" x="1399"/>
        <item m="1" x="356"/>
        <item m="1" x="280"/>
        <item m="1" x="313"/>
        <item m="1" x="463"/>
        <item m="1" x="1295"/>
        <item m="1" x="945"/>
        <item m="1" x="295"/>
        <item m="1" x="438"/>
        <item m="1" x="386"/>
        <item m="1" x="276"/>
        <item m="1" x="1048"/>
        <item m="1" x="277"/>
        <item m="1" x="1046"/>
        <item m="1" x="103"/>
        <item m="1" x="650"/>
        <item m="1" x="451"/>
        <item m="1" x="1011"/>
        <item m="1" x="251"/>
        <item m="1" x="161"/>
        <item m="1" x="1255"/>
        <item m="1" x="807"/>
        <item m="1" x="461"/>
        <item m="1" x="1405"/>
        <item m="1" x="403"/>
        <item m="1" x="919"/>
        <item m="1" x="571"/>
        <item m="1" x="1084"/>
        <item m="1" x="1082"/>
        <item m="1" x="1394"/>
        <item m="1" x="965"/>
        <item m="1" x="1215"/>
        <item m="1" x="446"/>
        <item m="1" x="233"/>
        <item m="1" x="753"/>
        <item m="1" x="987"/>
        <item m="1" x="1022"/>
        <item m="1" x="1164"/>
        <item m="1" x="541"/>
        <item m="1" x="1500"/>
        <item m="1" x="165"/>
        <item m="1" x="231"/>
        <item m="1" x="1144"/>
        <item m="1" x="412"/>
        <item m="1" x="817"/>
        <item m="1" x="586"/>
        <item m="1" x="1207"/>
        <item m="1" x="604"/>
        <item m="1" x="1502"/>
        <item m="1" x="1306"/>
        <item m="1" x="1085"/>
        <item m="1" x="1214"/>
        <item m="1" x="1242"/>
        <item m="1" x="1282"/>
        <item m="1" x="1303"/>
        <item m="1" x="293"/>
        <item m="1" x="294"/>
        <item m="1" x="1136"/>
        <item m="1" x="1103"/>
        <item m="1" x="854"/>
        <item m="1" x="530"/>
        <item m="1" x="471"/>
        <item m="1" x="493"/>
        <item m="1" x="105"/>
        <item m="1" x="531"/>
        <item m="1" x="406"/>
        <item m="1" x="1297"/>
        <item m="1" x="1188"/>
        <item m="1" x="563"/>
        <item m="1" x="441"/>
        <item m="1" x="1226"/>
        <item m="1" x="1331"/>
        <item m="1" x="347"/>
        <item m="1" x="572"/>
        <item m="1" x="1092"/>
        <item m="1" x="577"/>
        <item m="1" x="993"/>
        <item m="1" x="535"/>
        <item m="1" x="389"/>
        <item m="1" x="1113"/>
        <item m="1" x="559"/>
        <item m="1" x="1271"/>
        <item m="1" x="1270"/>
        <item m="1" x="410"/>
        <item m="1" x="908"/>
        <item m="1" x="662"/>
        <item m="1" x="1210"/>
        <item m="1" x="1356"/>
        <item m="1" x="134"/>
        <item m="1" x="275"/>
        <item m="1" x="984"/>
        <item m="1" x="521"/>
        <item m="1" x="520"/>
        <item m="1" x="1447"/>
        <item m="1" x="1448"/>
        <item m="1" x="1129"/>
        <item m="1" x="1342"/>
        <item m="1" x="868"/>
        <item m="1" x="967"/>
        <item m="1" x="174"/>
        <item m="1" x="184"/>
        <item m="1" x="474"/>
        <item m="1" x="1223"/>
        <item m="1" x="127"/>
        <item m="1" x="1224"/>
        <item m="1" x="758"/>
        <item m="1" x="1314"/>
        <item m="1" x="365"/>
        <item m="1" x="225"/>
        <item m="1" x="1397"/>
        <item m="1" x="1090"/>
        <item m="1" x="477"/>
        <item m="1" x="948"/>
        <item m="1" x="741"/>
        <item m="1" x="704"/>
        <item m="1" x="852"/>
        <item m="1" x="1308"/>
        <item m="1" x="1280"/>
        <item m="1" x="898"/>
        <item m="1" x="179"/>
        <item m="1" x="417"/>
        <item m="1" x="947"/>
        <item m="1" x="349"/>
        <item m="1" x="772"/>
        <item m="1" x="1236"/>
        <item m="1" x="253"/>
        <item m="1" x="192"/>
        <item m="1" x="1302"/>
        <item m="1" x="638"/>
        <item m="1" x="909"/>
        <item m="1" x="447"/>
        <item m="1" x="635"/>
        <item m="1" x="716"/>
        <item m="1" x="423"/>
        <item m="1" x="561"/>
        <item m="1" x="404"/>
        <item m="1" x="685"/>
        <item m="1" x="1047"/>
        <item m="1" x="1003"/>
        <item m="1" x="1493"/>
        <item m="1" x="689"/>
        <item m="1" x="261"/>
        <item m="1" x="756"/>
        <item m="1" x="1284"/>
        <item m="1" x="956"/>
        <item m="1" x="773"/>
        <item m="1" x="169"/>
        <item m="1" x="796"/>
        <item m="1" x="486"/>
        <item m="1" x="476"/>
        <item m="1" x="724"/>
        <item m="1" x="170"/>
        <item m="1" x="239"/>
        <item m="1" x="1389"/>
        <item m="1" x="1435"/>
        <item m="1" x="1035"/>
        <item m="1" x="1385"/>
        <item m="1" x="719"/>
        <item m="1" x="1140"/>
        <item m="1" x="117"/>
        <item m="1" x="1479"/>
        <item m="1" x="778"/>
        <item m="1" x="720"/>
        <item m="1" x="1120"/>
        <item m="1" x="903"/>
        <item m="1" x="344"/>
        <item m="1" x="637"/>
        <item m="1" x="1132"/>
        <item m="1" x="585"/>
        <item m="1" x="698"/>
        <item m="1" x="877"/>
        <item m="1" x="195"/>
        <item m="1" x="918"/>
        <item m="1" x="687"/>
        <item m="1" x="1260"/>
        <item m="1" x="1503"/>
        <item m="1" x="1031"/>
        <item m="1" x="828"/>
        <item m="1" x="1305"/>
        <item m="1" x="1202"/>
        <item m="1" x="173"/>
        <item m="1" x="737"/>
        <item m="1" x="656"/>
        <item m="1" x="533"/>
        <item m="1" x="989"/>
        <item m="1" x="839"/>
        <item m="1" x="1161"/>
        <item m="1" x="449"/>
        <item m="1" x="307"/>
        <item m="1" x="219"/>
        <item m="1" x="607"/>
        <item m="1" x="431"/>
        <item m="1" x="163"/>
        <item m="1" x="1045"/>
        <item m="1" x="456"/>
        <item m="1" x="851"/>
        <item m="1" x="649"/>
        <item m="1" x="483"/>
        <item m="1" x="982"/>
        <item m="1" x="1101"/>
        <item m="1" x="1018"/>
        <item m="1" x="1245"/>
        <item x="15"/>
        <item m="1" x="363"/>
        <item m="1" x="1239"/>
        <item m="1" x="846"/>
        <item m="1" x="1322"/>
        <item m="1" x="303"/>
        <item m="1" x="913"/>
        <item m="1" x="1110"/>
        <item m="1" x="1347"/>
        <item m="1" x="1251"/>
        <item m="1" x="381"/>
        <item m="1" x="991"/>
        <item m="1" x="1126"/>
        <item m="1" x="560"/>
        <item m="1" x="376"/>
        <item m="1" x="651"/>
        <item m="1" x="237"/>
        <item m="1" x="1152"/>
        <item m="1" x="926"/>
        <item m="1" x="222"/>
        <item m="1" x="1134"/>
        <item m="1" x="1163"/>
        <item m="1" x="135"/>
        <item m="1" x="335"/>
        <item m="1" x="709"/>
        <item m="1" x="188"/>
        <item m="1" x="439"/>
        <item m="1" x="1014"/>
        <item m="1" x="326"/>
        <item m="1" x="1258"/>
        <item m="1" x="818"/>
        <item m="1" x="676"/>
        <item m="1" x="971"/>
        <item m="1" x="668"/>
        <item m="1" x="690"/>
        <item m="1" x="664"/>
        <item m="1" x="901"/>
        <item m="1" x="565"/>
        <item m="1" x="287"/>
        <item m="1" x="1275"/>
        <item m="1" x="164"/>
        <item m="1" x="1171"/>
        <item m="1" x="393"/>
        <item m="1" x="865"/>
        <item m="1" x="1473"/>
        <item m="1" x="180"/>
        <item m="1" x="624"/>
        <item m="1" x="123"/>
        <item m="1" x="882"/>
        <item m="1" x="1111"/>
        <item m="1" x="1482"/>
        <item m="1" x="497"/>
        <item m="1" x="422"/>
        <item m="1" x="797"/>
        <item m="1" x="430"/>
        <item m="1" x="1102"/>
        <item m="1" x="1466"/>
        <item m="1" x="319"/>
        <item m="1" x="784"/>
        <item m="1" x="482"/>
        <item m="1" x="1139"/>
        <item m="1" x="250"/>
        <item m="1" x="639"/>
        <item m="1" x="1248"/>
        <item m="1" x="1486"/>
        <item m="1" x="168"/>
        <item m="1" x="831"/>
        <item m="1" x="594"/>
        <item m="1" x="970"/>
        <item m="1" x="1024"/>
        <item m="1" x="1162"/>
        <item m="1" x="930"/>
        <item m="1" x="133"/>
        <item m="1" x="516"/>
        <item m="1" x="384"/>
        <item m="1" x="768"/>
        <item m="1" x="361"/>
        <item m="1" x="1357"/>
        <item m="1" x="1037"/>
        <item m="1" x="1253"/>
        <item m="1" x="440"/>
        <item m="1" x="1494"/>
        <item m="1" x="912"/>
        <item m="1" x="435"/>
        <item m="1" x="1477"/>
        <item m="1" x="1476"/>
        <item m="1" x="185"/>
        <item m="1" x="312"/>
        <item m="1" x="355"/>
        <item m="1" x="1489"/>
        <item m="1" x="591"/>
        <item m="1" x="860"/>
        <item m="1" x="592"/>
        <item m="1" x="739"/>
        <item m="1" x="1359"/>
        <item m="1" x="332"/>
        <item m="1" x="959"/>
        <item m="1" x="175"/>
        <item m="1" x="1272"/>
        <item m="1" x="943"/>
        <item m="1" x="740"/>
        <item m="1" x="459"/>
        <item m="1" x="923"/>
        <item m="1" x="502"/>
        <item m="1" x="198"/>
        <item m="1" x="1141"/>
        <item m="1" x="887"/>
        <item m="1" x="1383"/>
        <item m="1" x="1250"/>
        <item m="1" x="517"/>
        <item m="1" x="415"/>
        <item m="1" x="196"/>
        <item m="1" x="974"/>
        <item m="1" x="122"/>
        <item m="1" x="1299"/>
        <item m="1" x="496"/>
        <item m="1" x="433"/>
        <item m="1" x="872"/>
        <item m="1" x="238"/>
        <item m="1" x="1408"/>
        <item m="1" x="205"/>
        <item m="1" x="857"/>
        <item m="1" x="789"/>
        <item m="1" x="1148"/>
        <item m="1" x="580"/>
        <item m="1" x="1197"/>
        <item m="1" x="113"/>
        <item m="1" x="1423"/>
        <item m="1" x="717"/>
        <item m="1" x="176"/>
        <item m="1" x="142"/>
        <item m="1" x="1487"/>
        <item m="1" x="1169"/>
        <item m="1" x="1266"/>
        <item m="1" x="427"/>
        <item m="1" x="538"/>
        <item m="1" x="1320"/>
        <item m="1" x="291"/>
        <item m="1" x="667"/>
        <item m="1" x="282"/>
        <item m="1" x="765"/>
        <item m="1" x="878"/>
        <item m="1" x="1288"/>
        <item m="1" x="1298"/>
        <item m="1" x="1313"/>
        <item m="1" x="904"/>
        <item m="1" x="886"/>
        <item m="1" x="360"/>
        <item m="1" x="527"/>
        <item m="1" x="1155"/>
        <item m="1" x="110"/>
        <item m="1" x="1285"/>
        <item m="1" x="648"/>
        <item m="1" x="241"/>
        <item m="1" x="791"/>
        <item m="1" x="759"/>
        <item m="1" x="1218"/>
        <item m="1" x="399"/>
        <item m="1" x="929"/>
        <item m="1" x="1294"/>
        <item m="1" x="733"/>
        <item m="1" x="549"/>
        <item m="1" x="454"/>
        <item m="1" x="855"/>
        <item m="1" x="1360"/>
        <item m="1" x="567"/>
        <item m="1" x="304"/>
        <item m="1" x="731"/>
        <item m="1" x="725"/>
        <item m="1" x="1430"/>
        <item m="1" x="1414"/>
        <item m="1" x="1465"/>
        <item m="1" x="1480"/>
        <item m="1" x="364"/>
        <item m="1" x="387"/>
        <item m="1" x="751"/>
        <item m="1" x="540"/>
        <item m="1" x="1361"/>
        <item m="1" x="298"/>
        <item m="1" x="467"/>
        <item m="1" x="1088"/>
        <item m="1" x="566"/>
        <item m="1" x="738"/>
        <item m="1" x="815"/>
        <item m="1" x="599"/>
        <item m="1" x="880"/>
        <item m="1" x="879"/>
        <item m="1" x="323"/>
        <item m="1" x="1316"/>
        <item m="1" x="138"/>
        <item m="1" x="226"/>
        <item m="1" x="927"/>
        <item m="1" x="801"/>
        <item m="1" x="782"/>
        <item m="1" x="245"/>
        <item m="1" x="1200"/>
        <item m="1" x="1469"/>
        <item m="1" x="243"/>
        <item m="1" x="1041"/>
        <item m="1" x="1471"/>
        <item m="1" x="859"/>
        <item m="1" x="1073"/>
        <item m="1" x="1472"/>
        <item m="1" x="1387"/>
        <item m="1" x="963"/>
        <item m="1" x="1217"/>
        <item m="1" x="468"/>
        <item m="1" x="1378"/>
        <item m="1" x="1009"/>
        <item m="1" x="1112"/>
        <item m="1" x="1228"/>
        <item m="1" x="1384"/>
        <item m="1" x="414"/>
        <item m="1" x="256"/>
        <item m="1" x="1221"/>
        <item m="1" x="1438"/>
        <item m="1" x="1187"/>
        <item m="1" x="1199"/>
        <item x="55"/>
        <item m="1" x="1382"/>
        <item m="1" x="214"/>
        <item m="1" x="949"/>
        <item m="1" x="1491"/>
        <item m="1" x="1158"/>
        <item m="1" x="416"/>
        <item m="1" x="820"/>
        <item m="1" x="484"/>
        <item m="1" x="921"/>
        <item m="1" x="159"/>
        <item m="1" x="351"/>
        <item m="1" x="442"/>
        <item m="1" x="443"/>
        <item m="1" x="444"/>
        <item m="1" x="274"/>
        <item m="1" x="273"/>
        <item m="1" x="379"/>
        <item m="1" x="643"/>
        <item m="1" x="1044"/>
        <item m="1" x="315"/>
        <item m="1" x="1492"/>
        <item m="1" x="254"/>
        <item m="1" x="508"/>
        <item m="1" x="190"/>
        <item m="1" x="140"/>
        <item m="1" x="1279"/>
        <item m="1" x="1104"/>
        <item m="1" x="532"/>
        <item m="1" x="246"/>
        <item m="1" x="1296"/>
        <item m="1" x="420"/>
        <item m="1" x="1343"/>
        <item m="1" x="155"/>
        <item m="1" x="413"/>
        <item m="1" x="1026"/>
        <item m="1" x="786"/>
        <item m="1" x="1323"/>
        <item m="1" x="1000"/>
        <item m="1" x="761"/>
        <item m="1" x="1379"/>
        <item m="1" x="705"/>
        <item m="1" x="1274"/>
        <item m="1" x="1427"/>
        <item m="1" x="197"/>
        <item m="1" x="1461"/>
        <item m="1" x="653"/>
        <item m="1" x="856"/>
        <item m="1" x="398"/>
        <item m="1" x="1267"/>
        <item m="1" x="126"/>
        <item m="1" x="1373"/>
        <item m="1" x="695"/>
        <item m="1" x="1172"/>
        <item m="1" x="1173"/>
        <item m="1" x="1174"/>
        <item m="1" x="1175"/>
        <item m="1" x="1176"/>
        <item m="1" x="1177"/>
        <item m="1" x="1463"/>
        <item m="1" x="1464"/>
        <item m="1" x="1230"/>
        <item m="1" x="1231"/>
        <item m="1" x="1232"/>
        <item m="1" x="1233"/>
        <item m="1" x="1234"/>
        <item m="1" x="1235"/>
        <item m="1" x="670"/>
        <item m="1" x="562"/>
        <item m="1" x="1122"/>
        <item m="1" x="799"/>
        <item m="1" x="1497"/>
        <item m="1" x="1498"/>
        <item m="1" x="1496"/>
        <item m="1" x="1499"/>
        <item m="1" x="1097"/>
        <item m="1" x="1098"/>
        <item m="1" x="1395"/>
        <item m="1" x="488"/>
        <item m="1" x="726"/>
        <item m="1" x="1348"/>
        <item m="1" x="832"/>
        <item m="1" x="1123"/>
        <item m="1" x="829"/>
        <item m="1" x="411"/>
        <item m="1" x="693"/>
        <item m="1" x="1269"/>
        <item m="1" x="1182"/>
        <item m="1" x="108"/>
        <item m="1" x="1358"/>
        <item m="1" x="297"/>
        <item m="1" x="977"/>
        <item m="1" x="1053"/>
        <item m="1" x="1054"/>
        <item m="1" x="1055"/>
        <item m="1" x="1056"/>
        <item m="1" x="1057"/>
        <item m="1" x="1058"/>
        <item m="1" x="1059"/>
        <item m="1" x="1060"/>
        <item m="1" x="1061"/>
        <item m="1" x="1062"/>
        <item m="1" x="1063"/>
        <item m="1" x="1064"/>
        <item m="1" x="147"/>
        <item m="1" x="148"/>
        <item m="1" x="149"/>
        <item m="1" x="150"/>
        <item m="1" x="151"/>
        <item m="1" x="152"/>
        <item m="1" x="153"/>
        <item m="1" x="154"/>
        <item m="1" x="611"/>
        <item m="1" x="612"/>
        <item m="1" x="613"/>
        <item m="1" x="614"/>
        <item m="1" x="615"/>
        <item m="1" x="616"/>
        <item m="1" x="617"/>
        <item m="1" x="618"/>
        <item m="1" x="890"/>
        <item m="1" x="891"/>
        <item m="1" x="892"/>
        <item m="1" x="893"/>
        <item m="1" x="894"/>
        <item m="1" x="895"/>
        <item m="1" x="896"/>
        <item m="1" x="897"/>
        <item m="1" x="1350"/>
        <item m="1" x="1351"/>
        <item m="1" x="937"/>
        <item m="1" x="938"/>
        <item m="1" x="939"/>
        <item m="1" x="940"/>
        <item m="1" x="941"/>
        <item m="1" x="942"/>
        <item m="1" x="1365"/>
        <item m="1" x="1366"/>
        <item m="1" x="1367"/>
        <item m="1" x="1368"/>
        <item m="1" x="1369"/>
        <item m="1" x="1370"/>
        <item m="1" x="743"/>
        <item m="1" x="744"/>
        <item m="1" x="745"/>
        <item m="1" x="746"/>
        <item m="1" x="747"/>
        <item m="1" x="748"/>
        <item m="1" x="749"/>
        <item m="1" x="750"/>
        <item m="1" x="1453"/>
        <item m="1" x="1454"/>
        <item m="1" x="1455"/>
        <item m="1" x="1456"/>
        <item m="1" x="1457"/>
        <item m="1" x="1458"/>
        <item m="1" x="1459"/>
        <item m="1" x="1460"/>
        <item m="1" x="550"/>
        <item m="1" x="551"/>
        <item m="1" x="552"/>
        <item m="1" x="553"/>
        <item m="1" x="554"/>
        <item m="1" x="555"/>
        <item m="1" x="556"/>
        <item m="1" x="557"/>
        <item m="1" x="1074"/>
        <item m="1" x="1075"/>
        <item m="1" x="1076"/>
        <item m="1" x="1077"/>
        <item m="1" x="1033"/>
        <item m="1" x="809"/>
        <item m="1" x="632"/>
        <item m="1" x="633"/>
        <item m="1" x="634"/>
        <item m="1" x="636"/>
        <item m="1" x="935"/>
        <item m="1" x="834"/>
        <item m="1" x="324"/>
        <item m="1" x="426"/>
        <item m="1" x="1042"/>
        <item m="1" x="136"/>
        <item m="1" x="850"/>
        <item m="1" x="396"/>
        <item m="1" x="780"/>
        <item m="1" x="957"/>
        <item m="1" x="1312"/>
        <item m="1" x="505"/>
        <item m="1" x="1181"/>
        <item m="1" x="1444"/>
        <item m="1" x="1191"/>
        <item m="1" x="1416"/>
        <item m="1" x="867"/>
        <item m="1" x="227"/>
        <item m="1" x="1080"/>
        <item m="1" x="1081"/>
        <item m="1" x="478"/>
        <item m="1" x="795"/>
        <item m="1" x="221"/>
        <item m="1" x="1068"/>
        <item m="1" x="792"/>
        <item m="1" x="595"/>
        <item m="1" x="1184"/>
        <item m="1" x="660"/>
        <item m="1" x="697"/>
        <item m="1" x="511"/>
        <item m="1" x="1240"/>
        <item m="1" x="1205"/>
        <item m="1" x="1392"/>
        <item m="1" x="106"/>
        <item m="1" x="1013"/>
        <item m="1" x="1326"/>
        <item m="1" x="785"/>
        <item m="1" x="819"/>
        <item m="1" x="990"/>
        <item m="1" x="1107"/>
        <item m="1" x="1237"/>
        <item m="1" x="1165"/>
        <item m="1" x="1478"/>
        <item m="1" x="881"/>
        <item m="1" x="642"/>
        <item m="1" x="812"/>
        <item m="1" x="1276"/>
        <item m="1" x="513"/>
        <item m="1" x="424"/>
        <item m="1" x="1504"/>
        <item m="1" x="1109"/>
        <item m="1" x="419"/>
        <item m="1" x="669"/>
        <item m="1" x="665"/>
        <item m="1" x="1468"/>
        <item m="1" x="666"/>
        <item m="1" x="721"/>
        <item m="1" x="800"/>
        <item m="1" x="209"/>
        <item m="1" x="1403"/>
        <item m="1" x="1421"/>
        <item m="1" x="543"/>
        <item m="1" x="1304"/>
        <item m="1" x="997"/>
        <item m="1" x="998"/>
        <item m="1" x="999"/>
        <item m="1" x="378"/>
        <item m="1" x="1426"/>
        <item m="1" x="139"/>
        <item m="1" x="162"/>
        <item m="1" x="1490"/>
        <item m="1" x="864"/>
        <item m="1" x="1125"/>
        <item m="1" x="421"/>
        <item m="1" x="1344"/>
        <item m="1" x="1286"/>
        <item m="1" x="582"/>
        <item m="1" x="1124"/>
        <item m="1" x="466"/>
        <item m="1" x="659"/>
        <item m="1" x="114"/>
        <item m="1" x="771"/>
        <item m="1" x="1467"/>
        <item m="1" x="186"/>
        <item m="1" x="343"/>
        <item m="1" x="1293"/>
        <item m="1" x="269"/>
        <item m="1" x="1428"/>
        <item m="1" x="1243"/>
        <item m="1" x="714"/>
        <item m="1" x="1007"/>
        <item m="1" x="958"/>
        <item m="1" x="407"/>
        <item m="1" x="1254"/>
        <item m="1" x="1333"/>
        <item m="1" x="1355"/>
        <item m="1" x="143"/>
        <item m="1" x="985"/>
        <item m="1" x="1327"/>
        <item m="1" x="840"/>
        <item m="1" x="112"/>
        <item m="1" x="1160"/>
        <item m="1" x="434"/>
        <item m="1" x="183"/>
        <item m="1" x="268"/>
        <item m="1" x="428"/>
        <item m="1" x="464"/>
        <item m="1" x="629"/>
        <item m="1" x="1043"/>
        <item m="1" x="1290"/>
        <item m="1" x="525"/>
        <item x="1"/>
        <item x="2"/>
        <item x="4"/>
        <item x="5"/>
        <item x="6"/>
        <item x="7"/>
        <item x="8"/>
        <item x="9"/>
        <item m="1" x="843"/>
        <item m="1" x="794"/>
        <item m="1" x="907"/>
        <item m="1" x="644"/>
        <item x="12"/>
        <item x="13"/>
        <item x="14"/>
        <item m="1" x="757"/>
        <item x="17"/>
        <item x="18"/>
        <item x="19"/>
        <item x="20"/>
        <item x="23"/>
        <item x="24"/>
        <item x="25"/>
        <item x="26"/>
        <item m="1" x="1324"/>
        <item m="1" x="933"/>
        <item m="1" x="1289"/>
        <item x="28"/>
        <item x="29"/>
        <item x="31"/>
        <item x="33"/>
        <item m="1" x="311"/>
        <item x="35"/>
        <item x="36"/>
        <item x="37"/>
        <item x="38"/>
        <item x="39"/>
        <item x="40"/>
        <item x="45"/>
        <item m="1" x="166"/>
        <item m="1" x="655"/>
        <item m="1" x="487"/>
        <item m="1" x="220"/>
        <item x="48"/>
        <item x="49"/>
        <item m="1" x="299"/>
        <item x="51"/>
        <item m="1" x="583"/>
        <item m="1" x="1078"/>
        <item m="1" x="688"/>
        <item m="1" x="480"/>
        <item m="1" x="1021"/>
        <item x="54"/>
        <item m="1" x="906"/>
        <item m="1" x="132"/>
        <item m="1" x="1216"/>
        <item m="1" x="1083"/>
        <item m="1" x="279"/>
        <item m="1" x="1016"/>
        <item m="1" x="301"/>
        <item m="1" x="1386"/>
        <item m="1" x="1121"/>
        <item m="1" x="1159"/>
        <item m="1" x="826"/>
        <item m="1" x="1339"/>
        <item m="1" x="677"/>
        <item m="1" x="1012"/>
        <item m="1" x="1452"/>
        <item m="1" x="718"/>
        <item m="1" x="700"/>
        <item m="1" x="208"/>
        <item m="1" x="1374"/>
        <item m="1" x="1117"/>
        <item m="1" x="914"/>
        <item m="1" x="579"/>
        <item m="1" x="181"/>
        <item m="1" x="825"/>
        <item m="1" x="1146"/>
        <item m="1" x="1211"/>
        <item m="1" x="334"/>
        <item m="1" x="920"/>
        <item m="1" x="597"/>
        <item m="1" x="400"/>
        <item m="1" x="547"/>
        <item m="1" x="925"/>
        <item m="1" x="1010"/>
        <item m="1" x="1238"/>
        <item m="1" x="931"/>
        <item m="1" x="1449"/>
        <item m="1" x="1206"/>
        <item m="1" x="350"/>
        <item m="1" x="259"/>
        <item m="1" x="808"/>
        <item m="1" x="964"/>
        <item m="1" x="494"/>
        <item x="62"/>
        <item x="59"/>
        <item x="63"/>
        <item m="1" x="770"/>
        <item m="1" x="917"/>
        <item m="1" x="1406"/>
        <item x="67"/>
        <item m="1" x="374"/>
        <item m="1" x="996"/>
        <item m="1" x="504"/>
        <item m="1" x="884"/>
        <item m="1" x="966"/>
        <item m="1" x="290"/>
        <item m="1" x="1436"/>
        <item m="1" x="1437"/>
        <item m="1" x="266"/>
        <item m="1" x="409"/>
        <item x="78"/>
        <item m="1" x="1071"/>
        <item m="1" x="663"/>
        <item m="1" x="683"/>
        <item m="1" x="658"/>
        <item m="1" x="889"/>
        <item m="1" x="1252"/>
        <item x="86"/>
        <item m="1" x="986"/>
        <item x="88"/>
        <item m="1" x="1150"/>
        <item m="1" x="1151"/>
        <item x="95"/>
        <item m="1" x="641"/>
        <item m="1" x="1371"/>
        <item x="98"/>
        <item m="1" x="1079"/>
        <item m="1" x="1067"/>
        <item m="1" x="811"/>
        <item m="1" x="680"/>
        <item m="1" x="598"/>
        <item m="1" x="1345"/>
        <item m="1" x="863"/>
        <item m="1" x="318"/>
        <item m="1" x="1349"/>
        <item m="1" x="916"/>
        <item m="1" x="1440"/>
        <item m="1" x="338"/>
        <item m="1" x="1310"/>
        <item m="1" x="932"/>
        <item m="1" x="218"/>
        <item m="1" x="187"/>
        <item m="1" x="1008"/>
        <item m="1" x="593"/>
        <item m="1" x="1287"/>
        <item m="1" x="1247"/>
        <item m="1" x="1186"/>
        <item x="90"/>
        <item x="96"/>
        <item x="99"/>
        <item m="1" x="1196"/>
        <item m="1" x="392"/>
        <item m="1" x="380"/>
        <item m="1" x="1451"/>
        <item m="1" x="1131"/>
        <item m="1" x="672"/>
        <item m="1" x="509"/>
        <item m="1" x="960"/>
        <item m="1" x="1330"/>
        <item m="1" x="177"/>
        <item m="1" x="692"/>
        <item m="1" x="814"/>
        <item m="1" x="228"/>
        <item m="1" x="107"/>
        <item m="1" x="1432"/>
        <item m="1" x="1433"/>
        <item m="1" x="783"/>
        <item m="1" x="1315"/>
        <item m="1" x="141"/>
        <item m="1" x="158"/>
        <item m="1" x="370"/>
        <item m="1" x="1212"/>
        <item m="1" x="1183"/>
        <item m="1" x="735"/>
        <item m="1" x="390"/>
        <item m="1" x="391"/>
        <item m="1" x="1025"/>
        <item m="1" x="793"/>
        <item m="1" x="125"/>
        <item m="1" x="862"/>
        <item m="1" x="1209"/>
        <item m="1" x="1292"/>
        <item m="1" x="873"/>
        <item m="1" x="732"/>
        <item m="1" x="321"/>
        <item m="1" x="810"/>
        <item m="1" x="874"/>
        <item m="1" x="861"/>
        <item m="1" x="1019"/>
        <item m="1" x="875"/>
        <item m="1" x="715"/>
        <item m="1" x="1402"/>
        <item m="1" x="1445"/>
        <item m="1" x="305"/>
        <item m="1" x="306"/>
        <item m="1" x="308"/>
        <item m="1" x="1398"/>
        <item m="1" x="524"/>
        <item m="1" x="928"/>
        <item m="1" x="1404"/>
        <item m="1" x="1143"/>
        <item m="1" x="545"/>
        <item m="1" x="1004"/>
        <item m="1" x="244"/>
        <item x="87"/>
        <item m="1" x="432"/>
        <item m="1" x="1380"/>
        <item m="1" x="573"/>
        <item m="1" x="625"/>
        <item m="1" x="331"/>
        <item m="1" x="212"/>
        <item m="1" x="429"/>
        <item m="1" x="883"/>
        <item m="1" x="534"/>
        <item m="1" x="1340"/>
        <item m="1" x="418"/>
        <item m="1" x="1039"/>
        <item m="1" x="699"/>
        <item m="1" x="327"/>
        <item x="58"/>
        <item m="1" x="375"/>
        <item m="1" x="1246"/>
        <item m="1" x="1195"/>
        <item m="1" x="1334"/>
        <item m="1" x="626"/>
        <item m="1" x="1066"/>
        <item m="1" x="564"/>
        <item m="1" x="1225"/>
        <item m="1" x="1413"/>
        <item x="68"/>
        <item m="1" x="1105"/>
        <item m="1" x="910"/>
        <item m="1" x="1278"/>
        <item m="1" x="661"/>
        <item m="1" x="130"/>
        <item m="1" x="156"/>
        <item m="1" x="215"/>
        <item m="1" x="1388"/>
        <item m="1" x="465"/>
        <item m="1" x="1418"/>
        <item m="1" x="1261"/>
        <item m="1" x="281"/>
        <item m="1" x="1194"/>
        <item m="1" x="603"/>
        <item m="1" x="1470"/>
        <item m="1" x="713"/>
        <item m="1" x="842"/>
        <item m="1" x="367"/>
        <item m="1" x="1127"/>
        <item m="1" x="263"/>
        <item m="1" x="1096"/>
        <item m="1" x="835"/>
        <item m="1" x="1204"/>
        <item m="1" x="145"/>
        <item m="1" x="730"/>
        <item m="1" x="596"/>
        <item m="1" x="1268"/>
        <item m="1" x="216"/>
        <item m="1" x="684"/>
        <item m="1" x="354"/>
        <item m="1" x="437"/>
        <item x="85"/>
        <item m="1" x="1130"/>
        <item m="1" x="1094"/>
        <item m="1" x="548"/>
        <item m="1" x="1273"/>
        <item m="1" x="1474"/>
        <item m="1" x="539"/>
        <item m="1" x="647"/>
        <item m="1" x="506"/>
        <item m="1" x="992"/>
        <item m="1" x="235"/>
        <item m="1" x="1319"/>
        <item m="1" x="821"/>
        <item m="1" x="833"/>
        <item m="1" x="1116"/>
        <item m="1" x="1307"/>
        <item m="1" x="1332"/>
        <item m="1" x="1193"/>
        <item m="1" x="522"/>
        <item m="1" x="1407"/>
        <item m="1" x="1017"/>
        <item m="1" x="1354"/>
        <item m="1" x="1318"/>
        <item m="1" x="754"/>
        <item m="1" x="1052"/>
        <item m="1" x="1424"/>
        <item m="1" x="223"/>
        <item m="1" x="124"/>
        <item m="1" x="849"/>
        <item m="1" x="816"/>
        <item m="1" x="510"/>
        <item m="1" x="1291"/>
        <item m="1" x="247"/>
        <item m="1" x="377"/>
        <item m="1" x="682"/>
        <item m="1" x="1029"/>
        <item m="1" x="1154"/>
        <item m="1" x="915"/>
        <item m="1" x="191"/>
        <item m="1" x="657"/>
        <item x="100"/>
        <item m="1" x="1393"/>
        <item m="1" x="902"/>
        <item m="1" x="900"/>
        <item m="1" x="673"/>
        <item m="1" x="448"/>
        <item x="0"/>
        <item x="16"/>
        <item m="1" x="1050"/>
        <item x="46"/>
        <item m="1" x="445"/>
        <item x="52"/>
        <item x="53"/>
        <item x="56"/>
        <item x="57"/>
        <item x="60"/>
        <item x="61"/>
        <item x="64"/>
        <item x="65"/>
        <item x="66"/>
        <item x="69"/>
        <item x="70"/>
        <item x="71"/>
        <item x="72"/>
        <item x="73"/>
        <item x="74"/>
        <item x="75"/>
        <item x="76"/>
        <item x="77"/>
        <item x="79"/>
        <item x="80"/>
        <item x="81"/>
        <item x="82"/>
        <item x="83"/>
        <item x="84"/>
        <item x="89"/>
        <item x="91"/>
        <item x="92"/>
        <item x="93"/>
        <item x="94"/>
        <item x="97"/>
        <item x="101"/>
        <item x="102"/>
        <item m="1" x="1049"/>
        <item x="27"/>
        <item x="21"/>
        <item x="22"/>
        <item x="41"/>
        <item m="1" x="1443"/>
        <item x="42"/>
        <item x="43"/>
        <item x="44"/>
        <item x="50"/>
        <item m="1" x="1442"/>
        <item x="34"/>
      </items>
    </pivotField>
    <pivotField compact="0" showAll="0" defaultSubtotal="0">
      <items count="17">
        <item m="1" x="12"/>
        <item m="1" x="7"/>
        <item x="1"/>
        <item x="3"/>
        <item m="1" x="9"/>
        <item x="4"/>
        <item m="1" x="5"/>
        <item m="1" x="14"/>
        <item x="2"/>
        <item m="1" x="6"/>
        <item x="0"/>
        <item m="1" x="8"/>
        <item m="1" x="13"/>
        <item m="1" x="10"/>
        <item m="1" x="16"/>
        <item m="1" x="11"/>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0">
        <item h="1" x="0"/>
        <item h="1" m="1" x="17"/>
        <item h="1" m="1" x="23"/>
        <item h="1" m="1" x="19"/>
        <item x="1"/>
        <item h="1" m="1" x="28"/>
        <item h="1" m="1" x="7"/>
        <item h="1" m="1" x="25"/>
        <item h="1" m="1" x="26"/>
        <item h="1" m="1" x="29"/>
        <item h="1" m="1" x="11"/>
        <item h="1" m="1" x="15"/>
        <item h="1" m="1" x="21"/>
        <item h="1" m="1" x="24"/>
        <item h="1" m="1" x="6"/>
        <item h="1" m="1" x="16"/>
        <item h="1" m="1" x="22"/>
        <item h="1" x="2"/>
        <item h="1" m="1" x="9"/>
        <item h="1" m="1" x="4"/>
        <item h="1" m="1" x="8"/>
        <item h="1" m="1" x="13"/>
        <item h="1" m="1" x="27"/>
        <item h="1" m="1" x="14"/>
        <item h="1" m="1" x="20"/>
        <item h="1" m="1" x="18"/>
        <item h="1" m="1" x="10"/>
        <item h="1" m="1" x="3"/>
        <item h="1" m="1" x="12"/>
        <item h="1" m="1" x="5"/>
      </items>
    </pivotField>
    <pivotField axis="axisRow" compact="0" showAll="0" insertBlankRow="1" defaultSubtotal="0">
      <items count="63">
        <item m="1" x="39"/>
        <item m="1" x="61"/>
        <item m="1" x="62"/>
        <item m="1" x="32"/>
        <item m="1" x="18"/>
        <item m="1" x="5"/>
        <item m="1" x="17"/>
        <item m="1" x="57"/>
        <item m="1" x="41"/>
        <item m="1" x="24"/>
        <item m="1" x="4"/>
        <item m="1" x="7"/>
        <item m="1" x="30"/>
        <item m="1" x="14"/>
        <item m="1" x="13"/>
        <item m="1" x="8"/>
        <item m="1" x="33"/>
        <item m="1" x="45"/>
        <item m="1" x="35"/>
        <item m="1" x="29"/>
        <item m="1" x="53"/>
        <item m="1" x="59"/>
        <item m="1" x="60"/>
        <item m="1" x="38"/>
        <item m="1" x="16"/>
        <item m="1" x="37"/>
        <item m="1" x="15"/>
        <item m="1" x="55"/>
        <item m="1" x="47"/>
        <item m="1" x="50"/>
        <item m="1" x="21"/>
        <item m="1" x="49"/>
        <item m="1" x="48"/>
        <item m="1" x="10"/>
        <item m="1" x="12"/>
        <item m="1" x="6"/>
        <item m="1" x="20"/>
        <item m="1" x="34"/>
        <item m="1" x="25"/>
        <item m="1" x="58"/>
        <item m="1" x="22"/>
        <item m="1" x="23"/>
        <item m="1" x="26"/>
        <item m="1" x="36"/>
        <item m="1" x="3"/>
        <item m="1" x="28"/>
        <item m="1" x="52"/>
        <item m="1" x="31"/>
        <item m="1" x="19"/>
        <item m="1" x="51"/>
        <item x="2"/>
        <item m="1" x="42"/>
        <item x="0"/>
        <item m="1" x="56"/>
        <item m="1" x="46"/>
        <item m="1" x="9"/>
        <item m="1" x="27"/>
        <item m="1" x="40"/>
        <item m="1" x="43"/>
        <item m="1" x="11"/>
        <item m="1" x="54"/>
        <item m="1" x="44"/>
        <item x="1"/>
      </items>
    </pivotField>
    <pivotField compact="0" showAll="0" defaultSubtotal="0"/>
    <pivotField compact="0" subtotalTop="0" showAll="0" defaultSubtotal="0"/>
  </pivotFields>
  <rowFields count="2">
    <field x="9"/>
    <field x="10"/>
  </rowFields>
  <rowItems count="4">
    <i>
      <x v="4"/>
    </i>
    <i r="1">
      <x v="62"/>
    </i>
    <i t="blank">
      <x v="4"/>
    </i>
    <i t="grand">
      <x/>
    </i>
  </rowItems>
  <colItems count="1">
    <i/>
  </colItems>
  <dataFields count="1">
    <dataField name="AMOUNT (RM)" fld="6" baseField="0" baseItem="4" numFmtId="4"/>
  </dataFields>
  <formats count="35">
    <format dxfId="838">
      <pivotArea type="all" dataOnly="0" outline="0" fieldPosition="0"/>
    </format>
    <format dxfId="837">
      <pivotArea outline="0" collapsedLevelsAreSubtotals="1" fieldPosition="0"/>
    </format>
    <format dxfId="836">
      <pivotArea field="0" type="button" dataOnly="0" labelOnly="1" outline="0"/>
    </format>
    <format dxfId="835">
      <pivotArea field="1" type="button" dataOnly="0" labelOnly="1" outline="0"/>
    </format>
    <format dxfId="834">
      <pivotArea field="3" type="button" dataOnly="0" labelOnly="1" outline="0"/>
    </format>
    <format dxfId="833">
      <pivotArea dataOnly="0" labelOnly="1" outline="0" fieldPosition="0">
        <references count="1">
          <reference field="4294967294" count="1">
            <x v="0"/>
          </reference>
        </references>
      </pivotArea>
    </format>
    <format dxfId="832">
      <pivotArea field="2" type="button" dataOnly="0" labelOnly="1" outline="0"/>
    </format>
    <format dxfId="831">
      <pivotArea field="0" type="button" dataOnly="0" labelOnly="1" outline="0"/>
    </format>
    <format dxfId="830">
      <pivotArea field="1" type="button" dataOnly="0" labelOnly="1" outline="0"/>
    </format>
    <format dxfId="829">
      <pivotArea field="2" type="button" dataOnly="0" labelOnly="1" outline="0"/>
    </format>
    <format dxfId="828">
      <pivotArea field="3" type="button" dataOnly="0" labelOnly="1" outline="0"/>
    </format>
    <format dxfId="827">
      <pivotArea dataOnly="0" labelOnly="1" outline="0" fieldPosition="0">
        <references count="1">
          <reference field="4294967294" count="1">
            <x v="0"/>
          </reference>
        </references>
      </pivotArea>
    </format>
    <format dxfId="826">
      <pivotArea outline="0" fieldPosition="0">
        <references count="1">
          <reference field="4294967294" count="1">
            <x v="0"/>
          </reference>
        </references>
      </pivotArea>
    </format>
    <format dxfId="825">
      <pivotArea outline="0" fieldPosition="0">
        <references count="2">
          <reference field="9" count="0" selected="0"/>
          <reference field="10" count="3" selected="0">
            <x v="1"/>
            <x v="2"/>
            <x v="3"/>
          </reference>
        </references>
      </pivotArea>
    </format>
    <format dxfId="824">
      <pivotArea dataOnly="0" labelOnly="1" outline="0" fieldPosition="0">
        <references count="1">
          <reference field="9" count="0"/>
        </references>
      </pivotArea>
    </format>
    <format dxfId="823">
      <pivotArea dataOnly="0" labelOnly="1" outline="0" fieldPosition="0">
        <references count="2">
          <reference field="9" count="0" selected="0"/>
          <reference field="10" count="3">
            <x v="1"/>
            <x v="2"/>
            <x v="3"/>
          </reference>
        </references>
      </pivotArea>
    </format>
    <format dxfId="822">
      <pivotArea outline="0" fieldPosition="0">
        <references count="2">
          <reference field="9" count="0" selected="0"/>
          <reference field="10" count="3" selected="0">
            <x v="1"/>
            <x v="2"/>
            <x v="3"/>
          </reference>
        </references>
      </pivotArea>
    </format>
    <format dxfId="821">
      <pivotArea dataOnly="0" labelOnly="1" outline="0" fieldPosition="0">
        <references count="1">
          <reference field="9" count="0"/>
        </references>
      </pivotArea>
    </format>
    <format dxfId="820">
      <pivotArea dataOnly="0" labelOnly="1" outline="0" fieldPosition="0">
        <references count="2">
          <reference field="9" count="0" selected="0"/>
          <reference field="10" count="3">
            <x v="1"/>
            <x v="2"/>
            <x v="3"/>
          </reference>
        </references>
      </pivotArea>
    </format>
    <format dxfId="819">
      <pivotArea dataOnly="0" labelOnly="1" fieldPosition="0">
        <references count="1">
          <reference field="9" count="0"/>
        </references>
      </pivotArea>
    </format>
    <format dxfId="818">
      <pivotArea dataOnly="0" labelOnly="1" fieldPosition="0">
        <references count="1">
          <reference field="10" count="0"/>
        </references>
      </pivotArea>
    </format>
    <format dxfId="817">
      <pivotArea dataOnly="0" labelOnly="1" fieldPosition="0">
        <references count="1">
          <reference field="10" count="0"/>
        </references>
      </pivotArea>
    </format>
    <format dxfId="816">
      <pivotArea dataOnly="0" labelOnly="1" fieldPosition="0">
        <references count="1">
          <reference field="10" count="0"/>
        </references>
      </pivotArea>
    </format>
    <format dxfId="815">
      <pivotArea dataOnly="0" labelOnly="1" fieldPosition="0">
        <references count="1">
          <reference field="10" count="0"/>
        </references>
      </pivotArea>
    </format>
    <format dxfId="814">
      <pivotArea dataOnly="0" labelOnly="1" fieldPosition="0">
        <references count="1">
          <reference field="10" count="0"/>
        </references>
      </pivotArea>
    </format>
    <format dxfId="813">
      <pivotArea dataOnly="0" labelOnly="1" grandRow="1" outline="0" fieldPosition="0"/>
    </format>
    <format dxfId="812">
      <pivotArea grandRow="1" outline="0" collapsedLevelsAreSubtotals="1" fieldPosition="0"/>
    </format>
    <format dxfId="811">
      <pivotArea field="9" type="button" dataOnly="0" labelOnly="1" outline="0" axis="axisRow" fieldPosition="0"/>
    </format>
    <format dxfId="810">
      <pivotArea field="10" type="button" dataOnly="0" labelOnly="1" outline="0" axis="axisRow" fieldPosition="1"/>
    </format>
    <format dxfId="809">
      <pivotArea dataOnly="0" labelOnly="1" outline="0" axis="axisValues" fieldPosition="0"/>
    </format>
    <format dxfId="808">
      <pivotArea field="9" type="button" dataOnly="0" labelOnly="1" outline="0" axis="axisRow" fieldPosition="0"/>
    </format>
    <format dxfId="807">
      <pivotArea field="10" type="button" dataOnly="0" labelOnly="1" outline="0" axis="axisRow" fieldPosition="1"/>
    </format>
    <format dxfId="806">
      <pivotArea dataOnly="0" labelOnly="1" outline="0" axis="axisValues" fieldPosition="0"/>
    </format>
    <format dxfId="805">
      <pivotArea grandRow="1" outline="0" collapsedLevelsAreSubtotals="1" fieldPosition="0"/>
    </format>
    <format dxfId="804">
      <pivotArea dataOnly="0" labelOnly="1" grandRow="1" outline="0"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225"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8:H104" firstHeaderRow="0" firstDataRow="1" firstDataCol="4"/>
  <pivotFields count="13">
    <pivotField axis="axisRow"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272"/>
        <item m="1" x="332"/>
        <item m="1" x="391"/>
        <item m="1" x="451"/>
        <item m="1" x="510"/>
        <item m="1" x="569"/>
        <item m="1" x="148"/>
        <item m="1" x="205"/>
        <item m="1" x="264"/>
        <item m="1" x="324"/>
        <item m="1" x="383"/>
        <item m="1" x="443"/>
        <item m="1" x="502"/>
        <item m="1" x="561"/>
        <item m="1" x="139"/>
        <item m="1" x="196"/>
        <item m="1" x="255"/>
        <item m="1" x="314"/>
        <item m="1" x="374"/>
        <item m="1" x="434"/>
        <item m="1" x="493"/>
        <item m="1" x="553"/>
        <item m="1" x="131"/>
        <item m="1" x="188"/>
        <item m="1" x="218"/>
        <item m="1" x="247"/>
        <item m="1" x="278"/>
        <item m="1" x="306"/>
        <item m="1" x="338"/>
        <item m="1" x="366"/>
        <item m="1" x="397"/>
        <item m="1" x="426"/>
        <item m="1" x="457"/>
        <item m="1" x="485"/>
        <item m="1" x="516"/>
        <item m="1" x="544"/>
        <item m="1" x="574"/>
        <item m="1" x="123"/>
        <item m="1" x="153"/>
        <item m="1" x="180"/>
        <item m="1" x="210"/>
        <item m="1" x="239"/>
        <item m="1" x="269"/>
        <item m="1" x="298"/>
        <item m="1" x="329"/>
        <item m="1" x="358"/>
        <item m="1" x="388"/>
        <item m="1" x="418"/>
        <item m="1" x="448"/>
        <item m="1" x="477"/>
        <item m="1" x="507"/>
        <item m="1" x="536"/>
        <item m="1" x="566"/>
        <item m="1" x="116"/>
        <item m="1" x="145"/>
        <item m="1" x="173"/>
        <item m="1" x="202"/>
        <item m="1" x="232"/>
        <item m="1" x="261"/>
        <item m="1" x="291"/>
        <item m="1" x="321"/>
        <item m="1" x="351"/>
        <item m="1" x="380"/>
        <item m="1" x="411"/>
        <item m="1" x="440"/>
        <item m="1" x="470"/>
        <item m="1" x="499"/>
        <item m="1" x="529"/>
        <item m="1" x="559"/>
        <item m="1" x="110"/>
        <item m="1" x="137"/>
        <item m="1" x="166"/>
        <item m="1" x="194"/>
        <item m="1" x="224"/>
        <item m="1" x="253"/>
        <item m="1" x="284"/>
        <item m="1" x="312"/>
        <item m="1" x="344"/>
        <item m="1" x="372"/>
        <item m="1" x="403"/>
        <item m="1" x="432"/>
        <item m="1" x="463"/>
        <item m="1" x="491"/>
        <item m="1" x="522"/>
        <item m="1" x="551"/>
        <item m="1" x="580"/>
        <item m="1" x="129"/>
        <item m="1" x="159"/>
        <item m="1" x="186"/>
        <item m="1" x="216"/>
        <item m="1" x="245"/>
        <item m="1" x="276"/>
        <item m="1" x="304"/>
        <item m="1" x="336"/>
        <item m="1" x="364"/>
        <item m="1" x="395"/>
        <item m="1" x="424"/>
        <item m="1" x="455"/>
        <item m="1" x="483"/>
        <item m="1" x="514"/>
        <item m="1" x="542"/>
        <item m="1" x="573"/>
        <item m="1" x="122"/>
        <item m="1" x="152"/>
        <item m="1" x="179"/>
        <item m="1" x="209"/>
        <item m="1" x="238"/>
        <item m="1" x="268"/>
        <item m="1" x="297"/>
        <item m="1" x="328"/>
        <item m="1" x="357"/>
        <item m="1" x="387"/>
        <item m="1" x="417"/>
        <item m="1" x="447"/>
        <item m="1" x="476"/>
        <item m="1" x="506"/>
        <item m="1" x="535"/>
        <item m="1" x="565"/>
        <item m="1" x="115"/>
        <item m="1" x="144"/>
        <item m="1" x="172"/>
        <item m="1" x="201"/>
        <item m="1" x="231"/>
        <item m="1" x="260"/>
        <item m="1" x="290"/>
        <item m="1" x="320"/>
        <item m="1" x="350"/>
        <item m="1" x="379"/>
        <item m="1" x="410"/>
        <item m="1" x="439"/>
        <item m="1" x="469"/>
        <item m="1" x="498"/>
        <item m="1" x="528"/>
        <item m="1" x="558"/>
        <item m="1" x="109"/>
        <item m="1" x="136"/>
        <item m="1" x="165"/>
        <item m="1" x="193"/>
        <item m="1" x="223"/>
        <item m="1" x="252"/>
        <item m="1" x="283"/>
        <item m="1" x="311"/>
        <item m="1" x="343"/>
        <item m="1" x="371"/>
        <item m="1" x="402"/>
        <item m="1" x="431"/>
        <item m="1" x="462"/>
        <item m="1" x="490"/>
        <item m="1" x="521"/>
        <item m="1" x="549"/>
        <item m="1" x="579"/>
        <item m="1" x="128"/>
        <item m="1" x="143"/>
        <item m="1" x="158"/>
        <item m="1" x="171"/>
        <item m="1" x="185"/>
        <item m="1" x="200"/>
        <item m="1" x="215"/>
        <item m="1" x="229"/>
        <item m="1" x="244"/>
        <item m="1" x="259"/>
        <item m="1" x="275"/>
        <item m="1" x="289"/>
        <item m="1" x="303"/>
        <item m="1" x="319"/>
        <item m="1" x="335"/>
        <item m="1" x="349"/>
        <item m="1" x="363"/>
        <item m="1" x="378"/>
        <item m="1" x="394"/>
        <item m="1" x="409"/>
        <item m="1" x="423"/>
        <item m="1" x="438"/>
        <item m="1" x="454"/>
        <item m="1" x="468"/>
        <item m="1" x="482"/>
        <item m="1" x="497"/>
        <item m="1" x="513"/>
        <item m="1" x="527"/>
        <item m="1" x="541"/>
        <item m="1" x="557"/>
        <item m="1" x="572"/>
        <item m="1" x="108"/>
        <item m="1" x="121"/>
        <item m="1" x="135"/>
        <item m="1" x="151"/>
        <item m="1" x="164"/>
        <item m="1" x="178"/>
        <item m="1" x="192"/>
        <item m="1" x="208"/>
        <item m="1" x="222"/>
        <item m="1" x="237"/>
        <item m="1" x="251"/>
        <item m="1" x="267"/>
        <item m="1" x="282"/>
        <item m="1" x="296"/>
        <item m="1" x="310"/>
        <item m="1" x="327"/>
        <item m="1" x="342"/>
        <item m="1" x="356"/>
        <item m="1" x="370"/>
        <item m="1" x="386"/>
        <item m="1" x="401"/>
        <item m="1" x="416"/>
        <item m="1" x="430"/>
        <item m="1" x="446"/>
        <item m="1" x="461"/>
        <item m="1" x="475"/>
        <item m="1" x="489"/>
        <item m="1" x="505"/>
        <item m="1" x="520"/>
        <item m="1" x="534"/>
        <item m="1" x="548"/>
        <item m="1" x="564"/>
        <item m="1" x="578"/>
        <item m="1" x="114"/>
        <item m="1" x="127"/>
        <item m="1" x="142"/>
        <item m="1" x="157"/>
        <item m="1" x="170"/>
        <item m="1" x="184"/>
        <item m="1" x="199"/>
        <item m="1" x="214"/>
        <item m="1" x="228"/>
        <item m="1" x="243"/>
        <item m="1" x="258"/>
        <item m="1" x="274"/>
        <item m="1" x="288"/>
        <item m="1" x="302"/>
        <item m="1" x="317"/>
        <item m="1" x="334"/>
        <item m="1" x="348"/>
        <item m="1" x="362"/>
        <item m="1" x="377"/>
        <item m="1" x="393"/>
        <item m="1" x="408"/>
        <item m="1" x="422"/>
        <item m="1" x="437"/>
        <item m="1" x="453"/>
        <item m="1" x="467"/>
        <item m="1" x="481"/>
        <item m="1" x="496"/>
        <item m="1" x="512"/>
        <item m="1" x="526"/>
        <item m="1" x="540"/>
        <item m="1" x="556"/>
        <item m="1" x="571"/>
        <item m="1" x="107"/>
        <item m="1" x="120"/>
        <item m="1" x="134"/>
        <item m="1" x="150"/>
        <item m="1" x="163"/>
        <item m="1" x="177"/>
        <item m="1" x="191"/>
        <item m="1" x="207"/>
        <item m="1" x="221"/>
        <item m="1" x="236"/>
        <item m="1" x="250"/>
        <item m="1" x="266"/>
        <item m="1" x="281"/>
        <item m="1" x="295"/>
        <item m="1" x="309"/>
        <item m="1" x="326"/>
        <item m="1" x="341"/>
        <item m="1" x="355"/>
        <item m="1" x="369"/>
        <item m="1" x="385"/>
        <item m="1" x="400"/>
        <item m="1" x="415"/>
        <item m="1" x="429"/>
        <item m="1" x="445"/>
        <item m="1" x="460"/>
        <item m="1" x="474"/>
        <item m="1" x="488"/>
        <item m="1" x="504"/>
        <item m="1" x="519"/>
        <item m="1" x="533"/>
        <item m="1" x="547"/>
        <item m="1" x="563"/>
        <item m="1" x="577"/>
        <item m="1" x="113"/>
        <item m="1" x="126"/>
        <item m="1" x="141"/>
        <item m="1" x="156"/>
        <item m="1" x="169"/>
        <item m="1" x="183"/>
        <item m="1" x="198"/>
        <item m="1" x="213"/>
        <item m="1" x="227"/>
        <item m="1" x="242"/>
        <item m="1" x="257"/>
        <item m="1" x="273"/>
        <item m="1" x="287"/>
        <item m="1" x="301"/>
        <item m="1" x="316"/>
        <item m="1" x="333"/>
        <item m="1" x="347"/>
        <item m="1" x="361"/>
        <item m="1" x="376"/>
        <item m="1" x="392"/>
        <item m="1" x="406"/>
        <item m="1" x="421"/>
        <item m="1" x="436"/>
        <item m="1" x="452"/>
        <item m="1" x="466"/>
        <item m="1" x="480"/>
        <item m="1" x="495"/>
        <item m="1" x="511"/>
        <item m="1" x="525"/>
        <item m="1" x="539"/>
        <item m="1" x="555"/>
        <item m="1" x="570"/>
        <item m="1" x="106"/>
        <item m="1" x="119"/>
        <item m="1" x="133"/>
        <item m="1" x="149"/>
        <item m="1" x="162"/>
        <item m="1" x="176"/>
        <item m="1" x="190"/>
        <item m="1" x="206"/>
        <item m="1" x="220"/>
        <item m="1" x="235"/>
        <item m="1" x="249"/>
        <item m="1" x="265"/>
        <item m="1" x="280"/>
        <item m="1" x="294"/>
        <item m="1" x="308"/>
        <item m="1" x="325"/>
        <item m="1" x="340"/>
        <item m="1" x="354"/>
        <item m="1" x="368"/>
        <item m="1" x="384"/>
        <item m="1" x="399"/>
        <item m="1" x="414"/>
        <item m="1" x="428"/>
        <item m="1" x="444"/>
        <item m="1" x="459"/>
        <item m="1" x="473"/>
        <item m="1" x="487"/>
        <item m="1" x="503"/>
        <item m="1" x="518"/>
        <item m="1" x="532"/>
        <item m="1" x="546"/>
        <item m="1" x="562"/>
        <item m="1" x="576"/>
        <item m="1" x="112"/>
        <item m="1" x="125"/>
        <item m="1" x="140"/>
        <item m="1" x="155"/>
        <item m="1" x="168"/>
        <item m="1" x="182"/>
        <item m="1" x="197"/>
        <item m="1" x="212"/>
        <item m="1" x="226"/>
        <item m="1" x="241"/>
        <item m="1" x="256"/>
        <item m="1" x="271"/>
        <item m="1" x="286"/>
        <item m="1" x="300"/>
        <item m="1" x="315"/>
        <item m="1" x="331"/>
        <item m="1" x="346"/>
        <item m="1" x="360"/>
        <item m="1" x="375"/>
        <item m="1" x="390"/>
        <item m="1" x="405"/>
        <item m="1" x="420"/>
        <item m="1" x="435"/>
        <item m="1" x="450"/>
        <item m="1" x="465"/>
        <item m="1" x="479"/>
        <item m="1" x="494"/>
        <item m="1" x="509"/>
        <item m="1" x="524"/>
        <item m="1" x="538"/>
        <item m="1" x="554"/>
        <item m="1" x="568"/>
        <item m="1" x="105"/>
        <item m="1" x="118"/>
        <item m="1" x="132"/>
        <item m="1" x="147"/>
        <item m="1" x="161"/>
        <item m="1" x="175"/>
        <item m="1" x="189"/>
        <item m="1" x="204"/>
        <item m="1" x="219"/>
        <item m="1" x="234"/>
        <item m="1" x="248"/>
        <item m="1" x="263"/>
        <item m="1" x="279"/>
        <item m="1" x="293"/>
        <item m="1" x="307"/>
        <item m="1" x="323"/>
        <item m="1" x="339"/>
        <item m="1" x="353"/>
        <item m="1" x="367"/>
        <item m="1" x="382"/>
        <item m="1" x="398"/>
        <item m="1" x="413"/>
        <item m="1" x="427"/>
        <item m="1" x="442"/>
        <item m="1" x="458"/>
        <item m="1" x="472"/>
        <item m="1" x="486"/>
        <item m="1" x="501"/>
        <item m="1" x="517"/>
        <item m="1" x="531"/>
        <item m="1" x="545"/>
        <item m="1" x="552"/>
        <item m="1" x="560"/>
        <item m="1" x="567"/>
        <item m="1" x="575"/>
        <item m="1" x="104"/>
        <item m="1" x="111"/>
        <item m="1" x="117"/>
        <item m="1" x="124"/>
        <item m="1" x="130"/>
        <item m="1" x="138"/>
        <item m="1" x="146"/>
        <item m="1" x="154"/>
        <item m="1" x="160"/>
        <item m="1" x="167"/>
        <item m="1" x="174"/>
        <item m="1" x="181"/>
        <item m="1" x="187"/>
        <item m="1" x="195"/>
        <item m="1" x="203"/>
        <item m="1" x="211"/>
        <item m="1" x="217"/>
        <item m="1" x="225"/>
        <item m="1" x="233"/>
        <item m="1" x="240"/>
        <item m="1" x="246"/>
        <item m="1" x="254"/>
        <item m="1" x="262"/>
        <item m="1" x="270"/>
        <item m="1" x="277"/>
        <item m="1" x="285"/>
        <item m="1" x="292"/>
        <item m="1" x="299"/>
        <item m="1" x="305"/>
        <item m="1" x="313"/>
        <item m="1" x="322"/>
        <item m="1" x="330"/>
        <item m="1" x="337"/>
        <item m="1" x="345"/>
        <item m="1" x="352"/>
        <item m="1" x="359"/>
        <item m="1" x="365"/>
        <item m="1" x="373"/>
        <item m="1" x="381"/>
        <item m="1" x="389"/>
        <item m="1" x="396"/>
        <item m="1" x="404"/>
        <item m="1" x="412"/>
        <item m="1" x="419"/>
        <item m="1" x="425"/>
        <item m="1" x="433"/>
        <item m="1" x="441"/>
        <item m="1" x="449"/>
        <item m="1" x="456"/>
        <item m="1" x="464"/>
        <item m="1" x="471"/>
        <item m="1" x="478"/>
        <item m="1" x="484"/>
        <item m="1" x="492"/>
        <item m="1" x="500"/>
        <item m="1" x="508"/>
        <item m="1" x="515"/>
        <item m="1" x="523"/>
        <item m="1" x="530"/>
        <item m="1" x="230"/>
        <item m="1" x="318"/>
        <item m="1" x="407"/>
        <item m="1" x="550"/>
        <item m="1" x="537"/>
        <item m="1" x="543"/>
      </items>
    </pivotField>
    <pivotField axis="axisRow" compact="0" outline="0" showAll="0" defaultSubtotal="0">
      <items count="1124">
        <item m="1" x="458"/>
        <item m="1" x="500"/>
        <item m="1" x="552"/>
        <item m="1" x="597"/>
        <item m="1" x="627"/>
        <item m="1" x="648"/>
        <item m="1" x="665"/>
        <item m="1" x="678"/>
        <item m="1" x="705"/>
        <item m="1" x="440"/>
        <item m="1" x="465"/>
        <item m="1" x="506"/>
        <item m="1" x="556"/>
        <item m="1" x="601"/>
        <item m="1" x="629"/>
        <item m="1" x="649"/>
        <item m="1" x="666"/>
        <item m="1" x="679"/>
        <item m="1" x="706"/>
        <item m="1" x="441"/>
        <item m="1" x="468"/>
        <item m="1" x="514"/>
        <item m="1" x="564"/>
        <item m="1" x="603"/>
        <item m="1" x="630"/>
        <item m="1" x="650"/>
        <item m="1" x="667"/>
        <item m="1" x="680"/>
        <item m="1" x="707"/>
        <item m="1" x="442"/>
        <item m="1" x="469"/>
        <item m="1" x="517"/>
        <item m="1" x="568"/>
        <item m="1" x="604"/>
        <item m="1" x="631"/>
        <item m="1" x="651"/>
        <item m="1" x="668"/>
        <item m="1" x="681"/>
        <item m="1" x="708"/>
        <item m="1" x="697"/>
        <item m="1" x="746"/>
        <item m="1" x="802"/>
        <item m="1" x="857"/>
        <item m="1" x="909"/>
        <item m="1" x="981"/>
        <item m="1" x="1018"/>
        <item m="1" x="166"/>
        <item m="1" x="956"/>
        <item m="1" x="993"/>
        <item m="1" x="1037"/>
        <item m="1" x="1088"/>
        <item m="1" x="77"/>
        <item m="1" x="105"/>
        <item m="1" x="127"/>
        <item m="1" x="143"/>
        <item m="1" x="157"/>
        <item m="1" x="193"/>
        <item m="1" x="971"/>
        <item m="1" x="1001"/>
        <item m="1" x="1042"/>
        <item m="1" x="1092"/>
        <item m="1" x="81"/>
        <item m="1" x="108"/>
        <item m="1" x="128"/>
        <item m="1" x="144"/>
        <item m="1" x="180"/>
        <item m="1" x="232"/>
        <item m="1" x="456"/>
        <item m="1" x="497"/>
        <item m="1" x="549"/>
        <item m="1" x="594"/>
        <item m="1" x="624"/>
        <item m="1" x="646"/>
        <item m="1" x="664"/>
        <item m="1" x="677"/>
        <item m="1" x="695"/>
        <item m="1" x="743"/>
        <item m="1" x="798"/>
        <item m="1" x="853"/>
        <item m="1" x="980"/>
        <item m="1" x="165"/>
        <item m="1" x="476"/>
        <item m="1" x="524"/>
        <item m="1" x="576"/>
        <item m="1" x="612"/>
        <item m="1" x="637"/>
        <item m="1" x="657"/>
        <item m="1" x="672"/>
        <item m="1" x="689"/>
        <item m="1" x="732"/>
        <item m="1" x="449"/>
        <item m="1" x="481"/>
        <item m="1" x="528"/>
        <item m="1" x="580"/>
        <item m="1" x="615"/>
        <item m="1" x="639"/>
        <item m="1" x="658"/>
        <item m="1" x="673"/>
        <item m="1" x="690"/>
        <item m="1" x="733"/>
        <item m="1" x="452"/>
        <item m="1" x="489"/>
        <item m="1" x="534"/>
        <item m="1" x="584"/>
        <item m="1" x="617"/>
        <item m="1" x="640"/>
        <item m="1" x="659"/>
        <item m="1" x="674"/>
        <item m="1" x="691"/>
        <item m="1" x="734"/>
        <item m="1" x="453"/>
        <item m="1" x="492"/>
        <item m="1" x="541"/>
        <item m="1" x="588"/>
        <item m="1" x="618"/>
        <item m="1" x="641"/>
        <item m="1" x="660"/>
        <item m="1" x="675"/>
        <item m="1" x="692"/>
        <item m="1" x="735"/>
        <item m="1" x="454"/>
        <item m="1" x="493"/>
        <item m="1" x="543"/>
        <item m="1" x="589"/>
        <item m="1" x="619"/>
        <item m="1" x="642"/>
        <item m="1" x="661"/>
        <item m="1" x="676"/>
        <item m="1" x="693"/>
        <item m="1" x="736"/>
        <item m="1" x="716"/>
        <item m="1" x="771"/>
        <item m="1" x="826"/>
        <item m="1" x="882"/>
        <item m="1" x="927"/>
        <item m="1" x="991"/>
        <item m="1" x="1035"/>
        <item m="1" x="1086"/>
        <item m="1" x="76"/>
        <item m="1" x="104"/>
        <item m="1" x="126"/>
        <item m="1" x="142"/>
        <item m="1" x="156"/>
        <item m="1" x="192"/>
        <item m="1" x="969"/>
        <item m="1" x="177"/>
        <item m="1" x="1015"/>
        <item m="1" x="1065"/>
        <item m="1" x="1113"/>
        <item m="1" x="95"/>
        <item m="1" x="119"/>
        <item m="1" x="139"/>
        <item m="1" x="152"/>
        <item m="1" x="175"/>
        <item m="1" x="224"/>
        <item m="1" x="985"/>
        <item m="1" x="1021"/>
        <item m="1" x="1069"/>
        <item m="1" x="1117"/>
        <item m="1" x="98"/>
        <item m="1" x="122"/>
        <item m="1" x="140"/>
        <item m="1" x="153"/>
        <item m="1" x="176"/>
        <item m="1" x="203"/>
        <item m="1" x="258"/>
        <item m="1" x="314"/>
        <item m="1" x="370"/>
        <item m="1" x="474"/>
        <item m="1" x="521"/>
        <item m="1" x="573"/>
        <item m="1" x="609"/>
        <item m="1" x="712"/>
        <item m="1" x="768"/>
        <item m="1" x="822"/>
        <item m="1" x="878"/>
        <item m="1" x="686"/>
        <item m="1" x="990"/>
        <item m="1" x="495"/>
        <item m="1" x="547"/>
        <item m="1" x="593"/>
        <item m="1" x="623"/>
        <item x="0"/>
        <item m="1" x="963"/>
        <item m="1" x="158"/>
        <item m="1" x="194"/>
        <item m="1" x="972"/>
        <item m="1" x="1006"/>
        <item m="1" x="1051"/>
        <item m="1" x="1098"/>
        <item m="1" x="84"/>
        <item m="1" x="109"/>
        <item m="1" x="129"/>
        <item m="1" x="145"/>
        <item m="1" x="1081"/>
        <item m="1" x="539"/>
        <item m="1" x="1052"/>
        <item m="1" x="512"/>
        <item m="1" x="1029"/>
        <item m="1" x="487"/>
        <item m="1" x="1002"/>
        <item m="1" x="463"/>
        <item m="1" x="986"/>
        <item m="1" x="587"/>
        <item m="1" x="1099"/>
        <item m="1" x="561"/>
        <item m="1" x="1074"/>
        <item m="1" x="531"/>
        <item m="1" x="1043"/>
        <item m="1" x="503"/>
        <item m="1" x="1022"/>
        <item m="1" x="479"/>
        <item m="1" x="994"/>
        <item m="1" x="602"/>
        <item m="1" x="1121"/>
        <item m="1" x="582"/>
        <item m="1" x="1093"/>
        <item m="1" x="554"/>
        <item m="1" x="1070"/>
        <item m="1" x="526"/>
        <item m="1" x="1038"/>
        <item m="1" x="276"/>
        <item m="1" x="787"/>
        <item m="1" x="247"/>
        <item m="1" x="758"/>
        <item m="1" x="220"/>
        <item m="1" x="727"/>
        <item m="1" x="567"/>
        <item m="1" x="1079"/>
        <item m="1" x="536"/>
        <item m="1" x="1047"/>
        <item m="1" x="508"/>
        <item m="1" x="1025"/>
        <item m="1" x="483"/>
        <item m="1" x="997"/>
        <item m="1" x="459"/>
        <item m="1" x="1123"/>
        <item m="1" x="585"/>
        <item m="1" x="1095"/>
        <item m="1" x="557"/>
        <item m="1" x="1072"/>
        <item m="1" x="529"/>
        <item m="1" x="1040"/>
        <item m="1" x="501"/>
        <item m="1" x="1019"/>
        <item m="1" x="477"/>
        <item m="1" x="815"/>
        <item m="1" x="274"/>
        <item m="1" x="784"/>
        <item m="1" x="243"/>
        <item m="1" x="754"/>
        <item m="1" x="216"/>
        <item m="1" x="723"/>
        <item m="1" x="184"/>
        <item m="1" x="698"/>
        <item m="1" x="329"/>
        <item m="1" x="838"/>
        <item m="1" x="297"/>
        <item m="1" x="808"/>
        <item m="1" x="267"/>
        <item m="1" x="777"/>
        <item m="1" x="236"/>
        <item m="1" x="747"/>
        <item m="1" x="208"/>
        <item m="1" x="717"/>
        <item m="1" x="355"/>
        <item m="1" x="864"/>
        <item m="1" x="323"/>
        <item m="1" x="832"/>
        <item m="1" x="292"/>
        <item m="1" x="803"/>
        <item m="1" x="262"/>
        <item m="1" x="772"/>
        <item m="1" x="230"/>
        <item m="1" x="741"/>
        <item m="1" x="379"/>
        <item m="1" x="889"/>
        <item m="1" x="350"/>
        <item m="1" x="858"/>
        <item m="1" x="318"/>
        <item m="1" x="827"/>
        <item m="1" x="286"/>
        <item m="1" x="796"/>
        <item m="1" x="256"/>
        <item m="1" x="766"/>
        <item m="1" x="400"/>
        <item m="1" x="910"/>
        <item m="1" x="374"/>
        <item m="1" x="883"/>
        <item m="1" x="344"/>
        <item m="1" x="851"/>
        <item m="1" x="312"/>
        <item m="1" x="1101"/>
        <item m="1" x="563"/>
        <item m="1" x="1076"/>
        <item m="1" x="533"/>
        <item m="1" x="1045"/>
        <item m="1" x="505"/>
        <item m="1" x="178"/>
        <item m="1" x="201"/>
        <item m="1" x="225"/>
        <item m="1" x="251"/>
        <item m="1" x="277"/>
        <item m="1" x="304"/>
        <item m="1" x="332"/>
        <item m="1" x="358"/>
        <item m="1" x="381"/>
        <item m="1" x="207"/>
        <item m="1" x="229"/>
        <item m="1" x="255"/>
        <item m="1" x="28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714"/>
        <item m="1" x="739"/>
        <item m="1" x="764"/>
        <item m="1" x="791"/>
        <item m="1" x="443"/>
        <item m="1" x="470"/>
        <item m="1" x="518"/>
        <item m="1" x="569"/>
        <item m="1" x="605"/>
        <item m="1" x="632"/>
        <item m="1" x="652"/>
        <item m="1" x="669"/>
        <item m="1" x="682"/>
        <item m="1" x="709"/>
        <item m="1" x="444"/>
        <item m="1" x="471"/>
        <item m="1" x="519"/>
        <item m="1" x="570"/>
        <item m="1" x="606"/>
        <item m="1" x="633"/>
        <item m="1" x="653"/>
        <item m="1" x="670"/>
        <item m="1" x="683"/>
        <item m="1" x="710"/>
        <item m="1" x="159"/>
        <item m="1" x="195"/>
        <item m="1" x="973"/>
        <item m="1" x="1007"/>
        <item m="1" x="1056"/>
        <item m="1" x="1103"/>
        <item m="1" x="85"/>
        <item m="1" x="110"/>
        <item m="1" x="130"/>
        <item m="1" x="146"/>
        <item m="1" x="160"/>
        <item m="1" x="196"/>
        <item m="1" x="974"/>
        <item m="1" x="1008"/>
        <item m="1" x="1057"/>
        <item m="1" x="1104"/>
        <item m="1" x="86"/>
        <item m="1" x="111"/>
        <item m="1" x="131"/>
        <item m="1" x="147"/>
        <item m="1" x="161"/>
        <item m="1" x="197"/>
        <item m="1" x="975"/>
        <item m="1" x="1009"/>
        <item m="1" x="1058"/>
        <item m="1" x="1105"/>
        <item m="1" x="87"/>
        <item m="1" x="112"/>
        <item m="1" x="132"/>
        <item m="1" x="148"/>
        <item m="1" x="162"/>
        <item m="1" x="198"/>
        <item m="1" x="976"/>
        <item m="1" x="1010"/>
        <item m="1" x="1059"/>
        <item m="1" x="1106"/>
        <item m="1" x="88"/>
        <item m="1" x="113"/>
        <item m="1" x="133"/>
        <item m="1" x="149"/>
        <item m="1" x="163"/>
        <item m="1" x="199"/>
        <item m="1" x="977"/>
        <item m="1" x="1011"/>
        <item m="1" x="1060"/>
        <item m="1" x="1107"/>
        <item m="1" x="89"/>
        <item m="1" x="114"/>
        <item m="1" x="134"/>
        <item m="1" x="150"/>
        <item m="1" x="164"/>
        <item m="1" x="200"/>
        <item m="1" x="978"/>
        <item m="1" x="1012"/>
        <item m="1" x="1061"/>
        <item m="1" x="1108"/>
        <item m="1" x="90"/>
        <item m="1" x="115"/>
        <item m="1" x="135"/>
        <item m="1" x="167"/>
        <item m="1" x="206"/>
        <item m="1" x="979"/>
        <item m="1" x="1013"/>
        <item m="1" x="1062"/>
        <item m="1" x="1109"/>
        <item m="1" x="91"/>
        <item m="1" x="116"/>
        <item m="1" x="136"/>
        <item m="1" x="151"/>
        <item m="1" x="173"/>
        <item m="1" x="214"/>
        <item m="1" x="154"/>
        <item m="1" x="288"/>
        <item m="1" x="346"/>
        <item m="1" x="396"/>
        <item m="1" x="427"/>
        <item m="1" x="439"/>
        <item m="1" x="445"/>
        <item m="1" x="472"/>
        <item m="1" x="155"/>
        <item m="1" x="930"/>
        <item m="1" x="955"/>
        <item m="1" x="967"/>
        <item m="1" x="498"/>
        <item m="1" x="1016"/>
        <item m="1" x="616"/>
        <item m="1" x="82"/>
        <item m="1" x="599"/>
        <item m="1" x="1118"/>
        <item m="1" x="578"/>
        <item m="1" x="1089"/>
        <item m="1" x="550"/>
        <item m="1" x="1066"/>
        <item m="1" x="522"/>
        <item m="1" x="1033"/>
        <item m="1" x="628"/>
        <item m="1" x="99"/>
        <item m="1" x="613"/>
        <item m="1" x="78"/>
        <item m="1" x="595"/>
        <item m="1" x="1114"/>
        <item m="1" x="574"/>
        <item m="1" x="1084"/>
        <item m="1" x="545"/>
        <item m="1" x="1063"/>
        <item m="1" x="638"/>
        <item m="1" x="106"/>
        <item m="1" x="625"/>
        <item m="1" x="96"/>
        <item m="1" x="610"/>
        <item m="1" x="74"/>
        <item m="1" x="591"/>
        <item m="1" x="1111"/>
        <item m="1" x="571"/>
        <item m="1" x="1082"/>
        <item m="1" x="647"/>
        <item m="1" x="120"/>
        <item m="1" x="636"/>
        <item m="1" x="103"/>
        <item m="1" x="622"/>
        <item m="1" x="94"/>
        <item m="1" x="608"/>
        <item m="1" x="73"/>
        <item m="1" x="590"/>
        <item m="1" x="1110"/>
        <item m="1" x="656"/>
        <item m="1" x="125"/>
        <item m="1" x="645"/>
        <item m="1" x="118"/>
        <item m="1" x="635"/>
        <item m="1" x="102"/>
        <item m="1" x="621"/>
        <item m="1" x="93"/>
        <item m="1" x="607"/>
        <item m="1" x="72"/>
        <item m="1" x="663"/>
        <item m="1" x="138"/>
        <item m="1" x="655"/>
        <item m="1" x="124"/>
        <item m="1" x="644"/>
        <item m="1" x="117"/>
        <item m="1" x="634"/>
        <item m="1" x="101"/>
        <item m="1" x="188"/>
        <item m="1" x="702"/>
        <item m="1" x="171"/>
        <item m="1" x="839"/>
        <item m="1" x="299"/>
        <item m="1" x="810"/>
        <item m="1" x="269"/>
        <item m="1" x="779"/>
        <item m="1" x="238"/>
        <item m="1" x="749"/>
        <item m="1" x="210"/>
        <item m="1" x="719"/>
        <item m="1" x="181"/>
        <item m="1" x="865"/>
        <item m="1" x="325"/>
        <item m="1" x="834"/>
        <item m="1" x="294"/>
        <item m="1" x="805"/>
        <item m="1" x="264"/>
        <item m="1" x="774"/>
        <item m="1" x="233"/>
        <item m="1" x="744"/>
        <item m="1" x="204"/>
        <item m="1" x="890"/>
        <item m="1" x="352"/>
        <item m="1" x="861"/>
        <item m="1" x="320"/>
        <item m="1" x="829"/>
        <item m="1" x="289"/>
        <item m="1" x="799"/>
        <item m="1" x="259"/>
        <item m="1" x="769"/>
        <item m="1" x="227"/>
        <item m="1" x="911"/>
        <item m="1" x="376"/>
        <item m="1" x="886"/>
        <item m="1" x="347"/>
        <item m="1" x="854"/>
        <item m="1" x="315"/>
        <item m="1" x="823"/>
        <item m="1" x="283"/>
        <item m="1" x="794"/>
        <item m="1" x="253"/>
        <item m="1" x="928"/>
        <item m="1" x="397"/>
        <item m="1" x="906"/>
        <item m="1" x="371"/>
        <item m="1" x="879"/>
        <item m="1" x="341"/>
        <item m="1" x="848"/>
        <item m="1" x="309"/>
        <item m="1" x="819"/>
        <item m="1" x="279"/>
        <item m="1" x="942"/>
        <item m="1" x="413"/>
        <item m="1" x="924"/>
        <item m="1" x="392"/>
        <item m="1" x="901"/>
        <item m="1" x="366"/>
        <item m="1" x="874"/>
        <item m="1" x="337"/>
        <item m="1" x="845"/>
        <item m="1" x="306"/>
        <item m="1" x="952"/>
        <item m="1" x="424"/>
        <item m="1" x="939"/>
        <item m="1" x="409"/>
        <item m="1" x="920"/>
        <item m="1" x="388"/>
        <item m="1" x="897"/>
        <item m="1" x="362"/>
        <item m="1" x="871"/>
        <item m="1" x="334"/>
        <item m="1" x="960"/>
        <item m="1" x="432"/>
        <item m="1" x="949"/>
        <item m="1" x="420"/>
        <item m="1" x="935"/>
        <item m="1" x="405"/>
        <item m="1" x="917"/>
        <item m="1" x="385"/>
        <item m="1" x="894"/>
        <item m="1" x="359"/>
        <item m="1" x="965"/>
        <item m="1" x="436"/>
        <item m="1" x="958"/>
        <item m="1" x="429"/>
        <item m="1" x="946"/>
        <item m="1" x="417"/>
        <item m="1" x="932"/>
        <item m="1" x="402"/>
        <item m="1" x="914"/>
        <item m="1" x="382"/>
        <item m="1" x="868"/>
        <item m="1" x="330"/>
        <item m="1" x="840"/>
        <item m="1" x="300"/>
        <item m="1" x="811"/>
        <item m="1" x="270"/>
        <item m="1" x="780"/>
        <item m="1" x="239"/>
        <item m="1" x="750"/>
        <item m="1" x="211"/>
        <item m="1" x="892"/>
        <item m="1" x="356"/>
        <item m="1" x="866"/>
        <item m="1" x="326"/>
        <item m="1" x="835"/>
        <item m="1" x="295"/>
        <item m="1" x="806"/>
        <item m="1" x="265"/>
        <item m="1" x="775"/>
        <item m="1" x="234"/>
        <item m="1" x="913"/>
        <item m="1" x="380"/>
        <item m="1" x="891"/>
        <item m="1" x="353"/>
        <item m="1" x="862"/>
        <item m="1" x="321"/>
        <item m="1" x="830"/>
        <item m="1" x="290"/>
        <item m="1" x="800"/>
        <item m="1" x="260"/>
        <item m="1" x="931"/>
        <item m="1" x="401"/>
        <item m="1" x="912"/>
        <item m="1" x="377"/>
        <item m="1" x="887"/>
        <item m="1" x="348"/>
        <item m="1" x="855"/>
        <item m="1" x="316"/>
        <item m="1" x="824"/>
        <item m="1" x="284"/>
        <item m="1" x="944"/>
        <item m="1" x="416"/>
        <item m="1" x="929"/>
        <item m="1" x="398"/>
        <item m="1" x="907"/>
        <item m="1" x="372"/>
        <item m="1" x="880"/>
        <item m="1" x="342"/>
        <item m="1" x="849"/>
        <item m="1" x="310"/>
        <item m="1" x="954"/>
        <item m="1" x="428"/>
        <item m="1" x="943"/>
        <item m="1" x="414"/>
        <item m="1" x="925"/>
        <item m="1" x="393"/>
        <item m="1" x="902"/>
        <item m="1" x="367"/>
        <item m="1" x="875"/>
        <item m="1" x="338"/>
        <item m="1" x="962"/>
        <item m="1" x="435"/>
        <item m="1" x="953"/>
        <item m="1" x="425"/>
        <item m="1" x="940"/>
        <item m="1" x="410"/>
        <item m="1" x="921"/>
        <item m="1" x="389"/>
        <item m="1" x="898"/>
        <item m="1" x="363"/>
        <item m="1" x="966"/>
        <item m="1" x="438"/>
        <item m="1" x="961"/>
        <item m="1" x="433"/>
        <item m="1" x="950"/>
        <item m="1" x="421"/>
        <item m="1" x="936"/>
        <item m="1" x="406"/>
        <item m="1" x="246"/>
        <item m="1" x="757"/>
        <item m="1" x="219"/>
        <item m="1" x="726"/>
        <item m="1" x="187"/>
        <item m="1" x="701"/>
        <item m="1" x="170"/>
        <item m="1" x="685"/>
        <item m="1" x="1050"/>
        <item m="1" x="511"/>
        <item m="1" x="1028"/>
        <item m="1" x="486"/>
        <item m="1" x="1000"/>
        <item m="1" x="462"/>
        <item m="1" x="984"/>
        <item m="1" x="447"/>
        <item m="1" x="968"/>
        <item m="1" x="560"/>
        <item m="1" x="786"/>
        <item m="1" x="245"/>
        <item m="1" x="756"/>
        <item m="1" x="218"/>
        <item m="1" x="725"/>
        <item m="1" x="186"/>
        <item m="1" x="700"/>
        <item m="1" x="169"/>
        <item m="1" x="684"/>
        <item m="1" x="298"/>
        <item m="1" x="809"/>
        <item m="1" x="268"/>
        <item m="1" x="778"/>
        <item m="1" x="237"/>
        <item m="1" x="748"/>
        <item m="1" x="209"/>
        <item m="1" x="718"/>
        <item m="1" x="179"/>
        <item m="1" x="694"/>
        <item m="1" x="324"/>
        <item m="1" x="833"/>
        <item m="1" x="293"/>
        <item m="1" x="804"/>
        <item m="1" x="263"/>
        <item m="1" x="773"/>
        <item m="1" x="231"/>
        <item m="1" x="742"/>
        <item m="1" x="202"/>
        <item m="1" x="711"/>
        <item m="1" x="351"/>
        <item m="1" x="859"/>
        <item m="1" x="319"/>
        <item m="1" x="828"/>
        <item m="1" x="287"/>
        <item m="1" x="797"/>
        <item m="1" x="257"/>
        <item m="1" x="767"/>
        <item m="1" x="226"/>
        <item m="1" x="737"/>
        <item m="1" x="375"/>
        <item m="1" x="884"/>
        <item m="1" x="345"/>
        <item m="1" x="852"/>
        <item m="1" x="313"/>
        <item m="1" x="821"/>
        <item m="1" x="282"/>
        <item m="1" x="793"/>
        <item m="1" x="252"/>
        <item m="1" x="762"/>
        <item m="1" x="395"/>
        <item m="1" x="904"/>
        <item m="1" x="369"/>
        <item m="1" x="877"/>
        <item m="1" x="340"/>
        <item m="1" x="847"/>
        <item m="1" x="308"/>
        <item m="1" x="818"/>
        <item m="1" x="278"/>
        <item m="1" x="790"/>
        <item m="1" x="412"/>
        <item m="1" x="923"/>
        <item m="1" x="391"/>
        <item m="1" x="900"/>
        <item m="1" x="365"/>
        <item m="1" x="873"/>
        <item m="1" x="336"/>
        <item m="1" x="844"/>
        <item m="1" x="305"/>
        <item m="1" x="816"/>
        <item m="1" x="423"/>
        <item m="1" x="938"/>
        <item m="1" x="408"/>
        <item m="1" x="919"/>
        <item m="1" x="387"/>
        <item m="1" x="896"/>
        <item m="1" x="361"/>
        <item m="1" x="870"/>
        <item m="1" x="333"/>
        <item m="1" x="842"/>
        <item m="1" x="431"/>
        <item m="1" x="948"/>
        <item m="1" x="419"/>
        <item m="1" x="934"/>
        <item m="1" x="404"/>
        <item m="1" x="916"/>
        <item m="1" x="384"/>
        <item m="1" x="538"/>
        <item m="1" x="1049"/>
        <item m="1" x="510"/>
        <item m="1" x="1027"/>
        <item m="1" x="485"/>
        <item m="1" x="999"/>
        <item m="1" x="461"/>
        <item m="1" x="983"/>
        <item m="1" x="446"/>
        <item m="1" x="1097"/>
        <item m="1" x="559"/>
        <item m="1" x="1073"/>
        <item m="1" x="530"/>
        <item m="1" x="1041"/>
        <item m="1" x="502"/>
        <item m="1" x="1020"/>
        <item m="1" x="478"/>
        <item m="1" x="992"/>
        <item m="1" x="455"/>
        <item m="1" x="1120"/>
        <item m="1" x="581"/>
        <item m="1" x="1091"/>
        <item m="1" x="553"/>
        <item m="1" x="1068"/>
        <item m="1" x="525"/>
        <item m="1" x="1036"/>
        <item m="1" x="496"/>
        <item m="1" x="1014"/>
        <item m="1" x="473"/>
        <item m="1" x="80"/>
        <item m="1" x="598"/>
        <item m="1" x="1116"/>
        <item m="1" x="577"/>
        <item m="1" x="1087"/>
        <item m="1" x="548"/>
        <item m="1" x="275"/>
        <item m="1" x="785"/>
        <item m="1" x="244"/>
        <item m="1" x="755"/>
        <item m="1" x="217"/>
        <item m="1" x="724"/>
        <item m="1" x="185"/>
        <item m="1" x="699"/>
        <item m="1" x="1080"/>
        <item m="1" x="537"/>
        <item m="1" x="1048"/>
        <item m="1" x="509"/>
        <item m="1" x="1026"/>
        <item m="1" x="484"/>
        <item m="1" x="998"/>
        <item m="1" x="460"/>
        <item m="1" x="982"/>
        <item m="1" x="586"/>
        <item m="1" x="1096"/>
        <item m="1" x="540"/>
        <item m="1" x="1053"/>
        <item m="1" x="513"/>
        <item m="1" x="250"/>
        <item m="1" x="761"/>
        <item m="1" x="223"/>
        <item m="1" x="730"/>
        <item m="1" x="191"/>
        <item m="1" x="1055"/>
        <item m="1" x="516"/>
        <item m="1" x="1032"/>
        <item m="1" x="491"/>
        <item m="1" x="1005"/>
        <item m="1" x="467"/>
        <item m="1" x="989"/>
        <item m="1" x="451"/>
        <item m="1" x="970"/>
        <item m="1" x="566"/>
        <item m="1" x="1078"/>
        <item m="1" x="789"/>
        <item m="1" x="249"/>
        <item m="1" x="760"/>
        <item m="1" x="222"/>
        <item m="1" x="729"/>
        <item m="1" x="190"/>
        <item m="1" x="704"/>
        <item m="1" x="174"/>
        <item m="1" x="688"/>
        <item m="1" x="303"/>
        <item m="1" x="814"/>
        <item m="1" x="273"/>
        <item m="1" x="783"/>
        <item m="1" x="242"/>
        <item m="1" x="753"/>
        <item m="1" x="215"/>
        <item m="1" x="722"/>
        <item m="1" x="183"/>
        <item m="1" x="542"/>
        <item m="1" x="1054"/>
        <item m="1" x="515"/>
        <item m="1" x="1031"/>
        <item m="1" x="490"/>
        <item m="1" x="1004"/>
        <item m="1" x="466"/>
        <item m="1" x="988"/>
        <item m="1" x="450"/>
        <item m="1" x="1102"/>
        <item m="1" x="565"/>
        <item m="1" x="1077"/>
        <item m="1" x="535"/>
        <item m="1" x="1046"/>
        <item m="1" x="507"/>
        <item m="1" x="1024"/>
        <item m="1" x="482"/>
        <item m="1" x="996"/>
        <item m="1" x="731"/>
        <item m="1" x="558"/>
        <item m="1" x="168"/>
        <item x="33"/>
        <item x="34"/>
        <item x="35"/>
        <item x="36"/>
        <item m="1" x="945"/>
        <item m="1" x="957"/>
        <item m="1" x="964"/>
        <item m="1" x="860"/>
        <item m="1" x="885"/>
        <item m="1" x="905"/>
        <item m="1" x="620"/>
        <item m="1" x="92"/>
        <item m="1" x="671"/>
        <item m="1" x="141"/>
        <item m="1" x="662"/>
        <item m="1" x="137"/>
        <item m="1" x="654"/>
        <item m="1" x="123"/>
        <item m="1" x="643"/>
        <item m="1" x="1030"/>
        <item m="1" x="488"/>
        <item m="1" x="1003"/>
        <item m="1" x="464"/>
        <item m="1" x="987"/>
        <item m="1" x="448"/>
        <item m="1" x="1100"/>
        <item m="1" x="562"/>
        <item m="1" x="1075"/>
        <item m="1" x="532"/>
        <item m="1" x="1044"/>
        <item m="1" x="504"/>
        <item m="1" x="1023"/>
        <item m="1" x="480"/>
        <item m="1" x="995"/>
        <item m="1" x="457"/>
        <item m="1" x="1122"/>
        <item m="1" x="583"/>
        <item m="1" x="1094"/>
        <item m="1" x="555"/>
        <item m="1" x="1071"/>
        <item m="1" x="527"/>
        <item m="1" x="1039"/>
        <item m="1" x="499"/>
        <item m="1" x="1017"/>
        <item m="1" x="475"/>
        <item m="1" x="83"/>
        <item m="1" x="600"/>
        <item m="1" x="1119"/>
        <item m="1" x="579"/>
        <item m="1" x="1090"/>
        <item m="1" x="551"/>
        <item m="1" x="1067"/>
        <item m="1" x="523"/>
        <item m="1" x="1034"/>
        <item m="1" x="494"/>
        <item m="1" x="100"/>
        <item m="1" x="614"/>
        <item m="1" x="79"/>
        <item m="1" x="596"/>
        <item m="1" x="1115"/>
        <item m="1" x="575"/>
        <item m="1" x="1085"/>
        <item m="1" x="546"/>
        <item m="1" x="1064"/>
        <item m="1" x="520"/>
        <item m="1" x="107"/>
        <item m="1" x="626"/>
        <item m="1" x="97"/>
        <item m="1" x="611"/>
        <item m="1" x="75"/>
        <item m="1" x="592"/>
        <item m="1" x="1112"/>
        <item m="1" x="572"/>
        <item m="1" x="1083"/>
        <item m="1" x="544"/>
        <item m="1" x="121"/>
        <item m="1" x="788"/>
        <item m="1" x="248"/>
        <item m="1" x="759"/>
        <item m="1" x="221"/>
        <item m="1" x="728"/>
        <item m="1" x="189"/>
        <item m="1" x="703"/>
        <item m="1" x="172"/>
        <item m="1" x="687"/>
        <item m="1" x="301"/>
        <item m="1" x="812"/>
        <item m="1" x="271"/>
        <item m="1" x="781"/>
        <item m="1" x="240"/>
        <item m="1" x="751"/>
        <item m="1" x="212"/>
        <item m="1" x="720"/>
        <item m="1" x="182"/>
        <item m="1" x="696"/>
        <item m="1" x="327"/>
        <item m="1" x="836"/>
        <item m="1" x="296"/>
        <item m="1" x="807"/>
        <item m="1" x="266"/>
        <item m="1" x="776"/>
        <item m="1" x="235"/>
        <item m="1" x="745"/>
        <item m="1" x="205"/>
        <item m="1" x="715"/>
        <item m="1" x="354"/>
        <item m="1" x="863"/>
        <item m="1" x="322"/>
        <item m="1" x="831"/>
        <item m="1" x="291"/>
        <item m="1" x="801"/>
        <item m="1" x="261"/>
        <item m="1" x="770"/>
        <item m="1" x="228"/>
        <item m="1" x="740"/>
        <item m="1" x="378"/>
        <item m="1" x="888"/>
        <item m="1" x="349"/>
        <item m="1" x="856"/>
        <item m="1" x="317"/>
        <item m="1" x="825"/>
        <item m="1" x="285"/>
        <item m="1" x="795"/>
        <item m="1" x="254"/>
        <item m="1" x="765"/>
        <item m="1" x="399"/>
        <item m="1" x="908"/>
        <item m="1" x="373"/>
        <item m="1" x="881"/>
        <item m="1" x="343"/>
        <item m="1" x="850"/>
        <item m="1" x="311"/>
        <item m="1" x="820"/>
        <item m="1" x="280"/>
        <item m="1" x="792"/>
        <item m="1" x="415"/>
        <item m="1" x="926"/>
        <item m="1" x="394"/>
        <item m="1" x="903"/>
        <item m="1" x="368"/>
        <item m="1" x="876"/>
        <item m="1" x="339"/>
        <item m="1" x="846"/>
        <item m="1" x="307"/>
        <item m="1" x="817"/>
        <item m="1" x="426"/>
        <item m="1" x="941"/>
        <item m="1" x="411"/>
        <item m="1" x="922"/>
        <item m="1" x="390"/>
        <item m="1" x="899"/>
        <item m="1" x="364"/>
        <item m="1" x="872"/>
        <item m="1" x="335"/>
        <item m="1" x="843"/>
        <item m="1" x="434"/>
        <item m="1" x="951"/>
        <item m="1" x="422"/>
        <item m="1" x="937"/>
        <item m="1" x="407"/>
        <item m="1" x="918"/>
        <item m="1" x="386"/>
        <item m="1" x="895"/>
        <item m="1" x="360"/>
        <item m="1" x="869"/>
        <item m="1" x="437"/>
        <item m="1" x="959"/>
        <item m="1" x="430"/>
        <item m="1" x="947"/>
        <item m="1" x="418"/>
        <item m="1" x="933"/>
        <item m="1" x="403"/>
        <item m="1" x="915"/>
        <item m="1" x="383"/>
        <item m="1" x="893"/>
        <item m="1" x="331"/>
        <item m="1" x="841"/>
        <item m="1" x="302"/>
        <item m="1" x="813"/>
        <item m="1" x="272"/>
        <item m="1" x="782"/>
        <item m="1" x="241"/>
        <item m="1" x="752"/>
        <item m="1" x="213"/>
        <item m="1" x="721"/>
        <item m="1" x="357"/>
        <item m="1" x="867"/>
        <item m="1" x="328"/>
        <item m="1" x="837"/>
        <item x="71"/>
        <item m="1" x="713"/>
        <item m="1" x="738"/>
        <item m="1" x="763"/>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axis="axisRow" compact="0" outline="0" showAll="0" defaultSubtotal="0">
      <items count="1505">
        <item m="1" x="589"/>
        <item m="1" x="728"/>
        <item m="1" x="1036"/>
        <item m="1" x="628"/>
        <item m="1" x="340"/>
        <item m="1" x="978"/>
        <item m="1" x="701"/>
        <item m="1" x="236"/>
        <item m="1" x="876"/>
        <item m="1" x="1070"/>
        <item m="1" x="706"/>
        <item m="1" x="1364"/>
        <item m="1" x="824"/>
        <item m="1" x="330"/>
        <item m="1" x="609"/>
        <item m="1" x="405"/>
        <item m="1" x="473"/>
        <item m="1" x="272"/>
        <item m="1" x="240"/>
        <item m="1" x="1381"/>
        <item m="1" x="353"/>
        <item m="1" x="137"/>
        <item m="1" x="1190"/>
        <item m="1" x="526"/>
        <item m="1" x="1422"/>
        <item m="1" x="830"/>
        <item m="1" x="339"/>
        <item m="1" x="1118"/>
        <item m="1" x="723"/>
        <item m="1" x="118"/>
        <item m="1" x="119"/>
        <item m="1" x="574"/>
        <item m="1" x="283"/>
        <item m="1" x="284"/>
        <item m="1" x="1001"/>
        <item m="1" x="1372"/>
        <item m="1" x="1135"/>
        <item m="1" x="310"/>
        <item m="1" x="1220"/>
        <item m="1" x="975"/>
        <item m="1" x="264"/>
        <item m="1" x="1309"/>
        <item m="1" x="458"/>
        <item m="1" x="779"/>
        <item m="1" x="201"/>
        <item m="1" x="827"/>
        <item m="1" x="1086"/>
        <item m="1" x="408"/>
        <item m="1" x="590"/>
        <item m="1" x="1425"/>
        <item m="1" x="492"/>
        <item m="1" x="1203"/>
        <item m="1" x="600"/>
        <item x="11"/>
        <item m="1" x="345"/>
        <item m="1" x="983"/>
        <item m="1" x="358"/>
        <item m="1" x="258"/>
        <item m="1" x="1023"/>
        <item m="1" x="675"/>
        <item m="1" x="144"/>
        <item m="1" x="267"/>
        <item m="1" x="1213"/>
        <item m="1" x="569"/>
        <item m="1" x="1030"/>
        <item m="1" x="289"/>
        <item m="1" x="286"/>
        <item m="1" x="1028"/>
        <item m="1" x="1006"/>
        <item m="1" x="529"/>
        <item m="1" x="452"/>
        <item m="1" x="523"/>
        <item m="1" x="278"/>
        <item m="1" x="1265"/>
        <item m="1" x="460"/>
        <item m="1" x="302"/>
        <item m="1" x="1106"/>
        <item m="1" x="1002"/>
        <item m="1" x="1087"/>
        <item m="1" x="775"/>
        <item m="1" x="359"/>
        <item m="1" x="627"/>
        <item m="1" x="652"/>
        <item m="1" x="309"/>
        <item m="1" x="869"/>
        <item m="1" x="587"/>
        <item m="1" x="1119"/>
        <item m="1" x="341"/>
        <item m="1" x="762"/>
        <item m="1" x="1178"/>
        <item m="1" x="805"/>
        <item m="1" x="710"/>
        <item m="1" x="711"/>
        <item m="1" x="1095"/>
        <item m="1" x="111"/>
        <item m="1" x="546"/>
        <item m="1" x="1377"/>
        <item m="1" x="1481"/>
        <item m="1" x="518"/>
        <item m="1" x="203"/>
        <item m="1" x="924"/>
        <item m="1" x="544"/>
        <item m="1" x="734"/>
        <item m="1" x="1091"/>
        <item m="1" x="519"/>
        <item m="1" x="727"/>
        <item m="1" x="691"/>
        <item m="1" x="905"/>
        <item m="1" x="767"/>
        <item m="1" x="204"/>
        <item m="1" x="472"/>
        <item m="1" x="1321"/>
        <item m="1" x="224"/>
        <item m="1" x="679"/>
        <item m="1" x="1153"/>
        <item m="1" x="206"/>
        <item sd="0" m="1" x="621"/>
        <item m="1" x="1192"/>
        <item m="1" x="485"/>
        <item m="1" x="619"/>
        <item m="1" x="200"/>
        <item m="1" x="610"/>
        <item m="1" x="952"/>
        <item m="1" x="1441"/>
        <item m="1" x="1262"/>
        <item m="1" x="1201"/>
        <item m="1" x="1051"/>
        <item m="1" x="1328"/>
        <item m="1" x="1189"/>
        <item m="1" x="499"/>
        <item m="1" x="490"/>
        <item m="1" x="336"/>
        <item m="1" x="813"/>
        <item m="1" x="1311"/>
        <item m="1" x="645"/>
        <item m="1" x="1229"/>
        <item m="1" x="211"/>
        <item m="1" x="296"/>
        <item m="1" x="1249"/>
        <item m="1" x="623"/>
        <item m="1" x="1259"/>
        <item m="1" x="1396"/>
        <item m="1" x="588"/>
        <item m="1" x="383"/>
        <item m="1" x="1149"/>
        <item m="1" x="394"/>
        <item m="1" x="425"/>
        <item m="1" x="640"/>
        <item m="1" x="314"/>
        <item m="1" x="1410"/>
        <item m="1" x="271"/>
        <item m="1" x="498"/>
        <item m="1" x="885"/>
        <item m="1" x="385"/>
        <item m="1" x="1038"/>
        <item m="1" x="178"/>
        <item m="1" x="346"/>
        <item m="1" x="776"/>
        <item m="1" x="146"/>
        <item m="1" x="934"/>
        <item m="1" x="194"/>
        <item m="1" x="395"/>
        <item m="1" x="707"/>
        <item m="1" x="1409"/>
        <item m="1" x="708"/>
        <item m="1" x="1263"/>
        <item m="1" x="823"/>
        <item sd="0" x="47"/>
        <item m="1" x="973"/>
        <item m="1" x="950"/>
        <item m="1" x="936"/>
        <item m="1" x="288"/>
        <item m="1" x="401"/>
        <item m="1" x="1353"/>
        <item m="1" x="285"/>
        <item m="1" x="455"/>
        <item m="1" x="1145"/>
        <item m="1" x="954"/>
        <item m="1" x="542"/>
        <item m="1" x="115"/>
        <item m="1" x="252"/>
        <item m="1" x="131"/>
        <item m="1" x="213"/>
        <item m="1" x="570"/>
        <item m="1" x="229"/>
        <item m="1" x="270"/>
        <item m="1" x="300"/>
        <item m="1" x="979"/>
        <item m="1" x="1142"/>
        <item m="1" x="1179"/>
        <item m="1" x="1335"/>
        <item m="1" x="120"/>
        <item m="1" x="1180"/>
        <item m="1" x="1336"/>
        <item m="1" x="121"/>
        <item m="1" x="325"/>
        <item m="1" x="470"/>
        <item m="1" x="1147"/>
        <item m="1" x="1341"/>
        <item m="1" x="1446"/>
        <item x="3"/>
        <item m="1" x="1362"/>
        <item m="1" x="608"/>
        <item m="1" x="981"/>
        <item m="1" x="1040"/>
        <item m="1" x="1317"/>
        <item m="1" x="1099"/>
        <item m="1" x="481"/>
        <item m="1" x="837"/>
        <item m="1" x="736"/>
        <item m="1" x="475"/>
        <item m="1" x="469"/>
        <item m="1" x="1027"/>
        <item m="1" x="760"/>
        <item m="1" x="230"/>
        <item m="1" x="995"/>
        <item m="1" x="1208"/>
        <item m="1" x="503"/>
        <item m="1" x="388"/>
        <item m="1" x="953"/>
        <item m="1" x="962"/>
        <item m="1" x="686"/>
        <item m="1" x="1283"/>
        <item m="1" x="1108"/>
        <item m="1" x="1264"/>
        <item m="1" x="1133"/>
        <item m="1" x="1032"/>
        <item m="1" x="769"/>
        <item m="1" x="1450"/>
        <item m="1" x="702"/>
        <item m="1" x="217"/>
        <item m="1" x="371"/>
        <item x="10"/>
        <item m="1" x="1495"/>
        <item m="1" x="362"/>
        <item m="1" x="172"/>
        <item m="1" x="515"/>
        <item m="1" x="1488"/>
        <item m="1" x="500"/>
        <item m="1" x="1401"/>
        <item m="1" x="157"/>
        <item m="1" x="568"/>
        <item m="1" x="581"/>
        <item m="1" x="630"/>
        <item m="1" x="368"/>
        <item m="1" x="1400"/>
        <item m="1" x="1390"/>
        <item m="1" x="1089"/>
        <item m="1" x="576"/>
        <item m="1" x="372"/>
        <item m="1" x="752"/>
        <item m="1" x="255"/>
        <item m="1" x="836"/>
        <item m="1" x="853"/>
        <item m="1" x="1301"/>
        <item m="1" x="317"/>
        <item m="1" x="462"/>
        <item m="1" x="257"/>
        <item m="1" x="210"/>
        <item m="1" x="1069"/>
        <item m="1" x="1501"/>
        <item m="1" x="265"/>
        <item m="1" x="1222"/>
        <item m="1" x="774"/>
        <item m="1" x="479"/>
        <item m="1" x="968"/>
        <item m="1" x="858"/>
        <item m="1" x="1462"/>
        <item m="1" x="189"/>
        <item m="1" x="366"/>
        <item m="1" x="397"/>
        <item m="1" x="1167"/>
        <item m="1" x="646"/>
        <item m="1" x="866"/>
        <item m="1" x="955"/>
        <item m="1" x="1157"/>
        <item m="1" x="899"/>
        <item m="1" x="1434"/>
        <item m="1" x="369"/>
        <item m="1" x="450"/>
        <item x="30"/>
        <item m="1" x="844"/>
        <item m="1" x="1352"/>
        <item m="1" x="1015"/>
        <item m="1" x="994"/>
        <item m="1" x="489"/>
        <item m="1" x="871"/>
        <item m="1" x="248"/>
        <item m="1" x="976"/>
        <item m="1" x="578"/>
        <item m="1" x="328"/>
        <item m="1" x="681"/>
        <item m="1" x="167"/>
        <item m="1" x="712"/>
        <item m="1" x="605"/>
        <item m="1" x="1168"/>
        <item m="1" x="1219"/>
        <item m="1" x="1376"/>
        <item m="1" x="537"/>
        <item m="1" x="988"/>
        <item m="1" x="234"/>
        <item m="1" x="944"/>
        <item m="1" x="703"/>
        <item m="1" x="631"/>
        <item m="1" x="453"/>
        <item m="1" x="1034"/>
        <item m="1" x="841"/>
        <item m="1" x="1115"/>
        <item m="1" x="316"/>
        <item m="1" x="847"/>
        <item m="1" x="848"/>
        <item m="1" x="946"/>
        <item m="1" x="1419"/>
        <item m="1" x="1114"/>
        <item m="1" x="329"/>
        <item m="1" x="969"/>
        <item m="1" x="1185"/>
        <item m="1" x="129"/>
        <item m="1" x="1417"/>
        <item m="1" x="1256"/>
        <item m="1" x="1412"/>
        <item m="1" x="1093"/>
        <item m="1" x="1363"/>
        <item m="1" x="1475"/>
        <item m="1" x="1329"/>
        <item m="1" x="1338"/>
        <item m="1" x="766"/>
        <item m="1" x="951"/>
        <item m="1" x="777"/>
        <item m="1" x="1166"/>
        <item m="1" x="729"/>
        <item m="1" x="1281"/>
        <item m="1" x="436"/>
        <item m="1" x="602"/>
        <item m="1" x="1429"/>
        <item m="1" x="972"/>
        <item m="1" x="342"/>
        <item m="1" x="116"/>
        <item m="1" x="781"/>
        <item m="1" x="622"/>
        <item m="1" x="182"/>
        <item m="1" x="806"/>
        <item m="1" x="911"/>
        <item m="1" x="1170"/>
        <item x="32"/>
        <item m="1" x="357"/>
        <item m="1" x="1138"/>
        <item m="1" x="1005"/>
        <item m="1" x="1020"/>
        <item m="1" x="352"/>
        <item m="1" x="671"/>
        <item m="1" x="678"/>
        <item m="1" x="838"/>
        <item m="1" x="803"/>
        <item m="1" x="804"/>
        <item m="1" x="322"/>
        <item m="1" x="262"/>
        <item m="1" x="320"/>
        <item m="1" x="337"/>
        <item m="1" x="763"/>
        <item m="1" x="764"/>
        <item m="1" x="1483"/>
        <item m="1" x="1484"/>
        <item m="1" x="1128"/>
        <item m="1" x="722"/>
        <item m="1" x="457"/>
        <item m="1" x="1100"/>
        <item m="1" x="495"/>
        <item m="1" x="1227"/>
        <item m="1" x="491"/>
        <item m="1" x="1415"/>
        <item m="1" x="402"/>
        <item m="1" x="382"/>
        <item m="1" x="249"/>
        <item m="1" x="802"/>
        <item m="1" x="373"/>
        <item m="1" x="1375"/>
        <item m="1" x="1391"/>
        <item m="1" x="654"/>
        <item m="1" x="528"/>
        <item m="1" x="606"/>
        <item m="1" x="1485"/>
        <item m="1" x="128"/>
        <item m="1" x="1257"/>
        <item m="1" x="109"/>
        <item m="1" x="694"/>
        <item m="1" x="584"/>
        <item m="1" x="193"/>
        <item m="1" x="575"/>
        <item m="1" x="696"/>
        <item m="1" x="160"/>
        <item m="1" x="1411"/>
        <item m="1" x="787"/>
        <item m="1" x="601"/>
        <item m="1" x="1277"/>
        <item m="1" x="922"/>
        <item m="1" x="1072"/>
        <item m="1" x="1241"/>
        <item m="1" x="202"/>
        <item m="1" x="1337"/>
        <item m="1" x="501"/>
        <item m="1" x="620"/>
        <item m="1" x="870"/>
        <item m="1" x="1325"/>
        <item m="1" x="242"/>
        <item m="1" x="260"/>
        <item m="1" x="1431"/>
        <item m="1" x="961"/>
        <item m="1" x="888"/>
        <item m="1" x="742"/>
        <item m="1" x="207"/>
        <item m="1" x="1198"/>
        <item m="1" x="788"/>
        <item m="1" x="558"/>
        <item m="1" x="674"/>
        <item m="1" x="1420"/>
        <item m="1" x="980"/>
        <item m="1" x="232"/>
        <item m="1" x="507"/>
        <item m="1" x="104"/>
        <item m="1" x="333"/>
        <item m="1" x="171"/>
        <item m="1" x="292"/>
        <item m="1" x="1439"/>
        <item m="1" x="199"/>
        <item m="1" x="790"/>
        <item m="1" x="1346"/>
        <item m="1" x="1065"/>
        <item m="1" x="514"/>
        <item m="1" x="822"/>
        <item m="1" x="1244"/>
        <item m="1" x="1137"/>
        <item m="1" x="348"/>
        <item m="1" x="536"/>
        <item m="1" x="1156"/>
        <item m="1" x="755"/>
        <item m="1" x="798"/>
        <item m="1" x="845"/>
        <item m="1" x="1300"/>
        <item m="1" x="512"/>
        <item m="1" x="1399"/>
        <item m="1" x="356"/>
        <item m="1" x="280"/>
        <item m="1" x="313"/>
        <item m="1" x="463"/>
        <item m="1" x="1295"/>
        <item m="1" x="945"/>
        <item m="1" x="295"/>
        <item m="1" x="438"/>
        <item m="1" x="386"/>
        <item m="1" x="276"/>
        <item m="1" x="1048"/>
        <item m="1" x="277"/>
        <item m="1" x="1046"/>
        <item m="1" x="103"/>
        <item m="1" x="650"/>
        <item m="1" x="451"/>
        <item m="1" x="1011"/>
        <item m="1" x="251"/>
        <item m="1" x="161"/>
        <item m="1" x="1255"/>
        <item m="1" x="807"/>
        <item m="1" x="461"/>
        <item m="1" x="1405"/>
        <item m="1" x="403"/>
        <item m="1" x="919"/>
        <item m="1" x="571"/>
        <item m="1" x="1084"/>
        <item m="1" x="1082"/>
        <item m="1" x="1394"/>
        <item m="1" x="965"/>
        <item m="1" x="1215"/>
        <item m="1" x="446"/>
        <item m="1" x="233"/>
        <item m="1" x="753"/>
        <item m="1" x="987"/>
        <item m="1" x="1022"/>
        <item m="1" x="1164"/>
        <item m="1" x="541"/>
        <item m="1" x="1500"/>
        <item m="1" x="165"/>
        <item m="1" x="231"/>
        <item m="1" x="1144"/>
        <item m="1" x="412"/>
        <item m="1" x="817"/>
        <item m="1" x="586"/>
        <item m="1" x="1207"/>
        <item m="1" x="604"/>
        <item m="1" x="1502"/>
        <item m="1" x="1306"/>
        <item m="1" x="1085"/>
        <item m="1" x="1214"/>
        <item m="1" x="1242"/>
        <item m="1" x="1282"/>
        <item m="1" x="1303"/>
        <item m="1" x="293"/>
        <item m="1" x="294"/>
        <item m="1" x="1136"/>
        <item m="1" x="1103"/>
        <item m="1" x="854"/>
        <item m="1" x="530"/>
        <item m="1" x="471"/>
        <item m="1" x="493"/>
        <item m="1" x="105"/>
        <item m="1" x="531"/>
        <item m="1" x="406"/>
        <item m="1" x="1297"/>
        <item m="1" x="1188"/>
        <item m="1" x="563"/>
        <item m="1" x="441"/>
        <item m="1" x="1226"/>
        <item m="1" x="1331"/>
        <item m="1" x="347"/>
        <item m="1" x="572"/>
        <item m="1" x="1092"/>
        <item m="1" x="577"/>
        <item m="1" x="993"/>
        <item m="1" x="535"/>
        <item m="1" x="389"/>
        <item m="1" x="1113"/>
        <item m="1" x="559"/>
        <item m="1" x="1271"/>
        <item m="1" x="1270"/>
        <item m="1" x="410"/>
        <item m="1" x="908"/>
        <item m="1" x="662"/>
        <item m="1" x="1210"/>
        <item m="1" x="1356"/>
        <item m="1" x="134"/>
        <item m="1" x="275"/>
        <item m="1" x="984"/>
        <item m="1" x="521"/>
        <item m="1" x="520"/>
        <item m="1" x="1447"/>
        <item m="1" x="1448"/>
        <item m="1" x="1129"/>
        <item m="1" x="1342"/>
        <item m="1" x="868"/>
        <item m="1" x="967"/>
        <item m="1" x="174"/>
        <item m="1" x="184"/>
        <item m="1" x="474"/>
        <item m="1" x="1223"/>
        <item m="1" x="127"/>
        <item m="1" x="1224"/>
        <item m="1" x="758"/>
        <item m="1" x="1314"/>
        <item m="1" x="365"/>
        <item m="1" x="225"/>
        <item m="1" x="1397"/>
        <item m="1" x="1090"/>
        <item m="1" x="477"/>
        <item m="1" x="948"/>
        <item m="1" x="741"/>
        <item m="1" x="704"/>
        <item m="1" x="852"/>
        <item m="1" x="1308"/>
        <item m="1" x="1280"/>
        <item m="1" x="898"/>
        <item m="1" x="179"/>
        <item m="1" x="417"/>
        <item m="1" x="947"/>
        <item m="1" x="349"/>
        <item m="1" x="772"/>
        <item m="1" x="1236"/>
        <item m="1" x="253"/>
        <item m="1" x="192"/>
        <item m="1" x="1302"/>
        <item m="1" x="638"/>
        <item m="1" x="909"/>
        <item m="1" x="447"/>
        <item m="1" x="635"/>
        <item m="1" x="716"/>
        <item m="1" x="423"/>
        <item m="1" x="561"/>
        <item m="1" x="404"/>
        <item m="1" x="685"/>
        <item m="1" x="1047"/>
        <item m="1" x="1003"/>
        <item m="1" x="1493"/>
        <item m="1" x="689"/>
        <item m="1" x="261"/>
        <item m="1" x="756"/>
        <item m="1" x="1284"/>
        <item m="1" x="956"/>
        <item m="1" x="773"/>
        <item m="1" x="169"/>
        <item m="1" x="796"/>
        <item m="1" x="486"/>
        <item m="1" x="476"/>
        <item m="1" x="724"/>
        <item m="1" x="170"/>
        <item m="1" x="239"/>
        <item m="1" x="1389"/>
        <item m="1" x="1435"/>
        <item m="1" x="1035"/>
        <item m="1" x="1385"/>
        <item m="1" x="719"/>
        <item m="1" x="1140"/>
        <item m="1" x="117"/>
        <item m="1" x="1479"/>
        <item m="1" x="778"/>
        <item m="1" x="720"/>
        <item m="1" x="1120"/>
        <item m="1" x="903"/>
        <item m="1" x="344"/>
        <item m="1" x="637"/>
        <item m="1" x="1132"/>
        <item m="1" x="585"/>
        <item m="1" x="698"/>
        <item m="1" x="877"/>
        <item m="1" x="195"/>
        <item m="1" x="918"/>
        <item m="1" x="687"/>
        <item m="1" x="1260"/>
        <item m="1" x="1503"/>
        <item m="1" x="1031"/>
        <item m="1" x="828"/>
        <item m="1" x="1305"/>
        <item m="1" x="1202"/>
        <item m="1" x="173"/>
        <item m="1" x="737"/>
        <item m="1" x="656"/>
        <item m="1" x="533"/>
        <item m="1" x="989"/>
        <item m="1" x="839"/>
        <item m="1" x="1161"/>
        <item m="1" x="449"/>
        <item m="1" x="307"/>
        <item m="1" x="219"/>
        <item m="1" x="607"/>
        <item m="1" x="431"/>
        <item m="1" x="163"/>
        <item m="1" x="1045"/>
        <item m="1" x="456"/>
        <item m="1" x="851"/>
        <item m="1" x="649"/>
        <item m="1" x="483"/>
        <item m="1" x="982"/>
        <item m="1" x="1101"/>
        <item m="1" x="1018"/>
        <item m="1" x="1245"/>
        <item x="15"/>
        <item m="1" x="363"/>
        <item m="1" x="1239"/>
        <item m="1" x="846"/>
        <item m="1" x="1322"/>
        <item m="1" x="303"/>
        <item m="1" x="913"/>
        <item m="1" x="1110"/>
        <item m="1" x="1347"/>
        <item m="1" x="1251"/>
        <item m="1" x="381"/>
        <item m="1" x="991"/>
        <item m="1" x="1126"/>
        <item m="1" x="560"/>
        <item m="1" x="376"/>
        <item m="1" x="651"/>
        <item m="1" x="237"/>
        <item m="1" x="1152"/>
        <item m="1" x="926"/>
        <item m="1" x="222"/>
        <item m="1" x="1134"/>
        <item m="1" x="1163"/>
        <item m="1" x="135"/>
        <item m="1" x="335"/>
        <item m="1" x="709"/>
        <item m="1" x="188"/>
        <item m="1" x="439"/>
        <item m="1" x="1014"/>
        <item m="1" x="326"/>
        <item m="1" x="1258"/>
        <item m="1" x="818"/>
        <item m="1" x="676"/>
        <item m="1" x="971"/>
        <item m="1" x="668"/>
        <item m="1" x="690"/>
        <item m="1" x="664"/>
        <item m="1" x="901"/>
        <item m="1" x="565"/>
        <item m="1" x="287"/>
        <item m="1" x="1275"/>
        <item m="1" x="164"/>
        <item m="1" x="1171"/>
        <item m="1" x="393"/>
        <item m="1" x="865"/>
        <item m="1" x="1473"/>
        <item m="1" x="180"/>
        <item m="1" x="624"/>
        <item m="1" x="123"/>
        <item m="1" x="882"/>
        <item m="1" x="1111"/>
        <item m="1" x="1482"/>
        <item m="1" x="497"/>
        <item m="1" x="422"/>
        <item m="1" x="797"/>
        <item m="1" x="430"/>
        <item m="1" x="1102"/>
        <item m="1" x="1466"/>
        <item m="1" x="319"/>
        <item m="1" x="784"/>
        <item m="1" x="482"/>
        <item m="1" x="1139"/>
        <item m="1" x="250"/>
        <item m="1" x="639"/>
        <item m="1" x="1248"/>
        <item m="1" x="1486"/>
        <item m="1" x="168"/>
        <item m="1" x="831"/>
        <item m="1" x="594"/>
        <item m="1" x="970"/>
        <item m="1" x="1024"/>
        <item m="1" x="1162"/>
        <item m="1" x="930"/>
        <item m="1" x="133"/>
        <item m="1" x="516"/>
        <item m="1" x="384"/>
        <item m="1" x="768"/>
        <item m="1" x="361"/>
        <item m="1" x="1357"/>
        <item m="1" x="1037"/>
        <item m="1" x="1253"/>
        <item m="1" x="440"/>
        <item m="1" x="1494"/>
        <item m="1" x="912"/>
        <item m="1" x="435"/>
        <item m="1" x="1477"/>
        <item m="1" x="1476"/>
        <item m="1" x="185"/>
        <item m="1" x="312"/>
        <item m="1" x="355"/>
        <item m="1" x="1489"/>
        <item m="1" x="591"/>
        <item m="1" x="860"/>
        <item m="1" x="592"/>
        <item m="1" x="739"/>
        <item m="1" x="1359"/>
        <item m="1" x="332"/>
        <item m="1" x="959"/>
        <item m="1" x="175"/>
        <item m="1" x="1272"/>
        <item m="1" x="943"/>
        <item m="1" x="740"/>
        <item m="1" x="459"/>
        <item m="1" x="923"/>
        <item m="1" x="502"/>
        <item m="1" x="198"/>
        <item m="1" x="1141"/>
        <item m="1" x="887"/>
        <item m="1" x="1383"/>
        <item m="1" x="1250"/>
        <item m="1" x="517"/>
        <item m="1" x="415"/>
        <item m="1" x="196"/>
        <item m="1" x="974"/>
        <item m="1" x="122"/>
        <item m="1" x="1299"/>
        <item m="1" x="496"/>
        <item m="1" x="433"/>
        <item m="1" x="872"/>
        <item m="1" x="238"/>
        <item m="1" x="1408"/>
        <item m="1" x="205"/>
        <item m="1" x="857"/>
        <item m="1" x="789"/>
        <item m="1" x="1148"/>
        <item m="1" x="580"/>
        <item m="1" x="1197"/>
        <item m="1" x="113"/>
        <item m="1" x="1423"/>
        <item m="1" x="717"/>
        <item m="1" x="176"/>
        <item m="1" x="142"/>
        <item m="1" x="1487"/>
        <item m="1" x="1169"/>
        <item m="1" x="1266"/>
        <item m="1" x="427"/>
        <item m="1" x="538"/>
        <item m="1" x="1320"/>
        <item m="1" x="291"/>
        <item m="1" x="667"/>
        <item m="1" x="282"/>
        <item m="1" x="765"/>
        <item m="1" x="878"/>
        <item m="1" x="1288"/>
        <item m="1" x="1298"/>
        <item m="1" x="1313"/>
        <item m="1" x="904"/>
        <item m="1" x="886"/>
        <item m="1" x="360"/>
        <item m="1" x="527"/>
        <item m="1" x="1155"/>
        <item m="1" x="110"/>
        <item m="1" x="1285"/>
        <item m="1" x="648"/>
        <item m="1" x="241"/>
        <item m="1" x="791"/>
        <item m="1" x="759"/>
        <item m="1" x="1218"/>
        <item m="1" x="399"/>
        <item m="1" x="929"/>
        <item m="1" x="1294"/>
        <item m="1" x="733"/>
        <item m="1" x="549"/>
        <item m="1" x="454"/>
        <item m="1" x="855"/>
        <item m="1" x="1360"/>
        <item m="1" x="567"/>
        <item m="1" x="304"/>
        <item m="1" x="731"/>
        <item m="1" x="725"/>
        <item m="1" x="1430"/>
        <item m="1" x="1414"/>
        <item m="1" x="1465"/>
        <item m="1" x="1480"/>
        <item m="1" x="364"/>
        <item m="1" x="387"/>
        <item m="1" x="751"/>
        <item m="1" x="540"/>
        <item m="1" x="1361"/>
        <item m="1" x="298"/>
        <item m="1" x="467"/>
        <item m="1" x="1088"/>
        <item m="1" x="566"/>
        <item m="1" x="738"/>
        <item m="1" x="815"/>
        <item m="1" x="599"/>
        <item m="1" x="880"/>
        <item m="1" x="879"/>
        <item m="1" x="323"/>
        <item m="1" x="1316"/>
        <item m="1" x="138"/>
        <item m="1" x="226"/>
        <item m="1" x="927"/>
        <item m="1" x="801"/>
        <item m="1" x="782"/>
        <item m="1" x="245"/>
        <item m="1" x="1200"/>
        <item m="1" x="1469"/>
        <item m="1" x="243"/>
        <item m="1" x="1041"/>
        <item m="1" x="1471"/>
        <item m="1" x="859"/>
        <item m="1" x="1073"/>
        <item m="1" x="1472"/>
        <item m="1" x="1387"/>
        <item m="1" x="963"/>
        <item m="1" x="1217"/>
        <item m="1" x="468"/>
        <item m="1" x="1378"/>
        <item m="1" x="1009"/>
        <item m="1" x="1112"/>
        <item m="1" x="1228"/>
        <item m="1" x="1384"/>
        <item m="1" x="414"/>
        <item m="1" x="256"/>
        <item m="1" x="1221"/>
        <item m="1" x="1438"/>
        <item m="1" x="1187"/>
        <item m="1" x="1199"/>
        <item x="55"/>
        <item m="1" x="1382"/>
        <item m="1" x="214"/>
        <item m="1" x="949"/>
        <item m="1" x="1491"/>
        <item m="1" x="1158"/>
        <item m="1" x="416"/>
        <item m="1" x="820"/>
        <item m="1" x="484"/>
        <item m="1" x="921"/>
        <item m="1" x="159"/>
        <item m="1" x="351"/>
        <item m="1" x="442"/>
        <item m="1" x="443"/>
        <item m="1" x="444"/>
        <item m="1" x="274"/>
        <item m="1" x="273"/>
        <item m="1" x="379"/>
        <item m="1" x="643"/>
        <item m="1" x="1044"/>
        <item m="1" x="315"/>
        <item m="1" x="1492"/>
        <item m="1" x="254"/>
        <item m="1" x="508"/>
        <item m="1" x="190"/>
        <item m="1" x="140"/>
        <item m="1" x="1279"/>
        <item m="1" x="1104"/>
        <item m="1" x="532"/>
        <item m="1" x="246"/>
        <item m="1" x="1296"/>
        <item m="1" x="420"/>
        <item m="1" x="1343"/>
        <item m="1" x="155"/>
        <item m="1" x="413"/>
        <item m="1" x="1026"/>
        <item m="1" x="786"/>
        <item m="1" x="1323"/>
        <item m="1" x="1000"/>
        <item m="1" x="761"/>
        <item m="1" x="1379"/>
        <item m="1" x="705"/>
        <item m="1" x="1274"/>
        <item m="1" x="1427"/>
        <item m="1" x="197"/>
        <item m="1" x="1461"/>
        <item m="1" x="653"/>
        <item m="1" x="856"/>
        <item m="1" x="398"/>
        <item m="1" x="1267"/>
        <item m="1" x="126"/>
        <item m="1" x="1373"/>
        <item m="1" x="695"/>
        <item m="1" x="1172"/>
        <item m="1" x="1173"/>
        <item m="1" x="1174"/>
        <item m="1" x="1175"/>
        <item m="1" x="1176"/>
        <item m="1" x="1177"/>
        <item m="1" x="1463"/>
        <item m="1" x="1464"/>
        <item m="1" x="1230"/>
        <item m="1" x="1231"/>
        <item m="1" x="1232"/>
        <item m="1" x="1233"/>
        <item m="1" x="1234"/>
        <item m="1" x="1235"/>
        <item m="1" x="670"/>
        <item m="1" x="562"/>
        <item m="1" x="1122"/>
        <item m="1" x="799"/>
        <item m="1" x="1497"/>
        <item m="1" x="1498"/>
        <item m="1" x="1496"/>
        <item m="1" x="1499"/>
        <item m="1" x="1097"/>
        <item m="1" x="1098"/>
        <item m="1" x="1395"/>
        <item m="1" x="488"/>
        <item m="1" x="726"/>
        <item m="1" x="1348"/>
        <item m="1" x="832"/>
        <item m="1" x="1123"/>
        <item m="1" x="829"/>
        <item m="1" x="411"/>
        <item m="1" x="693"/>
        <item m="1" x="1269"/>
        <item m="1" x="1182"/>
        <item m="1" x="108"/>
        <item m="1" x="1358"/>
        <item m="1" x="297"/>
        <item m="1" x="977"/>
        <item m="1" x="1053"/>
        <item m="1" x="1054"/>
        <item m="1" x="1055"/>
        <item m="1" x="1056"/>
        <item m="1" x="1057"/>
        <item m="1" x="1058"/>
        <item m="1" x="1059"/>
        <item m="1" x="1060"/>
        <item m="1" x="1061"/>
        <item m="1" x="1062"/>
        <item m="1" x="1063"/>
        <item m="1" x="1064"/>
        <item m="1" x="147"/>
        <item m="1" x="148"/>
        <item m="1" x="149"/>
        <item m="1" x="150"/>
        <item m="1" x="151"/>
        <item m="1" x="152"/>
        <item m="1" x="153"/>
        <item m="1" x="154"/>
        <item m="1" x="611"/>
        <item m="1" x="612"/>
        <item m="1" x="613"/>
        <item m="1" x="614"/>
        <item m="1" x="615"/>
        <item m="1" x="616"/>
        <item m="1" x="617"/>
        <item m="1" x="618"/>
        <item m="1" x="890"/>
        <item m="1" x="891"/>
        <item m="1" x="892"/>
        <item m="1" x="893"/>
        <item m="1" x="894"/>
        <item m="1" x="895"/>
        <item m="1" x="896"/>
        <item m="1" x="897"/>
        <item m="1" x="1350"/>
        <item m="1" x="1351"/>
        <item m="1" x="937"/>
        <item m="1" x="938"/>
        <item m="1" x="939"/>
        <item m="1" x="940"/>
        <item m="1" x="941"/>
        <item m="1" x="942"/>
        <item m="1" x="1365"/>
        <item m="1" x="1366"/>
        <item m="1" x="1367"/>
        <item m="1" x="1368"/>
        <item m="1" x="1369"/>
        <item m="1" x="1370"/>
        <item m="1" x="743"/>
        <item m="1" x="744"/>
        <item m="1" x="745"/>
        <item m="1" x="746"/>
        <item m="1" x="747"/>
        <item m="1" x="748"/>
        <item m="1" x="749"/>
        <item m="1" x="750"/>
        <item m="1" x="1453"/>
        <item m="1" x="1454"/>
        <item m="1" x="1455"/>
        <item m="1" x="1456"/>
        <item m="1" x="1457"/>
        <item m="1" x="1458"/>
        <item m="1" x="1459"/>
        <item m="1" x="1460"/>
        <item m="1" x="550"/>
        <item m="1" x="551"/>
        <item m="1" x="552"/>
        <item m="1" x="553"/>
        <item m="1" x="554"/>
        <item m="1" x="555"/>
        <item m="1" x="556"/>
        <item m="1" x="557"/>
        <item m="1" x="1074"/>
        <item m="1" x="1075"/>
        <item m="1" x="1076"/>
        <item m="1" x="1077"/>
        <item m="1" x="1033"/>
        <item m="1" x="809"/>
        <item m="1" x="632"/>
        <item m="1" x="633"/>
        <item m="1" x="634"/>
        <item m="1" x="636"/>
        <item m="1" x="935"/>
        <item m="1" x="834"/>
        <item m="1" x="324"/>
        <item m="1" x="426"/>
        <item m="1" x="1042"/>
        <item m="1" x="136"/>
        <item m="1" x="850"/>
        <item m="1" x="396"/>
        <item m="1" x="780"/>
        <item m="1" x="957"/>
        <item m="1" x="1312"/>
        <item m="1" x="505"/>
        <item m="1" x="1181"/>
        <item m="1" x="1444"/>
        <item m="1" x="1191"/>
        <item m="1" x="1416"/>
        <item m="1" x="867"/>
        <item m="1" x="227"/>
        <item m="1" x="1080"/>
        <item m="1" x="1081"/>
        <item m="1" x="478"/>
        <item m="1" x="795"/>
        <item m="1" x="221"/>
        <item m="1" x="1068"/>
        <item m="1" x="792"/>
        <item m="1" x="595"/>
        <item m="1" x="1184"/>
        <item m="1" x="660"/>
        <item m="1" x="697"/>
        <item m="1" x="511"/>
        <item m="1" x="1240"/>
        <item m="1" x="1205"/>
        <item m="1" x="1392"/>
        <item m="1" x="106"/>
        <item m="1" x="1013"/>
        <item m="1" x="1326"/>
        <item m="1" x="785"/>
        <item m="1" x="819"/>
        <item m="1" x="990"/>
        <item m="1" x="1107"/>
        <item m="1" x="1237"/>
        <item m="1" x="1165"/>
        <item m="1" x="1478"/>
        <item m="1" x="881"/>
        <item m="1" x="642"/>
        <item m="1" x="812"/>
        <item m="1" x="1276"/>
        <item m="1" x="513"/>
        <item m="1" x="424"/>
        <item m="1" x="1504"/>
        <item m="1" x="1109"/>
        <item m="1" x="419"/>
        <item m="1" x="669"/>
        <item m="1" x="665"/>
        <item m="1" x="1468"/>
        <item m="1" x="666"/>
        <item m="1" x="721"/>
        <item m="1" x="800"/>
        <item m="1" x="209"/>
        <item m="1" x="1403"/>
        <item m="1" x="1421"/>
        <item m="1" x="543"/>
        <item m="1" x="1304"/>
        <item m="1" x="997"/>
        <item m="1" x="998"/>
        <item m="1" x="999"/>
        <item m="1" x="378"/>
        <item m="1" x="1426"/>
        <item m="1" x="139"/>
        <item m="1" x="162"/>
        <item m="1" x="1490"/>
        <item m="1" x="864"/>
        <item m="1" x="1125"/>
        <item m="1" x="421"/>
        <item m="1" x="1344"/>
        <item m="1" x="1286"/>
        <item m="1" x="582"/>
        <item m="1" x="1124"/>
        <item m="1" x="466"/>
        <item m="1" x="659"/>
        <item m="1" x="114"/>
        <item m="1" x="771"/>
        <item m="1" x="1467"/>
        <item m="1" x="186"/>
        <item m="1" x="269"/>
        <item m="1" x="1293"/>
        <item m="1" x="1428"/>
        <item m="1" x="714"/>
        <item m="1" x="407"/>
        <item m="1" x="268"/>
        <item m="1" x="428"/>
        <item m="1" x="464"/>
        <item m="1" x="1043"/>
        <item m="1" x="143"/>
        <item m="1" x="343"/>
        <item m="1" x="1243"/>
        <item m="1" x="1007"/>
        <item m="1" x="629"/>
        <item m="1" x="958"/>
        <item m="1" x="1254"/>
        <item m="1" x="1333"/>
        <item m="1" x="1290"/>
        <item m="1" x="1355"/>
        <item m="1" x="1327"/>
        <item m="1" x="840"/>
        <item m="1" x="112"/>
        <item m="1" x="1160"/>
        <item m="1" x="434"/>
        <item m="1" x="183"/>
        <item m="1" x="985"/>
        <item m="1" x="525"/>
        <item x="1"/>
        <item x="2"/>
        <item x="4"/>
        <item x="5"/>
        <item x="6"/>
        <item x="7"/>
        <item x="8"/>
        <item x="9"/>
        <item m="1" x="843"/>
        <item m="1" x="794"/>
        <item m="1" x="907"/>
        <item m="1" x="644"/>
        <item x="12"/>
        <item x="13"/>
        <item x="14"/>
        <item m="1" x="757"/>
        <item x="17"/>
        <item x="18"/>
        <item x="19"/>
        <item x="20"/>
        <item x="23"/>
        <item x="24"/>
        <item x="25"/>
        <item x="26"/>
        <item m="1" x="1324"/>
        <item m="1" x="933"/>
        <item m="1" x="1289"/>
        <item x="28"/>
        <item x="29"/>
        <item x="31"/>
        <item x="33"/>
        <item m="1" x="311"/>
        <item x="35"/>
        <item x="36"/>
        <item sd="0" x="37"/>
        <item x="38"/>
        <item x="39"/>
        <item x="40"/>
        <item x="45"/>
        <item m="1" x="166"/>
        <item m="1" x="655"/>
        <item m="1" x="487"/>
        <item m="1" x="220"/>
        <item x="48"/>
        <item x="49"/>
        <item m="1" x="299"/>
        <item x="51"/>
        <item m="1" x="583"/>
        <item m="1" x="1078"/>
        <item m="1" x="688"/>
        <item m="1" x="480"/>
        <item m="1" x="1021"/>
        <item x="54"/>
        <item m="1" x="906"/>
        <item sd="0" m="1" x="132"/>
        <item m="1" x="1216"/>
        <item m="1" x="1083"/>
        <item m="1" x="279"/>
        <item m="1" x="1016"/>
        <item m="1" x="301"/>
        <item m="1" x="1386"/>
        <item m="1" x="1121"/>
        <item m="1" x="1159"/>
        <item m="1" x="826"/>
        <item m="1" x="1339"/>
        <item m="1" x="677"/>
        <item m="1" x="1012"/>
        <item m="1" x="1452"/>
        <item m="1" x="718"/>
        <item m="1" x="700"/>
        <item m="1" x="208"/>
        <item m="1" x="1374"/>
        <item m="1" x="1117"/>
        <item m="1" x="914"/>
        <item m="1" x="579"/>
        <item m="1" x="181"/>
        <item m="1" x="825"/>
        <item m="1" x="1146"/>
        <item m="1" x="1211"/>
        <item m="1" x="334"/>
        <item m="1" x="920"/>
        <item m="1" x="597"/>
        <item m="1" x="400"/>
        <item m="1" x="547"/>
        <item m="1" x="925"/>
        <item m="1" x="1010"/>
        <item m="1" x="1238"/>
        <item m="1" x="931"/>
        <item m="1" x="1449"/>
        <item m="1" x="1206"/>
        <item m="1" x="350"/>
        <item m="1" x="259"/>
        <item m="1" x="808"/>
        <item m="1" x="964"/>
        <item m="1" x="494"/>
        <item x="62"/>
        <item x="59"/>
        <item x="63"/>
        <item m="1" x="770"/>
        <item m="1" x="917"/>
        <item m="1" x="1406"/>
        <item x="67"/>
        <item m="1" x="374"/>
        <item m="1" x="996"/>
        <item m="1" x="504"/>
        <item m="1" x="884"/>
        <item m="1" x="966"/>
        <item m="1" x="290"/>
        <item m="1" x="1436"/>
        <item m="1" x="1437"/>
        <item m="1" x="266"/>
        <item m="1" x="409"/>
        <item x="78"/>
        <item m="1" x="1071"/>
        <item m="1" x="663"/>
        <item m="1" x="683"/>
        <item m="1" x="658"/>
        <item m="1" x="889"/>
        <item m="1" x="1252"/>
        <item x="86"/>
        <item m="1" x="986"/>
        <item x="88"/>
        <item m="1" x="1150"/>
        <item m="1" x="1151"/>
        <item x="95"/>
        <item m="1" x="641"/>
        <item m="1" x="1371"/>
        <item x="98"/>
        <item m="1" x="1079"/>
        <item m="1" x="1067"/>
        <item m="1" x="811"/>
        <item m="1" x="680"/>
        <item m="1" x="598"/>
        <item m="1" x="1345"/>
        <item m="1" x="863"/>
        <item m="1" x="318"/>
        <item m="1" x="1349"/>
        <item m="1" x="916"/>
        <item m="1" x="1440"/>
        <item m="1" x="338"/>
        <item m="1" x="1310"/>
        <item m="1" x="932"/>
        <item m="1" x="218"/>
        <item m="1" x="187"/>
        <item m="1" x="1008"/>
        <item m="1" x="593"/>
        <item m="1" x="1287"/>
        <item m="1" x="1247"/>
        <item m="1" x="1186"/>
        <item x="90"/>
        <item x="96"/>
        <item x="99"/>
        <item m="1" x="1196"/>
        <item m="1" x="392"/>
        <item m="1" x="380"/>
        <item m="1" x="1451"/>
        <item m="1" x="1131"/>
        <item m="1" x="672"/>
        <item m="1" x="509"/>
        <item m="1" x="960"/>
        <item m="1" x="1330"/>
        <item m="1" x="177"/>
        <item m="1" x="692"/>
        <item m="1" x="814"/>
        <item m="1" x="228"/>
        <item m="1" x="107"/>
        <item m="1" x="1432"/>
        <item m="1" x="1433"/>
        <item m="1" x="783"/>
        <item m="1" x="1315"/>
        <item m="1" x="141"/>
        <item m="1" x="158"/>
        <item m="1" x="370"/>
        <item m="1" x="1212"/>
        <item m="1" x="1183"/>
        <item m="1" x="735"/>
        <item m="1" x="390"/>
        <item m="1" x="391"/>
        <item m="1" x="1025"/>
        <item m="1" x="793"/>
        <item m="1" x="125"/>
        <item m="1" x="862"/>
        <item m="1" x="1209"/>
        <item m="1" x="1292"/>
        <item m="1" x="873"/>
        <item m="1" x="732"/>
        <item m="1" x="321"/>
        <item m="1" x="810"/>
        <item m="1" x="874"/>
        <item m="1" x="861"/>
        <item m="1" x="1019"/>
        <item m="1" x="875"/>
        <item m="1" x="715"/>
        <item m="1" x="1402"/>
        <item m="1" x="1445"/>
        <item m="1" x="305"/>
        <item m="1" x="306"/>
        <item m="1" x="308"/>
        <item m="1" x="1398"/>
        <item m="1" x="524"/>
        <item m="1" x="928"/>
        <item m="1" x="1404"/>
        <item m="1" x="1143"/>
        <item m="1" x="545"/>
        <item m="1" x="1004"/>
        <item m="1" x="244"/>
        <item x="87"/>
        <item m="1" x="432"/>
        <item m="1" x="1380"/>
        <item m="1" x="573"/>
        <item m="1" x="625"/>
        <item m="1" x="331"/>
        <item m="1" x="212"/>
        <item m="1" x="429"/>
        <item m="1" x="883"/>
        <item m="1" x="534"/>
        <item m="1" x="1340"/>
        <item m="1" x="418"/>
        <item m="1" x="1039"/>
        <item m="1" x="699"/>
        <item m="1" x="327"/>
        <item x="58"/>
        <item m="1" x="375"/>
        <item m="1" x="1246"/>
        <item m="1" x="1195"/>
        <item m="1" x="1334"/>
        <item m="1" x="626"/>
        <item m="1" x="1066"/>
        <item m="1" x="564"/>
        <item m="1" x="1225"/>
        <item m="1" x="1413"/>
        <item x="68"/>
        <item m="1" x="1105"/>
        <item m="1" x="910"/>
        <item m="1" x="1278"/>
        <item m="1" x="661"/>
        <item m="1" x="130"/>
        <item m="1" x="156"/>
        <item m="1" x="215"/>
        <item m="1" x="1388"/>
        <item m="1" x="465"/>
        <item m="1" x="1418"/>
        <item m="1" x="1261"/>
        <item m="1" x="281"/>
        <item m="1" x="1194"/>
        <item m="1" x="603"/>
        <item m="1" x="1470"/>
        <item m="1" x="713"/>
        <item m="1" x="842"/>
        <item m="1" x="367"/>
        <item m="1" x="1127"/>
        <item m="1" x="263"/>
        <item m="1" x="1096"/>
        <item m="1" x="835"/>
        <item m="1" x="1204"/>
        <item m="1" x="145"/>
        <item m="1" x="730"/>
        <item m="1" x="596"/>
        <item m="1" x="1268"/>
        <item m="1" x="216"/>
        <item m="1" x="684"/>
        <item m="1" x="354"/>
        <item m="1" x="437"/>
        <item x="85"/>
        <item m="1" x="1130"/>
        <item m="1" x="1094"/>
        <item m="1" x="548"/>
        <item m="1" x="1273"/>
        <item m="1" x="1474"/>
        <item m="1" x="539"/>
        <item m="1" x="647"/>
        <item m="1" x="506"/>
        <item m="1" x="992"/>
        <item m="1" x="235"/>
        <item m="1" x="1319"/>
        <item m="1" x="821"/>
        <item m="1" x="833"/>
        <item m="1" x="1116"/>
        <item m="1" x="1307"/>
        <item m="1" x="1332"/>
        <item m="1" x="1193"/>
        <item m="1" x="522"/>
        <item m="1" x="1407"/>
        <item m="1" x="1017"/>
        <item m="1" x="1354"/>
        <item m="1" x="1318"/>
        <item m="1" x="754"/>
        <item m="1" x="1052"/>
        <item m="1" x="1424"/>
        <item m="1" x="223"/>
        <item m="1" x="124"/>
        <item m="1" x="849"/>
        <item m="1" x="816"/>
        <item m="1" x="510"/>
        <item m="1" x="1291"/>
        <item m="1" x="247"/>
        <item m="1" x="377"/>
        <item m="1" x="682"/>
        <item m="1" x="1029"/>
        <item m="1" x="1154"/>
        <item m="1" x="915"/>
        <item m="1" x="191"/>
        <item m="1" x="657"/>
        <item x="100"/>
        <item m="1" x="1393"/>
        <item m="1" x="902"/>
        <item m="1" x="900"/>
        <item m="1" x="673"/>
        <item m="1" x="448"/>
        <item x="0"/>
        <item x="16"/>
        <item m="1" x="1050"/>
        <item x="46"/>
        <item m="1" x="445"/>
        <item x="52"/>
        <item x="53"/>
        <item x="56"/>
        <item x="57"/>
        <item x="60"/>
        <item x="61"/>
        <item x="64"/>
        <item x="65"/>
        <item x="66"/>
        <item x="69"/>
        <item x="70"/>
        <item x="71"/>
        <item x="72"/>
        <item x="73"/>
        <item x="74"/>
        <item x="75"/>
        <item x="76"/>
        <item x="77"/>
        <item x="79"/>
        <item x="80"/>
        <item x="81"/>
        <item x="82"/>
        <item x="83"/>
        <item x="84"/>
        <item x="89"/>
        <item x="91"/>
        <item x="92"/>
        <item x="93"/>
        <item x="94"/>
        <item x="97"/>
        <item x="101"/>
        <item x="102"/>
        <item m="1" x="1049"/>
        <item x="27"/>
        <item x="21"/>
        <item x="22"/>
        <item x="41"/>
        <item m="1" x="1443"/>
        <item x="42"/>
        <item x="43"/>
        <item x="44"/>
        <item x="50"/>
        <item m="1" x="1442"/>
        <item x="34"/>
      </items>
    </pivotField>
    <pivotField axis="axisRow" compact="0" outline="0" showAll="0" defaultSubtotal="0">
      <items count="17">
        <item m="1" x="12"/>
        <item m="1" x="7"/>
        <item x="1"/>
        <item x="3"/>
        <item m="1" x="9"/>
        <item x="4"/>
        <item m="1" x="5"/>
        <item m="1" x="14"/>
        <item x="2"/>
        <item m="1" x="6"/>
        <item x="0"/>
        <item m="1" x="8"/>
        <item m="1" x="13"/>
        <item m="1" x="10"/>
        <item m="1" x="16"/>
        <item m="1" x="11"/>
        <item m="1" x="15"/>
      </items>
    </pivotField>
    <pivotField dataField="1" compact="0" outline="0" showAll="0" defaultSubtotal="0"/>
    <pivotField dataField="1" compact="0" outline="0" showAll="0" defaultSubtotal="0"/>
    <pivotField dataField="1" compact="0" outline="0" showAll="0" defaultSubtotal="0"/>
    <pivotField compact="0" outline="0" subtotalTop="0" showAll="0" defaultSubtotal="0"/>
    <pivotField compact="0" outline="0" subtotalTop="0" showAll="0" defaultSubtotal="0"/>
    <pivotField compact="0" outline="0" showAll="0" defaultSubtotal="0">
      <items count="30">
        <item h="1" x="0"/>
        <item h="1" m="1" x="17"/>
        <item h="1" m="1" x="23"/>
        <item h="1" m="1" x="19"/>
        <item x="1"/>
        <item h="1" m="1" x="28"/>
        <item h="1" m="1" x="7"/>
        <item h="1" m="1" x="25"/>
        <item h="1" m="1" x="26"/>
        <item h="1" m="1" x="29"/>
        <item h="1" m="1" x="11"/>
        <item h="1" m="1" x="15"/>
        <item h="1" m="1" x="21"/>
        <item h="1" m="1" x="24"/>
        <item h="1" m="1" x="6"/>
        <item h="1" m="1" x="16"/>
        <item h="1" m="1" x="22"/>
        <item h="1" x="2"/>
        <item h="1" m="1" x="9"/>
        <item h="1" m="1" x="4"/>
        <item h="1" m="1" x="8"/>
        <item h="1" m="1" x="13"/>
        <item h="1" m="1" x="27"/>
        <item h="1" m="1" x="14"/>
        <item h="1" m="1" x="20"/>
        <item h="1" m="1" x="18"/>
        <item h="1" m="1" x="10"/>
        <item h="1" m="1" x="3"/>
        <item h="1" m="1" x="12"/>
        <item h="1" m="1" x="5"/>
      </items>
    </pivotField>
    <pivotField compact="0" outline="0" subtotalTop="0" showAll="0" defaultSubtotal="0">
      <items count="63">
        <item h="1" m="1" x="3"/>
        <item h="1" x="0"/>
        <item h="1" m="1" x="39"/>
        <item h="1" m="1" x="33"/>
        <item h="1" m="1" x="45"/>
        <item h="1" m="1" x="35"/>
        <item h="1" m="1" x="53"/>
        <item h="1" m="1" x="13"/>
        <item x="1"/>
        <item h="1" m="1" x="61"/>
        <item h="1" m="1" x="59"/>
        <item h="1" m="1" x="56"/>
        <item h="1" m="1" x="46"/>
        <item h="1" m="1" x="9"/>
        <item h="1" m="1" x="62"/>
        <item h="1" m="1" x="60"/>
        <item h="1" m="1" x="16"/>
        <item h="1" m="1" x="37"/>
        <item h="1" m="1" x="27"/>
        <item h="1" m="1" x="40"/>
        <item h="1" m="1" x="32"/>
        <item h="1" m="1" x="55"/>
        <item h="1" m="1" x="38"/>
        <item h="1" m="1" x="43"/>
        <item h="1" m="1" x="11"/>
        <item h="1" m="1" x="21"/>
        <item h="1" m="1" x="44"/>
        <item h="1" m="1" x="54"/>
        <item h="1" x="2"/>
        <item h="1" m="1" x="18"/>
        <item h="1" m="1" x="5"/>
        <item h="1" m="1" x="48"/>
        <item h="1" m="1" x="10"/>
        <item h="1" m="1" x="12"/>
        <item h="1" m="1" x="17"/>
        <item h="1" m="1" x="20"/>
        <item h="1" m="1" x="25"/>
        <item h="1" m="1" x="22"/>
        <item h="1" m="1" x="28"/>
        <item h="1" m="1" x="31"/>
        <item h="1" m="1" x="51"/>
        <item h="1" m="1" x="29"/>
        <item h="1" m="1" x="8"/>
        <item h="1" m="1" x="57"/>
        <item h="1" m="1" x="42"/>
        <item h="1" m="1" x="41"/>
        <item h="1" m="1" x="24"/>
        <item h="1" m="1" x="4"/>
        <item h="1" m="1" x="36"/>
        <item h="1" m="1" x="52"/>
        <item h="1" m="1" x="19"/>
        <item h="1" m="1" x="23"/>
        <item h="1" m="1" x="47"/>
        <item h="1" m="1" x="26"/>
        <item h="1" m="1" x="58"/>
        <item h="1" m="1" x="34"/>
        <item h="1" m="1" x="6"/>
        <item h="1" m="1" x="14"/>
        <item h="1" m="1" x="15"/>
        <item h="1" m="1" x="50"/>
        <item h="1" m="1" x="30"/>
        <item h="1" m="1" x="49"/>
        <item h="1" m="1" x="7"/>
      </items>
    </pivotField>
    <pivotField compact="0" outline="0" showAll="0" defaultSubtotal="0"/>
    <pivotField compact="0" outline="0" subtotalTop="0" showAll="0" defaultSubtotal="0"/>
  </pivotFields>
  <rowFields count="4">
    <field x="0"/>
    <field x="1"/>
    <field x="2"/>
    <field x="3"/>
  </rowFields>
  <rowItems count="96">
    <i>
      <x v="53"/>
      <x v="182"/>
      <x v="1462"/>
      <x v="10"/>
    </i>
    <i t="blank">
      <x v="53"/>
    </i>
    <i>
      <x v="54"/>
      <x v="182"/>
      <x v="1199"/>
      <x v="10"/>
    </i>
    <i t="blank">
      <x v="54"/>
    </i>
    <i>
      <x v="55"/>
      <x v="182"/>
      <x v="860"/>
      <x v="10"/>
    </i>
    <i t="blank">
      <x v="55"/>
    </i>
    <i>
      <x v="56"/>
      <x v="1090"/>
      <x v="1463"/>
      <x v="2"/>
    </i>
    <i t="blank">
      <x v="56"/>
    </i>
    <i>
      <x v="57"/>
      <x v="1091"/>
      <x v="1464"/>
      <x v="2"/>
    </i>
    <i t="blank">
      <x v="57"/>
    </i>
    <i>
      <x v="58"/>
      <x v="182"/>
      <x v="1368"/>
      <x v="10"/>
    </i>
    <i t="blank">
      <x v="58"/>
    </i>
    <i>
      <x v="59"/>
      <x v="182"/>
      <x v="1243"/>
      <x v="10"/>
    </i>
    <i t="blank">
      <x v="59"/>
    </i>
    <i>
      <x v="60"/>
      <x v="1092"/>
      <x v="1465"/>
      <x v="2"/>
    </i>
    <i t="blank">
      <x v="60"/>
    </i>
    <i>
      <x v="61"/>
      <x v="1093"/>
      <x v="1466"/>
      <x v="2"/>
    </i>
    <i t="blank">
      <x v="61"/>
    </i>
    <i>
      <x v="62"/>
      <x v="182"/>
      <x v="1242"/>
      <x v="10"/>
    </i>
    <i t="blank">
      <x v="62"/>
    </i>
    <i>
      <x v="63"/>
      <x v="182"/>
      <x v="1243"/>
      <x v="10"/>
    </i>
    <i t="blank">
      <x v="63"/>
    </i>
    <i>
      <x v="64"/>
      <x v="1094"/>
      <x v="1244"/>
      <x v="8"/>
    </i>
    <i t="blank">
      <x v="64"/>
    </i>
    <i>
      <x v="65"/>
      <x v="1095"/>
      <x v="1467"/>
      <x v="3"/>
    </i>
    <i t="blank">
      <x v="65"/>
    </i>
    <i>
      <x v="66"/>
      <x v="1096"/>
      <x v="1468"/>
      <x v="3"/>
    </i>
    <i t="blank">
      <x v="66"/>
    </i>
    <i>
      <x v="67"/>
      <x v="1097"/>
      <x v="1469"/>
      <x v="3"/>
    </i>
    <i t="blank">
      <x v="67"/>
    </i>
    <i>
      <x v="68"/>
      <x v="182"/>
      <x v="1248"/>
      <x v="10"/>
    </i>
    <i t="blank">
      <x v="68"/>
    </i>
    <i>
      <x v="69"/>
      <x v="182"/>
      <x v="1378"/>
      <x v="10"/>
    </i>
    <i t="blank">
      <x v="69"/>
    </i>
    <i>
      <x v="70"/>
      <x v="1098"/>
      <x v="1470"/>
      <x v="5"/>
    </i>
    <i t="blank">
      <x v="70"/>
    </i>
    <i>
      <x v="71"/>
      <x v="1099"/>
      <x v="1471"/>
      <x v="5"/>
    </i>
    <i t="blank">
      <x v="71"/>
    </i>
    <i>
      <x v="72"/>
      <x v="1100"/>
      <x v="1472"/>
      <x v="5"/>
    </i>
    <i t="blank">
      <x v="72"/>
    </i>
    <i>
      <x v="73"/>
      <x v="1101"/>
      <x v="1473"/>
      <x v="5"/>
    </i>
    <i t="blank">
      <x v="73"/>
    </i>
    <i>
      <x v="74"/>
      <x v="1102"/>
      <x v="1474"/>
      <x v="5"/>
    </i>
    <i t="blank">
      <x v="74"/>
    </i>
    <i>
      <x v="75"/>
      <x v="1103"/>
      <x v="1475"/>
      <x v="5"/>
    </i>
    <i t="blank">
      <x v="75"/>
    </i>
    <i>
      <x v="76"/>
      <x v="1104"/>
      <x v="1476"/>
      <x v="5"/>
    </i>
    <i t="blank">
      <x v="76"/>
    </i>
    <i>
      <x v="77"/>
      <x v="1105"/>
      <x v="1477"/>
      <x v="5"/>
    </i>
    <i t="blank">
      <x v="77"/>
    </i>
    <i>
      <x v="78"/>
      <x v="1106"/>
      <x v="1478"/>
      <x v="5"/>
    </i>
    <i t="blank">
      <x v="78"/>
    </i>
    <i>
      <x v="79"/>
      <x v="182"/>
      <x v="1259"/>
      <x v="10"/>
    </i>
    <i t="blank">
      <x v="79"/>
    </i>
    <i>
      <x v="80"/>
      <x v="182"/>
      <x v="1479"/>
      <x v="10"/>
    </i>
    <i t="blank">
      <x v="80"/>
    </i>
    <i>
      <x v="81"/>
      <x v="1107"/>
      <x v="1480"/>
      <x v="8"/>
    </i>
    <i t="blank">
      <x v="81"/>
    </i>
    <i>
      <x v="82"/>
      <x v="1108"/>
      <x v="1481"/>
      <x v="8"/>
    </i>
    <i t="blank">
      <x v="82"/>
    </i>
    <i>
      <x v="83"/>
      <x v="1109"/>
      <x v="1482"/>
      <x v="8"/>
    </i>
    <i t="blank">
      <x v="83"/>
    </i>
    <i>
      <x v="84"/>
      <x v="1110"/>
      <x v="1483"/>
      <x v="8"/>
    </i>
    <i t="blank">
      <x v="84"/>
    </i>
    <i>
      <x v="85"/>
      <x v="1111"/>
      <x v="1484"/>
      <x v="8"/>
    </i>
    <i t="blank">
      <x v="85"/>
    </i>
    <i>
      <x v="86"/>
      <x v="1112"/>
      <x v="1410"/>
      <x v="8"/>
    </i>
    <i t="blank">
      <x v="86"/>
    </i>
    <i>
      <x v="87"/>
      <x v="1113"/>
      <x v="1266"/>
      <x v="8"/>
    </i>
    <i t="blank">
      <x v="87"/>
    </i>
    <i>
      <x v="88"/>
      <x v="182"/>
      <x v="1353"/>
      <x v="10"/>
    </i>
    <i t="blank">
      <x v="88"/>
    </i>
    <i>
      <x v="89"/>
      <x v="182"/>
      <x v="1268"/>
      <x v="10"/>
    </i>
    <i t="blank">
      <x v="89"/>
    </i>
    <i>
      <x v="90"/>
      <x v="1114"/>
      <x v="1485"/>
      <x v="8"/>
    </i>
    <i t="blank">
      <x v="90"/>
    </i>
    <i>
      <x v="91"/>
      <x v="1115"/>
      <x v="1296"/>
      <x v="8"/>
    </i>
    <i t="blank">
      <x v="91"/>
    </i>
    <i>
      <x v="92"/>
      <x v="1116"/>
      <x v="1486"/>
      <x v="8"/>
    </i>
    <i t="blank">
      <x v="92"/>
    </i>
    <i>
      <x v="93"/>
      <x v="1117"/>
      <x v="1487"/>
      <x v="8"/>
    </i>
    <i t="blank">
      <x v="93"/>
    </i>
    <i>
      <x v="94"/>
      <x v="1118"/>
      <x v="1488"/>
      <x v="8"/>
    </i>
    <i t="blank">
      <x v="94"/>
    </i>
    <i>
      <x v="95"/>
      <x v="1119"/>
      <x v="1489"/>
      <x v="8"/>
    </i>
    <i t="blank">
      <x v="95"/>
    </i>
    <i>
      <x v="96"/>
      <x v="182"/>
      <x v="1271"/>
      <x v="10"/>
    </i>
    <i t="blank">
      <x v="96"/>
    </i>
    <i>
      <x v="97"/>
      <x v="1120"/>
      <x v="1297"/>
      <x v="8"/>
    </i>
    <i t="blank">
      <x v="97"/>
    </i>
    <i>
      <x v="98"/>
      <x v="1121"/>
      <x v="1490"/>
      <x v="8"/>
    </i>
    <i t="blank">
      <x v="98"/>
    </i>
    <i>
      <x v="99"/>
      <x v="1122"/>
      <x v="1274"/>
      <x v="8"/>
    </i>
    <i t="blank">
      <x v="99"/>
    </i>
    <i>
      <x v="100"/>
      <x v="1123"/>
      <x v="1298"/>
      <x v="8"/>
    </i>
    <i t="blank">
      <x v="100"/>
    </i>
  </rowItems>
  <colFields count="1">
    <field x="-2"/>
  </colFields>
  <colItems count="3">
    <i>
      <x/>
    </i>
    <i i="1">
      <x v="1"/>
    </i>
    <i i="2">
      <x v="2"/>
    </i>
  </colItems>
  <dataFields count="3">
    <dataField name="QTY " fld="4" baseField="3" baseItem="10"/>
    <dataField name="RATE (RM)" fld="5" baseField="0" baseItem="4" numFmtId="4"/>
    <dataField name="AMOUNT (RM)" fld="6" baseField="0" baseItem="4" numFmtId="4"/>
  </dataFields>
  <formats count="355">
    <format dxfId="802">
      <pivotArea field="0" type="button" dataOnly="0" labelOnly="1" outline="0" axis="axisRow" fieldPosition="0"/>
    </format>
    <format dxfId="801">
      <pivotArea field="1" type="button" dataOnly="0" labelOnly="1" outline="0" axis="axisRow" fieldPosition="1"/>
    </format>
    <format dxfId="800">
      <pivotArea field="2" type="button" dataOnly="0" labelOnly="1" outline="0" axis="axisRow" fieldPosition="2"/>
    </format>
    <format dxfId="799">
      <pivotArea dataOnly="0" labelOnly="1" outline="0" fieldPosition="0">
        <references count="1">
          <reference field="4294967294" count="3">
            <x v="0"/>
            <x v="1"/>
            <x v="2"/>
          </reference>
        </references>
      </pivotArea>
    </format>
    <format dxfId="798">
      <pivotArea dataOnly="0" labelOnly="1" outline="0" fieldPosition="0">
        <references count="1">
          <reference field="2" count="0"/>
        </references>
      </pivotArea>
    </format>
    <format dxfId="797">
      <pivotArea outline="0" fieldPosition="0">
        <references count="1">
          <reference field="4294967294" count="1" selected="0">
            <x v="0"/>
          </reference>
        </references>
      </pivotArea>
    </format>
    <format dxfId="796">
      <pivotArea dataOnly="0" labelOnly="1" outline="0" fieldPosition="0">
        <references count="1">
          <reference field="4294967294" count="1">
            <x v="0"/>
          </reference>
        </references>
      </pivotArea>
    </format>
    <format dxfId="795">
      <pivotArea dataOnly="0" labelOnly="1" outline="0" fieldPosition="0">
        <references count="1">
          <reference field="1" count="0"/>
        </references>
      </pivotArea>
    </format>
    <format dxfId="794">
      <pivotArea field="3" type="button" dataOnly="0" labelOnly="1" outline="0" axis="axisRow" fieldPosition="3"/>
    </format>
    <format dxfId="793">
      <pivotArea field="3" type="button" dataOnly="0" labelOnly="1" outline="0" axis="axisRow" fieldPosition="3"/>
    </format>
    <format dxfId="792">
      <pivotArea dataOnly="0" labelOnly="1" outline="0" fieldPosition="0">
        <references count="3">
          <reference field="0" count="1" selected="0">
            <x v="16"/>
          </reference>
          <reference field="1" count="1" selected="0">
            <x v="183"/>
          </reference>
          <reference field="2" count="1">
            <x v="631"/>
          </reference>
        </references>
      </pivotArea>
    </format>
    <format dxfId="791">
      <pivotArea dataOnly="0" labelOnly="1" outline="0" fieldPosition="0">
        <references count="3">
          <reference field="0" count="1" selected="0">
            <x v="20"/>
          </reference>
          <reference field="1" count="1" selected="0">
            <x v="183"/>
          </reference>
          <reference field="2" count="1">
            <x v="634"/>
          </reference>
        </references>
      </pivotArea>
    </format>
    <format dxfId="790">
      <pivotArea dataOnly="0" labelOnly="1" outline="0" fieldPosition="0">
        <references count="3">
          <reference field="0" count="1" selected="0">
            <x v="22"/>
          </reference>
          <reference field="1" count="1" selected="0">
            <x v="183"/>
          </reference>
          <reference field="2" count="1">
            <x v="636"/>
          </reference>
        </references>
      </pivotArea>
    </format>
    <format dxfId="789">
      <pivotArea dataOnly="0" labelOnly="1" outline="0" fieldPosition="0">
        <references count="3">
          <reference field="0" count="1" selected="0">
            <x v="24"/>
          </reference>
          <reference field="1" count="1" selected="0">
            <x v="183"/>
          </reference>
          <reference field="2" count="1">
            <x v="225"/>
          </reference>
        </references>
      </pivotArea>
    </format>
    <format dxfId="788">
      <pivotArea dataOnly="0" labelOnly="1" outline="0" fieldPosition="0">
        <references count="3">
          <reference field="0" count="1" selected="0">
            <x v="26"/>
          </reference>
          <reference field="1" count="1" selected="0">
            <x v="183"/>
          </reference>
          <reference field="2" count="1">
            <x v="414"/>
          </reference>
        </references>
      </pivotArea>
    </format>
    <format dxfId="787">
      <pivotArea dataOnly="0" labelOnly="1" outline="0" fieldPosition="0">
        <references count="3">
          <reference field="0" count="1" selected="0">
            <x v="29"/>
          </reference>
          <reference field="1" count="1" selected="0">
            <x v="183"/>
          </reference>
          <reference field="2" count="1">
            <x v="640"/>
          </reference>
        </references>
      </pivotArea>
    </format>
    <format dxfId="786">
      <pivotArea dataOnly="0" labelOnly="1" outline="0" fieldPosition="0">
        <references count="3">
          <reference field="0" count="1" selected="0">
            <x v="31"/>
          </reference>
          <reference field="1" count="1" selected="0">
            <x v="183"/>
          </reference>
          <reference field="2" count="1">
            <x v="642"/>
          </reference>
        </references>
      </pivotArea>
    </format>
    <format dxfId="785">
      <pivotArea dataOnly="0" labelOnly="1" outline="0" fieldPosition="0">
        <references count="3">
          <reference field="0" count="1" selected="0">
            <x v="33"/>
          </reference>
          <reference field="1" count="1" selected="0">
            <x v="183"/>
          </reference>
          <reference field="2" count="1">
            <x v="644"/>
          </reference>
        </references>
      </pivotArea>
    </format>
    <format dxfId="784">
      <pivotArea dataOnly="0" labelOnly="1" outline="0" fieldPosition="0">
        <references count="3">
          <reference field="0" count="1" selected="0">
            <x v="35"/>
          </reference>
          <reference field="1" count="1" selected="0">
            <x v="183"/>
          </reference>
          <reference field="2" count="1">
            <x v="646"/>
          </reference>
        </references>
      </pivotArea>
    </format>
    <format dxfId="783">
      <pivotArea dataOnly="0" labelOnly="1" outline="0" fieldPosition="0">
        <references count="3">
          <reference field="0" count="1" selected="0">
            <x v="37"/>
          </reference>
          <reference field="1" count="1" selected="0">
            <x v="183"/>
          </reference>
          <reference field="2" count="1">
            <x v="648"/>
          </reference>
        </references>
      </pivotArea>
    </format>
    <format dxfId="782">
      <pivotArea dataOnly="0" labelOnly="1" outline="0" fieldPosition="0">
        <references count="1">
          <reference field="3" count="0"/>
        </references>
      </pivotArea>
    </format>
    <format dxfId="781">
      <pivotArea dataOnly="0" outline="0" fieldPosition="0">
        <references count="1">
          <reference field="2" count="1">
            <x v="87"/>
          </reference>
        </references>
      </pivotArea>
    </format>
    <format dxfId="780">
      <pivotArea dataOnly="0" outline="0" fieldPosition="0">
        <references count="1">
          <reference field="2" count="1">
            <x v="87"/>
          </reference>
        </references>
      </pivotArea>
    </format>
    <format dxfId="779">
      <pivotArea dataOnly="0" labelOnly="1" outline="0" fieldPosition="0">
        <references count="3">
          <reference field="0" count="1" selected="0">
            <x v="4"/>
          </reference>
          <reference field="1" count="1" selected="0">
            <x v="182"/>
          </reference>
          <reference field="2" count="1">
            <x v="619"/>
          </reference>
        </references>
      </pivotArea>
    </format>
    <format dxfId="778">
      <pivotArea dataOnly="0" labelOnly="1" outline="0" fieldPosition="0">
        <references count="3">
          <reference field="0" count="1" selected="0">
            <x v="6"/>
          </reference>
          <reference field="1" count="1" selected="0">
            <x v="182"/>
          </reference>
          <reference field="2" count="1">
            <x v="621"/>
          </reference>
        </references>
      </pivotArea>
    </format>
    <format dxfId="777">
      <pivotArea dataOnly="0" labelOnly="1" outline="0" fieldPosition="0">
        <references count="3">
          <reference field="0" count="1" selected="0">
            <x v="10"/>
          </reference>
          <reference field="1" count="1" selected="0">
            <x v="182"/>
          </reference>
          <reference field="2" count="1">
            <x v="625"/>
          </reference>
        </references>
      </pivotArea>
    </format>
    <format dxfId="776">
      <pivotArea dataOnly="0" labelOnly="1" outline="0" fieldPosition="0">
        <references count="3">
          <reference field="0" count="1" selected="0">
            <x v="15"/>
          </reference>
          <reference field="1" count="1" selected="0">
            <x v="182"/>
          </reference>
          <reference field="2" count="1">
            <x v="630"/>
          </reference>
        </references>
      </pivotArea>
    </format>
    <format dxfId="775">
      <pivotArea dataOnly="0" labelOnly="1" outline="0" fieldPosition="0">
        <references count="3">
          <reference field="0" count="1" selected="0">
            <x v="16"/>
          </reference>
          <reference field="1" count="1" selected="0">
            <x v="182"/>
          </reference>
          <reference field="2" count="1">
            <x v="631"/>
          </reference>
        </references>
      </pivotArea>
    </format>
    <format dxfId="774">
      <pivotArea dataOnly="0" labelOnly="1" outline="0" fieldPosition="0">
        <references count="3">
          <reference field="0" count="1" selected="0">
            <x v="19"/>
          </reference>
          <reference field="1" count="1" selected="0">
            <x v="182"/>
          </reference>
          <reference field="2" count="1">
            <x v="342"/>
          </reference>
        </references>
      </pivotArea>
    </format>
    <format dxfId="773">
      <pivotArea dataOnly="0" labelOnly="1" outline="0" fieldPosition="0">
        <references count="3">
          <reference field="0" count="1" selected="0">
            <x v="20"/>
          </reference>
          <reference field="1" count="1" selected="0">
            <x v="182"/>
          </reference>
          <reference field="2" count="1">
            <x v="634"/>
          </reference>
        </references>
      </pivotArea>
    </format>
    <format dxfId="772">
      <pivotArea dataOnly="0" labelOnly="1" outline="0" fieldPosition="0">
        <references count="3">
          <reference field="0" count="1" selected="0">
            <x v="22"/>
          </reference>
          <reference field="1" count="1" selected="0">
            <x v="182"/>
          </reference>
          <reference field="2" count="1">
            <x v="636"/>
          </reference>
        </references>
      </pivotArea>
    </format>
    <format dxfId="771">
      <pivotArea dataOnly="0" labelOnly="1" outline="0" fieldPosition="0">
        <references count="3">
          <reference field="0" count="1" selected="0">
            <x v="24"/>
          </reference>
          <reference field="1" count="1" selected="0">
            <x v="182"/>
          </reference>
          <reference field="2" count="1">
            <x v="225"/>
          </reference>
        </references>
      </pivotArea>
    </format>
    <format dxfId="770">
      <pivotArea dataOnly="0" labelOnly="1" outline="0" fieldPosition="0">
        <references count="3">
          <reference field="0" count="1" selected="0">
            <x v="26"/>
          </reference>
          <reference field="1" count="1" selected="0">
            <x v="182"/>
          </reference>
          <reference field="2" count="1">
            <x v="414"/>
          </reference>
        </references>
      </pivotArea>
    </format>
    <format dxfId="769">
      <pivotArea dataOnly="0" labelOnly="1" outline="0" fieldPosition="0">
        <references count="3">
          <reference field="0" count="1" selected="0">
            <x v="28"/>
          </reference>
          <reference field="1" count="1" selected="0">
            <x v="182"/>
          </reference>
          <reference field="2" count="1">
            <x v="229"/>
          </reference>
        </references>
      </pivotArea>
    </format>
    <format dxfId="768">
      <pivotArea dataOnly="0" labelOnly="1" outline="0" fieldPosition="0">
        <references count="3">
          <reference field="0" count="1" selected="0">
            <x v="29"/>
          </reference>
          <reference field="1" count="1" selected="0">
            <x v="182"/>
          </reference>
          <reference field="2" count="1">
            <x v="640"/>
          </reference>
        </references>
      </pivotArea>
    </format>
    <format dxfId="767">
      <pivotArea dataOnly="0" labelOnly="1" outline="0" fieldPosition="0">
        <references count="3">
          <reference field="0" count="1" selected="0">
            <x v="31"/>
          </reference>
          <reference field="1" count="1" selected="0">
            <x v="182"/>
          </reference>
          <reference field="2" count="1">
            <x v="642"/>
          </reference>
        </references>
      </pivotArea>
    </format>
    <format dxfId="766">
      <pivotArea dataOnly="0" labelOnly="1" outline="0" fieldPosition="0">
        <references count="3">
          <reference field="0" count="1" selected="0">
            <x v="33"/>
          </reference>
          <reference field="1" count="1" selected="0">
            <x v="182"/>
          </reference>
          <reference field="2" count="1">
            <x v="644"/>
          </reference>
        </references>
      </pivotArea>
    </format>
    <format dxfId="765">
      <pivotArea dataOnly="0" labelOnly="1" outline="0" fieldPosition="0">
        <references count="3">
          <reference field="0" count="1" selected="0">
            <x v="35"/>
          </reference>
          <reference field="1" count="1" selected="0">
            <x v="182"/>
          </reference>
          <reference field="2" count="1">
            <x v="646"/>
          </reference>
        </references>
      </pivotArea>
    </format>
    <format dxfId="764">
      <pivotArea dataOnly="0" labelOnly="1" outline="0" fieldPosition="0">
        <references count="3">
          <reference field="0" count="1" selected="0">
            <x v="37"/>
          </reference>
          <reference field="1" count="1" selected="0">
            <x v="182"/>
          </reference>
          <reference field="2" count="1">
            <x v="648"/>
          </reference>
        </references>
      </pivotArea>
    </format>
    <format dxfId="763">
      <pivotArea dataOnly="0" labelOnly="1" outline="0" fieldPosition="0">
        <references count="1">
          <reference field="3" count="0"/>
        </references>
      </pivotArea>
    </format>
    <format dxfId="762">
      <pivotArea dataOnly="0" outline="0" fieldPosition="0">
        <references count="1">
          <reference field="4294967294" count="3">
            <x v="0"/>
            <x v="1"/>
            <x v="2"/>
          </reference>
        </references>
      </pivotArea>
    </format>
    <format dxfId="761">
      <pivotArea dataOnly="0" labelOnly="1" outline="0" fieldPosition="0">
        <references count="3">
          <reference field="0" count="1" selected="0">
            <x v="0"/>
          </reference>
          <reference field="1" count="1" selected="0">
            <x v="183"/>
          </reference>
          <reference field="2" count="1">
            <x v="617"/>
          </reference>
        </references>
      </pivotArea>
    </format>
    <format dxfId="760">
      <pivotArea dataOnly="0" labelOnly="1" outline="0" fieldPosition="0">
        <references count="3">
          <reference field="0" count="1" selected="0">
            <x v="1"/>
          </reference>
          <reference field="1" count="1" selected="0">
            <x v="183"/>
          </reference>
          <reference field="2" count="1">
            <x v="123"/>
          </reference>
        </references>
      </pivotArea>
    </format>
    <format dxfId="759">
      <pivotArea dataOnly="0" labelOnly="1" outline="0" fieldPosition="0">
        <references count="3">
          <reference field="0" count="1" selected="0">
            <x v="4"/>
          </reference>
          <reference field="1" count="1" selected="0">
            <x v="183"/>
          </reference>
          <reference field="2" count="1">
            <x v="619"/>
          </reference>
        </references>
      </pivotArea>
    </format>
    <format dxfId="758">
      <pivotArea dataOnly="0" labelOnly="1" outline="0" fieldPosition="0">
        <references count="3">
          <reference field="0" count="1" selected="0">
            <x v="6"/>
          </reference>
          <reference field="1" count="1" selected="0">
            <x v="183"/>
          </reference>
          <reference field="2" count="1">
            <x v="621"/>
          </reference>
        </references>
      </pivotArea>
    </format>
    <format dxfId="757">
      <pivotArea dataOnly="0" labelOnly="1" outline="0" fieldPosition="0">
        <references count="3">
          <reference field="0" count="1" selected="0">
            <x v="8"/>
          </reference>
          <reference field="1" count="1" selected="0">
            <x v="183"/>
          </reference>
          <reference field="2" count="1">
            <x v="623"/>
          </reference>
        </references>
      </pivotArea>
    </format>
    <format dxfId="756">
      <pivotArea dataOnly="0" labelOnly="1" outline="0" fieldPosition="0">
        <references count="3">
          <reference field="0" count="1" selected="0">
            <x v="10"/>
          </reference>
          <reference field="1" count="1" selected="0">
            <x v="183"/>
          </reference>
          <reference field="2" count="1">
            <x v="625"/>
          </reference>
        </references>
      </pivotArea>
    </format>
    <format dxfId="755">
      <pivotArea dataOnly="0" labelOnly="1" outline="0" fieldPosition="0">
        <references count="3">
          <reference field="0" count="1" selected="0">
            <x v="15"/>
          </reference>
          <reference field="1" count="1" selected="0">
            <x v="183"/>
          </reference>
          <reference field="2" count="1">
            <x v="630"/>
          </reference>
        </references>
      </pivotArea>
    </format>
    <format dxfId="754">
      <pivotArea dataOnly="0" labelOnly="1" outline="0" fieldPosition="0">
        <references count="3">
          <reference field="0" count="1" selected="0">
            <x v="19"/>
          </reference>
          <reference field="1" count="1" selected="0">
            <x v="183"/>
          </reference>
          <reference field="2" count="1">
            <x v="342"/>
          </reference>
        </references>
      </pivotArea>
    </format>
    <format dxfId="753">
      <pivotArea dataOnly="0" labelOnly="1" outline="0" fieldPosition="0">
        <references count="3">
          <reference field="0" count="1" selected="0">
            <x v="28"/>
          </reference>
          <reference field="1" count="1" selected="0">
            <x v="183"/>
          </reference>
          <reference field="2" count="1">
            <x v="229"/>
          </reference>
        </references>
      </pivotArea>
    </format>
    <format dxfId="752">
      <pivotArea dataOnly="0" labelOnly="1" outline="0" fieldPosition="0">
        <references count="3">
          <reference field="0" count="1" selected="0">
            <x v="0"/>
          </reference>
          <reference field="1" count="1" selected="0">
            <x v="182"/>
          </reference>
          <reference field="2" count="1">
            <x v="617"/>
          </reference>
        </references>
      </pivotArea>
    </format>
    <format dxfId="751">
      <pivotArea dataOnly="0" labelOnly="1" outline="0" fieldPosition="0">
        <references count="3">
          <reference field="0" count="1" selected="0">
            <x v="1"/>
          </reference>
          <reference field="1" count="1" selected="0">
            <x v="182"/>
          </reference>
          <reference field="2" count="1">
            <x v="123"/>
          </reference>
        </references>
      </pivotArea>
    </format>
    <format dxfId="750">
      <pivotArea dataOnly="0" labelOnly="1" outline="0" fieldPosition="0">
        <references count="3">
          <reference field="0" count="1" selected="0">
            <x v="4"/>
          </reference>
          <reference field="1" count="1" selected="0">
            <x v="182"/>
          </reference>
          <reference field="2" count="1">
            <x v="619"/>
          </reference>
        </references>
      </pivotArea>
    </format>
    <format dxfId="749">
      <pivotArea dataOnly="0" labelOnly="1" outline="0" fieldPosition="0">
        <references count="3">
          <reference field="0" count="1" selected="0">
            <x v="6"/>
          </reference>
          <reference field="1" count="1" selected="0">
            <x v="182"/>
          </reference>
          <reference field="2" count="1">
            <x v="621"/>
          </reference>
        </references>
      </pivotArea>
    </format>
    <format dxfId="748">
      <pivotArea dataOnly="0" labelOnly="1" outline="0" fieldPosition="0">
        <references count="3">
          <reference field="0" count="1" selected="0">
            <x v="8"/>
          </reference>
          <reference field="1" count="1" selected="0">
            <x v="182"/>
          </reference>
          <reference field="2" count="1">
            <x v="623"/>
          </reference>
        </references>
      </pivotArea>
    </format>
    <format dxfId="747">
      <pivotArea dataOnly="0" labelOnly="1" outline="0" fieldPosition="0">
        <references count="3">
          <reference field="0" count="1" selected="0">
            <x v="10"/>
          </reference>
          <reference field="1" count="1" selected="0">
            <x v="182"/>
          </reference>
          <reference field="2" count="1">
            <x v="625"/>
          </reference>
        </references>
      </pivotArea>
    </format>
    <format dxfId="746">
      <pivotArea dataOnly="0" labelOnly="1" outline="0" fieldPosition="0">
        <references count="3">
          <reference field="0" count="1" selected="0">
            <x v="15"/>
          </reference>
          <reference field="1" count="1" selected="0">
            <x v="182"/>
          </reference>
          <reference field="2" count="1">
            <x v="630"/>
          </reference>
        </references>
      </pivotArea>
    </format>
    <format dxfId="745">
      <pivotArea dataOnly="0" labelOnly="1" outline="0" fieldPosition="0">
        <references count="3">
          <reference field="0" count="1" selected="0">
            <x v="19"/>
          </reference>
          <reference field="1" count="1" selected="0">
            <x v="182"/>
          </reference>
          <reference field="2" count="1">
            <x v="342"/>
          </reference>
        </references>
      </pivotArea>
    </format>
    <format dxfId="744">
      <pivotArea dataOnly="0" labelOnly="1" outline="0" fieldPosition="0">
        <references count="3">
          <reference field="0" count="1" selected="0">
            <x v="28"/>
          </reference>
          <reference field="1" count="1" selected="0">
            <x v="182"/>
          </reference>
          <reference field="2" count="1">
            <x v="229"/>
          </reference>
        </references>
      </pivotArea>
    </format>
    <format dxfId="743">
      <pivotArea dataOnly="0" labelOnly="1" outline="0" fieldPosition="0">
        <references count="3">
          <reference field="0" count="1" selected="0">
            <x v="0"/>
          </reference>
          <reference field="1" count="1" selected="0">
            <x v="182"/>
          </reference>
          <reference field="2" count="1">
            <x v="1147"/>
          </reference>
        </references>
      </pivotArea>
    </format>
    <format dxfId="742">
      <pivotArea dataOnly="0" labelOnly="1" outline="0" fieldPosition="0">
        <references count="3">
          <reference field="0" count="1" selected="0">
            <x v="2"/>
          </reference>
          <reference field="1" count="1" selected="0">
            <x v="182"/>
          </reference>
          <reference field="2" count="1">
            <x v="200"/>
          </reference>
        </references>
      </pivotArea>
    </format>
    <format dxfId="741">
      <pivotArea dataOnly="0" labelOnly="1" outline="0" fieldPosition="0">
        <references count="3">
          <reference field="0" count="1" selected="0">
            <x v="9"/>
          </reference>
          <reference field="1" count="1" selected="0">
            <x v="182"/>
          </reference>
          <reference field="2" count="1">
            <x v="232"/>
          </reference>
        </references>
      </pivotArea>
    </format>
    <format dxfId="740">
      <pivotArea dataOnly="0" labelOnly="1" outline="0" fieldPosition="0">
        <references count="3">
          <reference field="0" count="1" selected="0">
            <x v="7"/>
          </reference>
          <reference field="1" count="1" selected="0">
            <x v="182"/>
          </reference>
          <reference field="2" count="1">
            <x v="1153"/>
          </reference>
        </references>
      </pivotArea>
    </format>
    <format dxfId="739">
      <pivotArea dataOnly="0" labelOnly="1" outline="0" fieldPosition="0">
        <references count="3">
          <reference field="0" count="1" selected="0">
            <x v="5"/>
          </reference>
          <reference field="1" count="1" selected="0">
            <x v="182"/>
          </reference>
          <reference field="2" count="1">
            <x v="1151"/>
          </reference>
        </references>
      </pivotArea>
    </format>
    <format dxfId="738">
      <pivotArea dataOnly="0" labelOnly="1" outline="0" fieldPosition="0">
        <references count="3">
          <reference field="0" count="1" selected="0">
            <x v="14"/>
          </reference>
          <reference field="1" count="1" selected="0">
            <x v="182"/>
          </reference>
          <reference field="2" count="1">
            <x v="1159"/>
          </reference>
        </references>
      </pivotArea>
    </format>
    <format dxfId="737">
      <pivotArea dataOnly="0" labelOnly="1" outline="0" fieldPosition="0">
        <references count="3">
          <reference field="0" count="1" selected="0">
            <x v="17"/>
          </reference>
          <reference field="1" count="1" selected="0">
            <x v="182"/>
          </reference>
          <reference field="2" count="1">
            <x v="642"/>
          </reference>
        </references>
      </pivotArea>
    </format>
    <format dxfId="736">
      <pivotArea dataOnly="0" labelOnly="1" outline="0" fieldPosition="0">
        <references count="3">
          <reference field="0" count="1" selected="0">
            <x v="23"/>
          </reference>
          <reference field="1" count="1" selected="0">
            <x v="182"/>
          </reference>
          <reference field="2" count="1">
            <x v="1167"/>
          </reference>
        </references>
      </pivotArea>
    </format>
    <format dxfId="735">
      <pivotArea dataOnly="0" labelOnly="1" outline="0" fieldPosition="0">
        <references count="3">
          <reference field="0" count="1" selected="0">
            <x v="25"/>
          </reference>
          <reference field="1" count="1" selected="0">
            <x v="182"/>
          </reference>
          <reference field="2" count="1">
            <x v="1169"/>
          </reference>
        </references>
      </pivotArea>
    </format>
    <format dxfId="734">
      <pivotArea dataOnly="0" labelOnly="1" outline="0" fieldPosition="0">
        <references count="3">
          <reference field="0" count="1" selected="0">
            <x v="32"/>
          </reference>
          <reference field="1" count="1" selected="0">
            <x v="182"/>
          </reference>
          <reference field="2" count="1">
            <x v="280"/>
          </reference>
        </references>
      </pivotArea>
    </format>
    <format dxfId="733">
      <pivotArea dataOnly="0" labelOnly="1" outline="0" fieldPosition="0">
        <references count="3">
          <reference field="0" count="1" selected="0">
            <x v="38"/>
          </reference>
          <reference field="1" count="1" selected="0">
            <x v="182"/>
          </reference>
          <reference field="2" count="1">
            <x v="1180"/>
          </reference>
        </references>
      </pivotArea>
    </format>
    <format dxfId="732">
      <pivotArea dataOnly="0" labelOnly="1" outline="0" fieldPosition="0">
        <references count="3">
          <reference field="0" count="1" selected="0">
            <x v="44"/>
          </reference>
          <reference field="1" count="1" selected="0">
            <x v="182"/>
          </reference>
          <reference field="2" count="1">
            <x v="1185"/>
          </reference>
        </references>
      </pivotArea>
    </format>
    <format dxfId="731">
      <pivotArea dataOnly="0" labelOnly="1" outline="0" fieldPosition="0">
        <references count="3">
          <reference field="0" count="1" selected="0">
            <x v="49"/>
          </reference>
          <reference field="1" count="1" selected="0">
            <x v="182"/>
          </reference>
          <reference field="2" count="1">
            <x v="167"/>
          </reference>
        </references>
      </pivotArea>
    </format>
    <format dxfId="730">
      <pivotArea dataOnly="0" labelOnly="1" outline="0" fieldPosition="0">
        <references count="3">
          <reference field="0" count="1" selected="0">
            <x v="53"/>
          </reference>
          <reference field="1" count="1" selected="0">
            <x v="182"/>
          </reference>
          <reference field="2" count="1">
            <x v="1193"/>
          </reference>
        </references>
      </pivotArea>
    </format>
    <format dxfId="729">
      <pivotArea dataOnly="0" labelOnly="1" outline="0" fieldPosition="0">
        <references count="1">
          <reference field="2" count="0"/>
        </references>
      </pivotArea>
    </format>
    <format dxfId="728">
      <pivotArea dataOnly="0" labelOnly="1" outline="0" fieldPosition="0">
        <references count="3">
          <reference field="0" count="1" selected="0">
            <x v="19"/>
          </reference>
          <reference field="1" count="1" selected="0">
            <x v="182"/>
          </reference>
          <reference field="2" count="1">
            <x v="1163"/>
          </reference>
        </references>
      </pivotArea>
    </format>
    <format dxfId="727">
      <pivotArea dataOnly="0" labelOnly="1" outline="0" fieldPosition="0">
        <references count="1">
          <reference field="1" count="0"/>
        </references>
      </pivotArea>
    </format>
    <format dxfId="726">
      <pivotArea dataOnly="0" labelOnly="1" outline="0" fieldPosition="0">
        <references count="1">
          <reference field="1" count="0"/>
        </references>
      </pivotArea>
    </format>
    <format dxfId="725">
      <pivotArea dataOnly="0" labelOnly="1" outline="0" fieldPosition="0">
        <references count="1">
          <reference field="3" count="0"/>
        </references>
      </pivotArea>
    </format>
    <format dxfId="724">
      <pivotArea dataOnly="0" outline="0" fieldPosition="0">
        <references count="1">
          <reference field="4294967294" count="3">
            <x v="0"/>
            <x v="1"/>
            <x v="2"/>
          </reference>
        </references>
      </pivotArea>
    </format>
    <format dxfId="723">
      <pivotArea field="0" type="button" dataOnly="0" labelOnly="1" outline="0" axis="axisRow" fieldPosition="0"/>
    </format>
    <format dxfId="722">
      <pivotArea field="1" type="button" dataOnly="0" labelOnly="1" outline="0" axis="axisRow" fieldPosition="1"/>
    </format>
    <format dxfId="721">
      <pivotArea field="2" type="button" dataOnly="0" labelOnly="1" outline="0" axis="axisRow" fieldPosition="2"/>
    </format>
    <format dxfId="720">
      <pivotArea field="3" type="button" dataOnly="0" labelOnly="1" outline="0" axis="axisRow" fieldPosition="3"/>
    </format>
    <format dxfId="719">
      <pivotArea dataOnly="0" labelOnly="1" outline="0" fieldPosition="0">
        <references count="1">
          <reference field="4294967294" count="3">
            <x v="0"/>
            <x v="1"/>
            <x v="2"/>
          </reference>
        </references>
      </pivotArea>
    </format>
    <format dxfId="718">
      <pivotArea dataOnly="0" labelOnly="1" outline="0" fieldPosition="0">
        <references count="3">
          <reference field="0" count="1" selected="0">
            <x v="39"/>
          </reference>
          <reference field="1" count="1" selected="0">
            <x v="182"/>
          </reference>
          <reference field="2" count="1">
            <x v="1181"/>
          </reference>
        </references>
      </pivotArea>
    </format>
    <format dxfId="717">
      <pivotArea field="0" type="button" dataOnly="0" labelOnly="1" outline="0" axis="axisRow" fieldPosition="0"/>
    </format>
    <format dxfId="716">
      <pivotArea field="2" type="button" dataOnly="0" labelOnly="1" outline="0" axis="axisRow" fieldPosition="2"/>
    </format>
    <format dxfId="715">
      <pivotArea field="3" type="button" dataOnly="0" labelOnly="1" outline="0" axis="axisRow" fieldPosition="3"/>
    </format>
    <format dxfId="714">
      <pivotArea dataOnly="0" labelOnly="1" outline="0" fieldPosition="0">
        <references count="1">
          <reference field="4294967294" count="3">
            <x v="0"/>
            <x v="1"/>
            <x v="2"/>
          </reference>
        </references>
      </pivotArea>
    </format>
    <format dxfId="713">
      <pivotArea field="0" type="button" dataOnly="0" labelOnly="1" outline="0" axis="axisRow" fieldPosition="0"/>
    </format>
    <format dxfId="712">
      <pivotArea field="1" type="button" dataOnly="0" labelOnly="1" outline="0" axis="axisRow" fieldPosition="1"/>
    </format>
    <format dxfId="711">
      <pivotArea field="2" type="button" dataOnly="0" labelOnly="1" outline="0" axis="axisRow" fieldPosition="2"/>
    </format>
    <format dxfId="710">
      <pivotArea field="3" type="button" dataOnly="0" labelOnly="1" outline="0" axis="axisRow" fieldPosition="3"/>
    </format>
    <format dxfId="709">
      <pivotArea dataOnly="0" labelOnly="1" outline="0" fieldPosition="0">
        <references count="1">
          <reference field="4294967294" count="3">
            <x v="0"/>
            <x v="1"/>
            <x v="2"/>
          </reference>
        </references>
      </pivotArea>
    </format>
    <format dxfId="708">
      <pivotArea field="1" type="button" dataOnly="0" labelOnly="1" outline="0" axis="axisRow" fieldPosition="1"/>
    </format>
    <format dxfId="707">
      <pivotArea dataOnly="0" labelOnly="1" outline="0" fieldPosition="0">
        <references count="1">
          <reference field="1" count="0"/>
        </references>
      </pivotArea>
    </format>
    <format dxfId="706">
      <pivotArea dataOnly="0" labelOnly="1" outline="0" fieldPosition="0">
        <references count="3">
          <reference field="0" count="1" selected="0">
            <x v="58"/>
          </reference>
          <reference field="1" count="1" selected="0">
            <x v="182"/>
          </reference>
          <reference field="2" count="1">
            <x v="1198"/>
          </reference>
        </references>
      </pivotArea>
    </format>
    <format dxfId="705">
      <pivotArea dataOnly="0" labelOnly="1" outline="0" fieldPosition="0">
        <references count="3">
          <reference field="0" count="1" selected="0">
            <x v="59"/>
          </reference>
          <reference field="1" count="1" selected="0">
            <x v="182"/>
          </reference>
          <reference field="2" count="1">
            <x v="1198"/>
          </reference>
        </references>
      </pivotArea>
    </format>
    <format dxfId="704">
      <pivotArea dataOnly="0" labelOnly="1" outline="0" fieldPosition="0">
        <references count="3">
          <reference field="0" count="1" selected="0">
            <x v="59"/>
          </reference>
          <reference field="1" count="1" selected="0">
            <x v="182"/>
          </reference>
          <reference field="2" count="1">
            <x v="1198"/>
          </reference>
        </references>
      </pivotArea>
    </format>
    <format dxfId="703">
      <pivotArea dataOnly="0" labelOnly="1" outline="0" fieldPosition="0">
        <references count="3">
          <reference field="0" count="1" selected="0">
            <x v="61"/>
          </reference>
          <reference field="1" count="1" selected="0">
            <x v="182"/>
          </reference>
          <reference field="2" count="1">
            <x v="1200"/>
          </reference>
        </references>
      </pivotArea>
    </format>
    <format dxfId="702">
      <pivotArea dataOnly="0" labelOnly="1" outline="0" fieldPosition="0">
        <references count="3">
          <reference field="0" count="1" selected="0">
            <x v="62"/>
          </reference>
          <reference field="1" count="1" selected="0">
            <x v="182"/>
          </reference>
          <reference field="2" count="1">
            <x v="1201"/>
          </reference>
        </references>
      </pivotArea>
    </format>
    <format dxfId="701">
      <pivotArea dataOnly="0" labelOnly="1" outline="0" fieldPosition="0">
        <references count="3">
          <reference field="0" count="1" selected="0">
            <x v="62"/>
          </reference>
          <reference field="1" count="1" selected="0">
            <x v="182"/>
          </reference>
          <reference field="2" count="1">
            <x v="1201"/>
          </reference>
        </references>
      </pivotArea>
    </format>
    <format dxfId="700">
      <pivotArea dataOnly="0" labelOnly="1" outline="0" fieldPosition="0">
        <references count="3">
          <reference field="0" count="1" selected="0">
            <x v="64"/>
          </reference>
          <reference field="1" count="1" selected="0">
            <x v="182"/>
          </reference>
          <reference field="2" count="1">
            <x v="1203"/>
          </reference>
        </references>
      </pivotArea>
    </format>
    <format dxfId="699">
      <pivotArea dataOnly="0" labelOnly="1" outline="0" fieldPosition="0">
        <references count="3">
          <reference field="0" count="1" selected="0">
            <x v="64"/>
          </reference>
          <reference field="1" count="1" selected="0">
            <x v="182"/>
          </reference>
          <reference field="2" count="1">
            <x v="1203"/>
          </reference>
        </references>
      </pivotArea>
    </format>
    <format dxfId="698">
      <pivotArea dataOnly="0" labelOnly="1" outline="0" fieldPosition="0">
        <references count="3">
          <reference field="0" count="1" selected="0">
            <x v="66"/>
          </reference>
          <reference field="1" count="1" selected="0">
            <x v="182"/>
          </reference>
          <reference field="2" count="1">
            <x v="1205"/>
          </reference>
        </references>
      </pivotArea>
    </format>
    <format dxfId="697">
      <pivotArea dataOnly="0" labelOnly="1" outline="0" fieldPosition="0">
        <references count="3">
          <reference field="0" count="1" selected="0">
            <x v="66"/>
          </reference>
          <reference field="1" count="1" selected="0">
            <x v="182"/>
          </reference>
          <reference field="2" count="1">
            <x v="1205"/>
          </reference>
        </references>
      </pivotArea>
    </format>
    <format dxfId="696">
      <pivotArea dataOnly="0" labelOnly="1" outline="0" fieldPosition="0">
        <references count="3">
          <reference field="0" count="1" selected="0">
            <x v="68"/>
          </reference>
          <reference field="1" count="1" selected="0">
            <x v="182"/>
          </reference>
          <reference field="2" count="1">
            <x v="1207"/>
          </reference>
        </references>
      </pivotArea>
    </format>
    <format dxfId="695">
      <pivotArea dataOnly="0" labelOnly="1" outline="0" fieldPosition="0">
        <references count="3">
          <reference field="0" count="1" selected="0">
            <x v="68"/>
          </reference>
          <reference field="1" count="1" selected="0">
            <x v="182"/>
          </reference>
          <reference field="2" count="1">
            <x v="1207"/>
          </reference>
        </references>
      </pivotArea>
    </format>
    <format dxfId="694">
      <pivotArea dataOnly="0" labelOnly="1" outline="0" fieldPosition="0">
        <references count="3">
          <reference field="0" count="1" selected="0">
            <x v="70"/>
          </reference>
          <reference field="1" count="1" selected="0">
            <x v="182"/>
          </reference>
          <reference field="2" count="1">
            <x v="116"/>
          </reference>
        </references>
      </pivotArea>
    </format>
    <format dxfId="693">
      <pivotArea dataOnly="0" labelOnly="1" outline="0" fieldPosition="0">
        <references count="3">
          <reference field="0" count="1" selected="0">
            <x v="70"/>
          </reference>
          <reference field="1" count="1" selected="0">
            <x v="182"/>
          </reference>
          <reference field="2" count="1">
            <x v="116"/>
          </reference>
        </references>
      </pivotArea>
    </format>
    <format dxfId="692">
      <pivotArea dataOnly="0" labelOnly="1" outline="0" fieldPosition="0">
        <references count="3">
          <reference field="0" count="1" selected="0">
            <x v="73"/>
          </reference>
          <reference field="1" count="1" selected="0">
            <x v="182"/>
          </reference>
          <reference field="2" count="1">
            <x v="1211"/>
          </reference>
        </references>
      </pivotArea>
    </format>
    <format dxfId="691">
      <pivotArea dataOnly="0" labelOnly="1" outline="0" fieldPosition="0">
        <references count="3">
          <reference field="0" count="1" selected="0">
            <x v="73"/>
          </reference>
          <reference field="1" count="1" selected="0">
            <x v="182"/>
          </reference>
          <reference field="2" count="1">
            <x v="1211"/>
          </reference>
        </references>
      </pivotArea>
    </format>
    <format dxfId="690">
      <pivotArea dataOnly="0" labelOnly="1" outline="0" fieldPosition="0">
        <references count="3">
          <reference field="0" count="1" selected="0">
            <x v="75"/>
          </reference>
          <reference field="1" count="1" selected="0">
            <x v="182"/>
          </reference>
          <reference field="2" count="1">
            <x v="177"/>
          </reference>
        </references>
      </pivotArea>
    </format>
    <format dxfId="689">
      <pivotArea dataOnly="0" labelOnly="1" outline="0" fieldPosition="0">
        <references count="3">
          <reference field="0" count="1" selected="0">
            <x v="75"/>
          </reference>
          <reference field="1" count="1" selected="0">
            <x v="182"/>
          </reference>
          <reference field="2" count="1">
            <x v="177"/>
          </reference>
        </references>
      </pivotArea>
    </format>
    <format dxfId="688">
      <pivotArea dataOnly="0" labelOnly="1" outline="0" fieldPosition="0">
        <references count="3">
          <reference field="0" count="1" selected="0">
            <x v="77"/>
          </reference>
          <reference field="1" count="1" selected="0">
            <x v="182"/>
          </reference>
          <reference field="2" count="1">
            <x v="321"/>
          </reference>
        </references>
      </pivotArea>
    </format>
    <format dxfId="687">
      <pivotArea dataOnly="0" labelOnly="1" outline="0" fieldPosition="0">
        <references count="3">
          <reference field="0" count="1" selected="0">
            <x v="77"/>
          </reference>
          <reference field="1" count="1" selected="0">
            <x v="182"/>
          </reference>
          <reference field="2" count="1">
            <x v="321"/>
          </reference>
        </references>
      </pivotArea>
    </format>
    <format dxfId="686">
      <pivotArea dataOnly="0" labelOnly="1" outline="0" fieldPosition="0">
        <references count="3">
          <reference field="0" count="1" selected="0">
            <x v="82"/>
          </reference>
          <reference field="1" count="1" selected="0">
            <x v="182"/>
          </reference>
          <reference field="2" count="1">
            <x v="1218"/>
          </reference>
        </references>
      </pivotArea>
    </format>
    <format dxfId="685">
      <pivotArea dataOnly="0" labelOnly="1" outline="0" fieldPosition="0">
        <references count="3">
          <reference field="0" count="1" selected="0">
            <x v="82"/>
          </reference>
          <reference field="1" count="1" selected="0">
            <x v="182"/>
          </reference>
          <reference field="2" count="1">
            <x v="1218"/>
          </reference>
        </references>
      </pivotArea>
    </format>
    <format dxfId="684">
      <pivotArea dataOnly="0" labelOnly="1" outline="0" fieldPosition="0">
        <references count="3">
          <reference field="0" count="1" selected="0">
            <x v="84"/>
          </reference>
          <reference field="1" count="1" selected="0">
            <x v="182"/>
          </reference>
          <reference field="2" count="1">
            <x v="1220"/>
          </reference>
        </references>
      </pivotArea>
    </format>
    <format dxfId="683">
      <pivotArea dataOnly="0" labelOnly="1" outline="0" fieldPosition="0">
        <references count="3">
          <reference field="0" count="1" selected="0">
            <x v="85"/>
          </reference>
          <reference field="1" count="1" selected="0">
            <x v="182"/>
          </reference>
          <reference field="2" count="1">
            <x v="1201"/>
          </reference>
        </references>
      </pivotArea>
    </format>
    <format dxfId="682">
      <pivotArea dataOnly="0" labelOnly="1" outline="0" fieldPosition="0">
        <references count="3">
          <reference field="0" count="1" selected="0">
            <x v="85"/>
          </reference>
          <reference field="1" count="1" selected="0">
            <x v="182"/>
          </reference>
          <reference field="2" count="1">
            <x v="1201"/>
          </reference>
        </references>
      </pivotArea>
    </format>
    <format dxfId="681">
      <pivotArea dataOnly="0" labelOnly="1" outline="0" fieldPosition="0">
        <references count="3">
          <reference field="0" count="1" selected="0">
            <x v="87"/>
          </reference>
          <reference field="1" count="1" selected="0">
            <x v="182"/>
          </reference>
          <reference field="2" count="1">
            <x v="1203"/>
          </reference>
        </references>
      </pivotArea>
    </format>
    <format dxfId="680">
      <pivotArea dataOnly="0" labelOnly="1" outline="0" fieldPosition="0">
        <references count="3">
          <reference field="0" count="1" selected="0">
            <x v="87"/>
          </reference>
          <reference field="1" count="1" selected="0">
            <x v="182"/>
          </reference>
          <reference field="2" count="1">
            <x v="1203"/>
          </reference>
        </references>
      </pivotArea>
    </format>
    <format dxfId="679">
      <pivotArea dataOnly="0" labelOnly="1" outline="0" fieldPosition="0">
        <references count="3">
          <reference field="0" count="1" selected="0">
            <x v="89"/>
          </reference>
          <reference field="1" count="1" selected="0">
            <x v="182"/>
          </reference>
          <reference field="2" count="1">
            <x v="1205"/>
          </reference>
        </references>
      </pivotArea>
    </format>
    <format dxfId="678">
      <pivotArea dataOnly="0" labelOnly="1" outline="0" fieldPosition="0">
        <references count="3">
          <reference field="0" count="1" selected="0">
            <x v="89"/>
          </reference>
          <reference field="1" count="1" selected="0">
            <x v="182"/>
          </reference>
          <reference field="2" count="1">
            <x v="1205"/>
          </reference>
        </references>
      </pivotArea>
    </format>
    <format dxfId="677">
      <pivotArea dataOnly="0" labelOnly="1" outline="0" fieldPosition="0">
        <references count="3">
          <reference field="0" count="1" selected="0">
            <x v="91"/>
          </reference>
          <reference field="1" count="1" selected="0">
            <x v="182"/>
          </reference>
          <reference field="2" count="1">
            <x v="1207"/>
          </reference>
        </references>
      </pivotArea>
    </format>
    <format dxfId="676">
      <pivotArea dataOnly="0" labelOnly="1" outline="0" fieldPosition="0">
        <references count="3">
          <reference field="0" count="1" selected="0">
            <x v="91"/>
          </reference>
          <reference field="1" count="1" selected="0">
            <x v="182"/>
          </reference>
          <reference field="2" count="1">
            <x v="1207"/>
          </reference>
        </references>
      </pivotArea>
    </format>
    <format dxfId="675">
      <pivotArea dataOnly="0" labelOnly="1" outline="0" fieldPosition="0">
        <references count="3">
          <reference field="0" count="1" selected="0">
            <x v="93"/>
          </reference>
          <reference field="1" count="1" selected="0">
            <x v="182"/>
          </reference>
          <reference field="2" count="1">
            <x v="116"/>
          </reference>
        </references>
      </pivotArea>
    </format>
    <format dxfId="674">
      <pivotArea dataOnly="0" labelOnly="1" outline="0" fieldPosition="0">
        <references count="3">
          <reference field="0" count="1" selected="0">
            <x v="93"/>
          </reference>
          <reference field="1" count="1" selected="0">
            <x v="182"/>
          </reference>
          <reference field="2" count="1">
            <x v="116"/>
          </reference>
        </references>
      </pivotArea>
    </format>
    <format dxfId="673">
      <pivotArea dataOnly="0" labelOnly="1" outline="0" fieldPosition="0">
        <references count="3">
          <reference field="0" count="1" selected="0">
            <x v="96"/>
          </reference>
          <reference field="1" count="1" selected="0">
            <x v="182"/>
          </reference>
          <reference field="2" count="1">
            <x v="1211"/>
          </reference>
        </references>
      </pivotArea>
    </format>
    <format dxfId="672">
      <pivotArea dataOnly="0" labelOnly="1" outline="0" fieldPosition="0">
        <references count="3">
          <reference field="0" count="1" selected="0">
            <x v="96"/>
          </reference>
          <reference field="1" count="1" selected="0">
            <x v="182"/>
          </reference>
          <reference field="2" count="1">
            <x v="1211"/>
          </reference>
        </references>
      </pivotArea>
    </format>
    <format dxfId="671">
      <pivotArea dataOnly="0" labelOnly="1" outline="0" fieldPosition="0">
        <references count="3">
          <reference field="0" count="1" selected="0">
            <x v="98"/>
          </reference>
          <reference field="1" count="1" selected="0">
            <x v="182"/>
          </reference>
          <reference field="2" count="1">
            <x v="177"/>
          </reference>
        </references>
      </pivotArea>
    </format>
    <format dxfId="670">
      <pivotArea dataOnly="0" labelOnly="1" outline="0" fieldPosition="0">
        <references count="3">
          <reference field="0" count="1" selected="0">
            <x v="98"/>
          </reference>
          <reference field="1" count="1" selected="0">
            <x v="182"/>
          </reference>
          <reference field="2" count="1">
            <x v="177"/>
          </reference>
        </references>
      </pivotArea>
    </format>
    <format dxfId="669">
      <pivotArea dataOnly="0" labelOnly="1" outline="0" fieldPosition="0">
        <references count="3">
          <reference field="0" count="1" selected="0">
            <x v="100"/>
          </reference>
          <reference field="1" count="1" selected="0">
            <x v="182"/>
          </reference>
          <reference field="2" count="1">
            <x v="321"/>
          </reference>
        </references>
      </pivotArea>
    </format>
    <format dxfId="668">
      <pivotArea dataOnly="0" labelOnly="1" outline="0" fieldPosition="0">
        <references count="3">
          <reference field="0" count="1" selected="0">
            <x v="100"/>
          </reference>
          <reference field="1" count="1" selected="0">
            <x v="182"/>
          </reference>
          <reference field="2" count="1">
            <x v="321"/>
          </reference>
        </references>
      </pivotArea>
    </format>
    <format dxfId="667">
      <pivotArea dataOnly="0" labelOnly="1" outline="0" fieldPosition="0">
        <references count="3">
          <reference field="0" count="1" selected="0">
            <x v="105"/>
          </reference>
          <reference field="1" count="1" selected="0">
            <x v="182"/>
          </reference>
          <reference field="2" count="1">
            <x v="1218"/>
          </reference>
        </references>
      </pivotArea>
    </format>
    <format dxfId="666">
      <pivotArea dataOnly="0" labelOnly="1" outline="0" fieldPosition="0">
        <references count="3">
          <reference field="0" count="1" selected="0">
            <x v="105"/>
          </reference>
          <reference field="1" count="1" selected="0">
            <x v="182"/>
          </reference>
          <reference field="2" count="1">
            <x v="1218"/>
          </reference>
        </references>
      </pivotArea>
    </format>
    <format dxfId="665">
      <pivotArea dataOnly="0" labelOnly="1" outline="0" fieldPosition="0">
        <references count="3">
          <reference field="0" count="1" selected="0">
            <x v="107"/>
          </reference>
          <reference field="1" count="1" selected="0">
            <x v="182"/>
          </reference>
          <reference field="2" count="1">
            <x v="1225"/>
          </reference>
        </references>
      </pivotArea>
    </format>
    <format dxfId="664">
      <pivotArea dataOnly="0" labelOnly="1" outline="0" fieldPosition="0">
        <references count="3">
          <reference field="0" count="1" selected="0">
            <x v="107"/>
          </reference>
          <reference field="1" count="1" selected="0">
            <x v="182"/>
          </reference>
          <reference field="2" count="1">
            <x v="1225"/>
          </reference>
        </references>
      </pivotArea>
    </format>
    <format dxfId="663">
      <pivotArea dataOnly="0" labelOnly="1" outline="0" fieldPosition="0">
        <references count="3">
          <reference field="0" count="1" selected="0">
            <x v="109"/>
          </reference>
          <reference field="1" count="1" selected="0">
            <x v="182"/>
          </reference>
          <reference field="2" count="1">
            <x v="1227"/>
          </reference>
        </references>
      </pivotArea>
    </format>
    <format dxfId="662">
      <pivotArea dataOnly="0" labelOnly="1" outline="0" fieldPosition="0">
        <references count="3">
          <reference field="0" count="1" selected="0">
            <x v="109"/>
          </reference>
          <reference field="1" count="1" selected="0">
            <x v="182"/>
          </reference>
          <reference field="2" count="1">
            <x v="1227"/>
          </reference>
        </references>
      </pivotArea>
    </format>
    <format dxfId="661">
      <pivotArea dataOnly="0" labelOnly="1" outline="0" fieldPosition="0">
        <references count="3">
          <reference field="0" count="1" selected="0">
            <x v="110"/>
          </reference>
          <reference field="1" count="1" selected="0">
            <x v="182"/>
          </reference>
          <reference field="2" count="1">
            <x v="1201"/>
          </reference>
        </references>
      </pivotArea>
    </format>
    <format dxfId="660">
      <pivotArea dataOnly="0" labelOnly="1" outline="0" fieldPosition="0">
        <references count="3">
          <reference field="0" count="1" selected="0">
            <x v="110"/>
          </reference>
          <reference field="1" count="1" selected="0">
            <x v="182"/>
          </reference>
          <reference field="2" count="1">
            <x v="1201"/>
          </reference>
        </references>
      </pivotArea>
    </format>
    <format dxfId="659">
      <pivotArea dataOnly="0" labelOnly="1" outline="0" fieldPosition="0">
        <references count="3">
          <reference field="0" count="1" selected="0">
            <x v="112"/>
          </reference>
          <reference field="1" count="1" selected="0">
            <x v="182"/>
          </reference>
          <reference field="2" count="1">
            <x v="1203"/>
          </reference>
        </references>
      </pivotArea>
    </format>
    <format dxfId="658">
      <pivotArea dataOnly="0" labelOnly="1" outline="0" fieldPosition="0">
        <references count="3">
          <reference field="0" count="1" selected="0">
            <x v="112"/>
          </reference>
          <reference field="1" count="1" selected="0">
            <x v="182"/>
          </reference>
          <reference field="2" count="1">
            <x v="1203"/>
          </reference>
        </references>
      </pivotArea>
    </format>
    <format dxfId="657">
      <pivotArea dataOnly="0" labelOnly="1" outline="0" fieldPosition="0">
        <references count="3">
          <reference field="0" count="1" selected="0">
            <x v="114"/>
          </reference>
          <reference field="1" count="1" selected="0">
            <x v="182"/>
          </reference>
          <reference field="2" count="1">
            <x v="1205"/>
          </reference>
        </references>
      </pivotArea>
    </format>
    <format dxfId="656">
      <pivotArea dataOnly="0" labelOnly="1" outline="0" fieldPosition="0">
        <references count="3">
          <reference field="0" count="1" selected="0">
            <x v="114"/>
          </reference>
          <reference field="1" count="1" selected="0">
            <x v="182"/>
          </reference>
          <reference field="2" count="1">
            <x v="1205"/>
          </reference>
        </references>
      </pivotArea>
    </format>
    <format dxfId="655">
      <pivotArea dataOnly="0" labelOnly="1" outline="0" fieldPosition="0">
        <references count="3">
          <reference field="0" count="1" selected="0">
            <x v="116"/>
          </reference>
          <reference field="1" count="1" selected="0">
            <x v="182"/>
          </reference>
          <reference field="2" count="1">
            <x v="1207"/>
          </reference>
        </references>
      </pivotArea>
    </format>
    <format dxfId="654">
      <pivotArea dataOnly="0" labelOnly="1" outline="0" fieldPosition="0">
        <references count="3">
          <reference field="0" count="1" selected="0">
            <x v="116"/>
          </reference>
          <reference field="1" count="1" selected="0">
            <x v="182"/>
          </reference>
          <reference field="2" count="1">
            <x v="1207"/>
          </reference>
        </references>
      </pivotArea>
    </format>
    <format dxfId="653">
      <pivotArea dataOnly="0" labelOnly="1" outline="0" fieldPosition="0">
        <references count="3">
          <reference field="0" count="1" selected="0">
            <x v="118"/>
          </reference>
          <reference field="1" count="1" selected="0">
            <x v="182"/>
          </reference>
          <reference field="2" count="1">
            <x v="116"/>
          </reference>
        </references>
      </pivotArea>
    </format>
    <format dxfId="652">
      <pivotArea dataOnly="0" labelOnly="1" outline="0" fieldPosition="0">
        <references count="3">
          <reference field="0" count="1" selected="0">
            <x v="118"/>
          </reference>
          <reference field="1" count="1" selected="0">
            <x v="182"/>
          </reference>
          <reference field="2" count="1">
            <x v="116"/>
          </reference>
        </references>
      </pivotArea>
    </format>
    <format dxfId="651">
      <pivotArea dataOnly="0" labelOnly="1" outline="0" fieldPosition="0">
        <references count="3">
          <reference field="0" count="1" selected="0">
            <x v="121"/>
          </reference>
          <reference field="1" count="1" selected="0">
            <x v="182"/>
          </reference>
          <reference field="2" count="1">
            <x v="1211"/>
          </reference>
        </references>
      </pivotArea>
    </format>
    <format dxfId="650">
      <pivotArea dataOnly="0" labelOnly="1" outline="0" fieldPosition="0">
        <references count="3">
          <reference field="0" count="1" selected="0">
            <x v="121"/>
          </reference>
          <reference field="1" count="1" selected="0">
            <x v="182"/>
          </reference>
          <reference field="2" count="1">
            <x v="1211"/>
          </reference>
        </references>
      </pivotArea>
    </format>
    <format dxfId="649">
      <pivotArea dataOnly="0" labelOnly="1" outline="0" fieldPosition="0">
        <references count="3">
          <reference field="0" count="1" selected="0">
            <x v="123"/>
          </reference>
          <reference field="1" count="1" selected="0">
            <x v="182"/>
          </reference>
          <reference field="2" count="1">
            <x v="177"/>
          </reference>
        </references>
      </pivotArea>
    </format>
    <format dxfId="648">
      <pivotArea dataOnly="0" labelOnly="1" outline="0" fieldPosition="0">
        <references count="3">
          <reference field="0" count="1" selected="0">
            <x v="123"/>
          </reference>
          <reference field="1" count="1" selected="0">
            <x v="182"/>
          </reference>
          <reference field="2" count="1">
            <x v="177"/>
          </reference>
        </references>
      </pivotArea>
    </format>
    <format dxfId="647">
      <pivotArea dataOnly="0" labelOnly="1" outline="0" fieldPosition="0">
        <references count="3">
          <reference field="0" count="1" selected="0">
            <x v="125"/>
          </reference>
          <reference field="1" count="1" selected="0">
            <x v="182"/>
          </reference>
          <reference field="2" count="1">
            <x v="321"/>
          </reference>
        </references>
      </pivotArea>
    </format>
    <format dxfId="646">
      <pivotArea dataOnly="0" labelOnly="1" outline="0" fieldPosition="0">
        <references count="3">
          <reference field="0" count="1" selected="0">
            <x v="125"/>
          </reference>
          <reference field="1" count="1" selected="0">
            <x v="182"/>
          </reference>
          <reference field="2" count="1">
            <x v="321"/>
          </reference>
        </references>
      </pivotArea>
    </format>
    <format dxfId="645">
      <pivotArea dataOnly="0" labelOnly="1" outline="0" fieldPosition="0">
        <references count="3">
          <reference field="0" count="1" selected="0">
            <x v="130"/>
          </reference>
          <reference field="1" count="1" selected="0">
            <x v="182"/>
          </reference>
          <reference field="2" count="1">
            <x v="1218"/>
          </reference>
        </references>
      </pivotArea>
    </format>
    <format dxfId="644">
      <pivotArea dataOnly="0" labelOnly="1" outline="0" fieldPosition="0">
        <references count="3">
          <reference field="0" count="1" selected="0">
            <x v="130"/>
          </reference>
          <reference field="1" count="1" selected="0">
            <x v="182"/>
          </reference>
          <reference field="2" count="1">
            <x v="1218"/>
          </reference>
        </references>
      </pivotArea>
    </format>
    <format dxfId="643">
      <pivotArea dataOnly="0" labelOnly="1" outline="0" fieldPosition="0">
        <references count="3">
          <reference field="0" count="1" selected="0">
            <x v="132"/>
          </reference>
          <reference field="1" count="1" selected="0">
            <x v="182"/>
          </reference>
          <reference field="2" count="1">
            <x v="1231"/>
          </reference>
        </references>
      </pivotArea>
    </format>
    <format dxfId="642">
      <pivotArea dataOnly="0" labelOnly="1" outline="0" fieldPosition="0">
        <references count="3">
          <reference field="0" count="1" selected="0">
            <x v="132"/>
          </reference>
          <reference field="1" count="1" selected="0">
            <x v="182"/>
          </reference>
          <reference field="2" count="1">
            <x v="1231"/>
          </reference>
        </references>
      </pivotArea>
    </format>
    <format dxfId="641">
      <pivotArea dataOnly="0" labelOnly="1" outline="0" fieldPosition="0">
        <references count="3">
          <reference field="0" count="1" selected="0">
            <x v="133"/>
          </reference>
          <reference field="1" count="1" selected="0">
            <x v="182"/>
          </reference>
          <reference field="2" count="1">
            <x v="1201"/>
          </reference>
        </references>
      </pivotArea>
    </format>
    <format dxfId="640">
      <pivotArea dataOnly="0" labelOnly="1" outline="0" fieldPosition="0">
        <references count="3">
          <reference field="0" count="1" selected="0">
            <x v="133"/>
          </reference>
          <reference field="1" count="1" selected="0">
            <x v="182"/>
          </reference>
          <reference field="2" count="1">
            <x v="1201"/>
          </reference>
        </references>
      </pivotArea>
    </format>
    <format dxfId="639">
      <pivotArea dataOnly="0" labelOnly="1" outline="0" fieldPosition="0">
        <references count="3">
          <reference field="0" count="1" selected="0">
            <x v="135"/>
          </reference>
          <reference field="1" count="1" selected="0">
            <x v="182"/>
          </reference>
          <reference field="2" count="1">
            <x v="1203"/>
          </reference>
        </references>
      </pivotArea>
    </format>
    <format dxfId="638">
      <pivotArea dataOnly="0" labelOnly="1" outline="0" fieldPosition="0">
        <references count="3">
          <reference field="0" count="1" selected="0">
            <x v="135"/>
          </reference>
          <reference field="1" count="1" selected="0">
            <x v="182"/>
          </reference>
          <reference field="2" count="1">
            <x v="1203"/>
          </reference>
        </references>
      </pivotArea>
    </format>
    <format dxfId="637">
      <pivotArea dataOnly="0" labelOnly="1" outline="0" fieldPosition="0">
        <references count="3">
          <reference field="0" count="1" selected="0">
            <x v="137"/>
          </reference>
          <reference field="1" count="1" selected="0">
            <x v="182"/>
          </reference>
          <reference field="2" count="1">
            <x v="1205"/>
          </reference>
        </references>
      </pivotArea>
    </format>
    <format dxfId="636">
      <pivotArea dataOnly="0" labelOnly="1" outline="0" fieldPosition="0">
        <references count="3">
          <reference field="0" count="1" selected="0">
            <x v="137"/>
          </reference>
          <reference field="1" count="1" selected="0">
            <x v="182"/>
          </reference>
          <reference field="2" count="1">
            <x v="1205"/>
          </reference>
        </references>
      </pivotArea>
    </format>
    <format dxfId="635">
      <pivotArea dataOnly="0" labelOnly="1" outline="0" fieldPosition="0">
        <references count="3">
          <reference field="0" count="1" selected="0">
            <x v="139"/>
          </reference>
          <reference field="1" count="1" selected="0">
            <x v="182"/>
          </reference>
          <reference field="2" count="1">
            <x v="1207"/>
          </reference>
        </references>
      </pivotArea>
    </format>
    <format dxfId="634">
      <pivotArea dataOnly="0" labelOnly="1" outline="0" fieldPosition="0">
        <references count="3">
          <reference field="0" count="1" selected="0">
            <x v="139"/>
          </reference>
          <reference field="1" count="1" selected="0">
            <x v="182"/>
          </reference>
          <reference field="2" count="1">
            <x v="1207"/>
          </reference>
        </references>
      </pivotArea>
    </format>
    <format dxfId="633">
      <pivotArea dataOnly="0" labelOnly="1" outline="0" fieldPosition="0">
        <references count="3">
          <reference field="0" count="1" selected="0">
            <x v="141"/>
          </reference>
          <reference field="1" count="1" selected="0">
            <x v="182"/>
          </reference>
          <reference field="2" count="1">
            <x v="116"/>
          </reference>
        </references>
      </pivotArea>
    </format>
    <format dxfId="632">
      <pivotArea dataOnly="0" labelOnly="1" outline="0" fieldPosition="0">
        <references count="3">
          <reference field="0" count="1" selected="0">
            <x v="141"/>
          </reference>
          <reference field="1" count="1" selected="0">
            <x v="182"/>
          </reference>
          <reference field="2" count="1">
            <x v="116"/>
          </reference>
        </references>
      </pivotArea>
    </format>
    <format dxfId="631">
      <pivotArea dataOnly="0" labelOnly="1" outline="0" fieldPosition="0">
        <references count="3">
          <reference field="0" count="1" selected="0">
            <x v="144"/>
          </reference>
          <reference field="1" count="1" selected="0">
            <x v="182"/>
          </reference>
          <reference field="2" count="1">
            <x v="1211"/>
          </reference>
        </references>
      </pivotArea>
    </format>
    <format dxfId="630">
      <pivotArea dataOnly="0" labelOnly="1" outline="0" fieldPosition="0">
        <references count="3">
          <reference field="0" count="1" selected="0">
            <x v="144"/>
          </reference>
          <reference field="1" count="1" selected="0">
            <x v="182"/>
          </reference>
          <reference field="2" count="1">
            <x v="1211"/>
          </reference>
        </references>
      </pivotArea>
    </format>
    <format dxfId="629">
      <pivotArea dataOnly="0" labelOnly="1" outline="0" fieldPosition="0">
        <references count="3">
          <reference field="0" count="1" selected="0">
            <x v="146"/>
          </reference>
          <reference field="1" count="1" selected="0">
            <x v="182"/>
          </reference>
          <reference field="2" count="1">
            <x v="177"/>
          </reference>
        </references>
      </pivotArea>
    </format>
    <format dxfId="628">
      <pivotArea dataOnly="0" labelOnly="1" outline="0" fieldPosition="0">
        <references count="3">
          <reference field="0" count="1" selected="0">
            <x v="146"/>
          </reference>
          <reference field="1" count="1" selected="0">
            <x v="182"/>
          </reference>
          <reference field="2" count="1">
            <x v="177"/>
          </reference>
        </references>
      </pivotArea>
    </format>
    <format dxfId="627">
      <pivotArea dataOnly="0" labelOnly="1" outline="0" fieldPosition="0">
        <references count="3">
          <reference field="0" count="1" selected="0">
            <x v="148"/>
          </reference>
          <reference field="1" count="1" selected="0">
            <x v="182"/>
          </reference>
          <reference field="2" count="1">
            <x v="321"/>
          </reference>
        </references>
      </pivotArea>
    </format>
    <format dxfId="626">
      <pivotArea dataOnly="0" labelOnly="1" outline="0" fieldPosition="0">
        <references count="3">
          <reference field="0" count="1" selected="0">
            <x v="148"/>
          </reference>
          <reference field="1" count="1" selected="0">
            <x v="182"/>
          </reference>
          <reference field="2" count="1">
            <x v="321"/>
          </reference>
        </references>
      </pivotArea>
    </format>
    <format dxfId="625">
      <pivotArea dataOnly="0" labelOnly="1" outline="0" fieldPosition="0">
        <references count="3">
          <reference field="0" count="1" selected="0">
            <x v="153"/>
          </reference>
          <reference field="1" count="1" selected="0">
            <x v="182"/>
          </reference>
          <reference field="2" count="1">
            <x v="1218"/>
          </reference>
        </references>
      </pivotArea>
    </format>
    <format dxfId="624">
      <pivotArea dataOnly="0" labelOnly="1" outline="0" fieldPosition="0">
        <references count="3">
          <reference field="0" count="1" selected="0">
            <x v="153"/>
          </reference>
          <reference field="1" count="1" selected="0">
            <x v="182"/>
          </reference>
          <reference field="2" count="1">
            <x v="1218"/>
          </reference>
        </references>
      </pivotArea>
    </format>
    <format dxfId="623">
      <pivotArea dataOnly="0" labelOnly="1" outline="0" fieldPosition="0">
        <references count="3">
          <reference field="0" count="1" selected="0">
            <x v="155"/>
          </reference>
          <reference field="1" count="1" selected="0">
            <x v="182"/>
          </reference>
          <reference field="2" count="1">
            <x v="1225"/>
          </reference>
        </references>
      </pivotArea>
    </format>
    <format dxfId="622">
      <pivotArea dataOnly="0" labelOnly="1" outline="0" fieldPosition="0">
        <references count="3">
          <reference field="0" count="1" selected="0">
            <x v="155"/>
          </reference>
          <reference field="1" count="1" selected="0">
            <x v="182"/>
          </reference>
          <reference field="2" count="1">
            <x v="1225"/>
          </reference>
        </references>
      </pivotArea>
    </format>
    <format dxfId="621">
      <pivotArea dataOnly="0" labelOnly="1" outline="0" fieldPosition="0">
        <references count="3">
          <reference field="0" count="1" selected="0">
            <x v="157"/>
          </reference>
          <reference field="1" count="1" selected="0">
            <x v="182"/>
          </reference>
          <reference field="2" count="1">
            <x v="1234"/>
          </reference>
        </references>
      </pivotArea>
    </format>
    <format dxfId="620">
      <pivotArea dataOnly="0" labelOnly="1" outline="0" fieldPosition="0">
        <references count="3">
          <reference field="0" count="1" selected="0">
            <x v="84"/>
          </reference>
          <reference field="1" count="1" selected="0">
            <x v="182"/>
          </reference>
          <reference field="2" count="1">
            <x v="1220"/>
          </reference>
        </references>
      </pivotArea>
    </format>
    <format dxfId="619">
      <pivotArea dataOnly="0" labelOnly="1" outline="0" fieldPosition="0">
        <references count="3">
          <reference field="0" count="1" selected="0">
            <x v="61"/>
          </reference>
          <reference field="1" count="1" selected="0">
            <x v="182"/>
          </reference>
          <reference field="2" count="1">
            <x v="1200"/>
          </reference>
        </references>
      </pivotArea>
    </format>
    <format dxfId="618">
      <pivotArea dataOnly="0" labelOnly="1" outline="0" fieldPosition="0">
        <references count="3">
          <reference field="0" count="1" selected="0">
            <x v="157"/>
          </reference>
          <reference field="1" count="1" selected="0">
            <x v="182"/>
          </reference>
          <reference field="2" count="1">
            <x v="1234"/>
          </reference>
        </references>
      </pivotArea>
    </format>
    <format dxfId="617">
      <pivotArea dataOnly="0" labelOnly="1" outline="0" fieldPosition="0">
        <references count="3">
          <reference field="0" count="1" selected="0">
            <x v="158"/>
          </reference>
          <reference field="1" count="1" selected="0">
            <x v="182"/>
          </reference>
          <reference field="2" count="1">
            <x v="1201"/>
          </reference>
        </references>
      </pivotArea>
    </format>
    <format dxfId="616">
      <pivotArea dataOnly="0" labelOnly="1" outline="0" fieldPosition="0">
        <references count="3">
          <reference field="0" count="1" selected="0">
            <x v="158"/>
          </reference>
          <reference field="1" count="1" selected="0">
            <x v="182"/>
          </reference>
          <reference field="2" count="1">
            <x v="1201"/>
          </reference>
        </references>
      </pivotArea>
    </format>
    <format dxfId="615">
      <pivotArea dataOnly="0" labelOnly="1" outline="0" fieldPosition="0">
        <references count="3">
          <reference field="0" count="1" selected="0">
            <x v="160"/>
          </reference>
          <reference field="1" count="1" selected="0">
            <x v="182"/>
          </reference>
          <reference field="2" count="1">
            <x v="1203"/>
          </reference>
        </references>
      </pivotArea>
    </format>
    <format dxfId="614">
      <pivotArea dataOnly="0" labelOnly="1" outline="0" fieldPosition="0">
        <references count="3">
          <reference field="0" count="1" selected="0">
            <x v="160"/>
          </reference>
          <reference field="1" count="1" selected="0">
            <x v="182"/>
          </reference>
          <reference field="2" count="1">
            <x v="1203"/>
          </reference>
        </references>
      </pivotArea>
    </format>
    <format dxfId="613">
      <pivotArea dataOnly="0" labelOnly="1" outline="0" fieldPosition="0">
        <references count="3">
          <reference field="0" count="1" selected="0">
            <x v="162"/>
          </reference>
          <reference field="1" count="1" selected="0">
            <x v="182"/>
          </reference>
          <reference field="2" count="1">
            <x v="1205"/>
          </reference>
        </references>
      </pivotArea>
    </format>
    <format dxfId="612">
      <pivotArea dataOnly="0" labelOnly="1" outline="0" fieldPosition="0">
        <references count="3">
          <reference field="0" count="1" selected="0">
            <x v="162"/>
          </reference>
          <reference field="1" count="1" selected="0">
            <x v="182"/>
          </reference>
          <reference field="2" count="1">
            <x v="1205"/>
          </reference>
        </references>
      </pivotArea>
    </format>
    <format dxfId="611">
      <pivotArea dataOnly="0" labelOnly="1" outline="0" fieldPosition="0">
        <references count="3">
          <reference field="0" count="1" selected="0">
            <x v="164"/>
          </reference>
          <reference field="1" count="1" selected="0">
            <x v="182"/>
          </reference>
          <reference field="2" count="1">
            <x v="1207"/>
          </reference>
        </references>
      </pivotArea>
    </format>
    <format dxfId="610">
      <pivotArea dataOnly="0" labelOnly="1" outline="0" fieldPosition="0">
        <references count="3">
          <reference field="0" count="1" selected="0">
            <x v="164"/>
          </reference>
          <reference field="1" count="1" selected="0">
            <x v="182"/>
          </reference>
          <reference field="2" count="1">
            <x v="1207"/>
          </reference>
        </references>
      </pivotArea>
    </format>
    <format dxfId="609">
      <pivotArea dataOnly="0" labelOnly="1" outline="0" fieldPosition="0">
        <references count="3">
          <reference field="0" count="1" selected="0">
            <x v="166"/>
          </reference>
          <reference field="1" count="1" selected="0">
            <x v="182"/>
          </reference>
          <reference field="2" count="1">
            <x v="116"/>
          </reference>
        </references>
      </pivotArea>
    </format>
    <format dxfId="608">
      <pivotArea dataOnly="0" labelOnly="1" outline="0" fieldPosition="0">
        <references count="3">
          <reference field="0" count="1" selected="0">
            <x v="166"/>
          </reference>
          <reference field="1" count="1" selected="0">
            <x v="182"/>
          </reference>
          <reference field="2" count="1">
            <x v="116"/>
          </reference>
        </references>
      </pivotArea>
    </format>
    <format dxfId="607">
      <pivotArea dataOnly="0" labelOnly="1" outline="0" fieldPosition="0">
        <references count="3">
          <reference field="0" count="1" selected="0">
            <x v="169"/>
          </reference>
          <reference field="1" count="1" selected="0">
            <x v="182"/>
          </reference>
          <reference field="2" count="1">
            <x v="1211"/>
          </reference>
        </references>
      </pivotArea>
    </format>
    <format dxfId="606">
      <pivotArea dataOnly="0" labelOnly="1" outline="0" fieldPosition="0">
        <references count="3">
          <reference field="0" count="1" selected="0">
            <x v="169"/>
          </reference>
          <reference field="1" count="1" selected="0">
            <x v="182"/>
          </reference>
          <reference field="2" count="1">
            <x v="1211"/>
          </reference>
        </references>
      </pivotArea>
    </format>
    <format dxfId="605">
      <pivotArea dataOnly="0" labelOnly="1" outline="0" fieldPosition="0">
        <references count="3">
          <reference field="0" count="1" selected="0">
            <x v="171"/>
          </reference>
          <reference field="1" count="1" selected="0">
            <x v="182"/>
          </reference>
          <reference field="2" count="1">
            <x v="177"/>
          </reference>
        </references>
      </pivotArea>
    </format>
    <format dxfId="604">
      <pivotArea dataOnly="0" labelOnly="1" outline="0" fieldPosition="0">
        <references count="3">
          <reference field="0" count="1" selected="0">
            <x v="171"/>
          </reference>
          <reference field="1" count="1" selected="0">
            <x v="182"/>
          </reference>
          <reference field="2" count="1">
            <x v="177"/>
          </reference>
        </references>
      </pivotArea>
    </format>
    <format dxfId="603">
      <pivotArea dataOnly="0" labelOnly="1" outline="0" fieldPosition="0">
        <references count="3">
          <reference field="0" count="1" selected="0">
            <x v="173"/>
          </reference>
          <reference field="1" count="1" selected="0">
            <x v="182"/>
          </reference>
          <reference field="2" count="1">
            <x v="321"/>
          </reference>
        </references>
      </pivotArea>
    </format>
    <format dxfId="602">
      <pivotArea dataOnly="0" labelOnly="1" outline="0" fieldPosition="0">
        <references count="3">
          <reference field="0" count="1" selected="0">
            <x v="173"/>
          </reference>
          <reference field="1" count="1" selected="0">
            <x v="182"/>
          </reference>
          <reference field="2" count="1">
            <x v="321"/>
          </reference>
        </references>
      </pivotArea>
    </format>
    <format dxfId="601">
      <pivotArea dataOnly="0" labelOnly="1" outline="0" fieldPosition="0">
        <references count="3">
          <reference field="0" count="1" selected="0">
            <x v="178"/>
          </reference>
          <reference field="1" count="1" selected="0">
            <x v="182"/>
          </reference>
          <reference field="2" count="1">
            <x v="1218"/>
          </reference>
        </references>
      </pivotArea>
    </format>
    <format dxfId="600">
      <pivotArea dataOnly="0" labelOnly="1" outline="0" fieldPosition="0">
        <references count="3">
          <reference field="0" count="1" selected="0">
            <x v="178"/>
          </reference>
          <reference field="1" count="1" selected="0">
            <x v="182"/>
          </reference>
          <reference field="2" count="1">
            <x v="1218"/>
          </reference>
        </references>
      </pivotArea>
    </format>
    <format dxfId="599">
      <pivotArea dataOnly="0" labelOnly="1" outline="0" fieldPosition="0">
        <references count="3">
          <reference field="0" count="1" selected="0">
            <x v="180"/>
          </reference>
          <reference field="1" count="1" selected="0">
            <x v="182"/>
          </reference>
          <reference field="2" count="1">
            <x v="1225"/>
          </reference>
        </references>
      </pivotArea>
    </format>
    <format dxfId="598">
      <pivotArea dataOnly="0" labelOnly="1" outline="0" fieldPosition="0">
        <references count="3">
          <reference field="0" count="1" selected="0">
            <x v="180"/>
          </reference>
          <reference field="1" count="1" selected="0">
            <x v="182"/>
          </reference>
          <reference field="2" count="1">
            <x v="1225"/>
          </reference>
        </references>
      </pivotArea>
    </format>
    <format dxfId="597">
      <pivotArea dataOnly="0" labelOnly="1" outline="0" fieldPosition="0">
        <references count="3">
          <reference field="0" count="1" selected="0">
            <x v="182"/>
          </reference>
          <reference field="1" count="1" selected="0">
            <x v="182"/>
          </reference>
          <reference field="2" count="1">
            <x v="149"/>
          </reference>
        </references>
      </pivotArea>
    </format>
    <format dxfId="596">
      <pivotArea dataOnly="0" labelOnly="1" outline="0" fieldPosition="0">
        <references count="3">
          <reference field="0" count="1" selected="0">
            <x v="182"/>
          </reference>
          <reference field="1" count="1" selected="0">
            <x v="182"/>
          </reference>
          <reference field="2" count="1">
            <x v="149"/>
          </reference>
        </references>
      </pivotArea>
    </format>
    <format dxfId="595">
      <pivotArea dataOnly="0" labelOnly="1" outline="0" fieldPosition="0">
        <references count="3">
          <reference field="0" count="1" selected="0">
            <x v="183"/>
          </reference>
          <reference field="1" count="1" selected="0">
            <x v="182"/>
          </reference>
          <reference field="2" count="1">
            <x v="860"/>
          </reference>
        </references>
      </pivotArea>
    </format>
    <format dxfId="594">
      <pivotArea dataOnly="0" labelOnly="1" outline="0" fieldPosition="0">
        <references count="3">
          <reference field="0" count="1" selected="0">
            <x v="185"/>
          </reference>
          <reference field="1" count="1" selected="0">
            <x v="182"/>
          </reference>
          <reference field="2" count="1">
            <x v="1237"/>
          </reference>
        </references>
      </pivotArea>
    </format>
    <format dxfId="593">
      <pivotArea dataOnly="0" labelOnly="1" outline="0" fieldPosition="0">
        <references count="3">
          <reference field="0" count="1" selected="0">
            <x v="187"/>
          </reference>
          <reference field="1" count="1" selected="0">
            <x v="182"/>
          </reference>
          <reference field="2" count="1">
            <x v="1239"/>
          </reference>
        </references>
      </pivotArea>
    </format>
    <format dxfId="592">
      <pivotArea dataOnly="0" labelOnly="1" outline="0" fieldPosition="0">
        <references count="3">
          <reference field="0" count="1" selected="0">
            <x v="190"/>
          </reference>
          <reference field="1" count="1" selected="0">
            <x v="182"/>
          </reference>
          <reference field="2" count="1">
            <x v="1242"/>
          </reference>
        </references>
      </pivotArea>
    </format>
    <format dxfId="591">
      <pivotArea dataOnly="0" labelOnly="1" outline="0" fieldPosition="0">
        <references count="3">
          <reference field="0" count="1" selected="0">
            <x v="196"/>
          </reference>
          <reference field="1" count="1" selected="0">
            <x v="182"/>
          </reference>
          <reference field="2" count="1">
            <x v="1248"/>
          </reference>
        </references>
      </pivotArea>
    </format>
    <format dxfId="590">
      <pivotArea dataOnly="0" labelOnly="1" outline="0" fieldPosition="0">
        <references count="3">
          <reference field="0" count="1" selected="0">
            <x v="207"/>
          </reference>
          <reference field="1" count="1" selected="0">
            <x v="182"/>
          </reference>
          <reference field="2" count="1">
            <x v="1259"/>
          </reference>
        </references>
      </pivotArea>
    </format>
    <format dxfId="589">
      <pivotArea dataOnly="0" labelOnly="1" outline="0" fieldPosition="0">
        <references count="3">
          <reference field="0" count="1" selected="0">
            <x v="215"/>
          </reference>
          <reference field="1" count="1" selected="0">
            <x v="182"/>
          </reference>
          <reference field="2" count="1">
            <x v="1267"/>
          </reference>
        </references>
      </pivotArea>
    </format>
    <format dxfId="588">
      <pivotArea dataOnly="0" labelOnly="1" outline="0" fieldPosition="0">
        <references count="3">
          <reference field="0" count="1" selected="0">
            <x v="219"/>
          </reference>
          <reference field="1" count="1" selected="0">
            <x v="182"/>
          </reference>
          <reference field="2" count="1">
            <x v="1271"/>
          </reference>
        </references>
      </pivotArea>
    </format>
    <format dxfId="587">
      <pivotArea dataOnly="0" labelOnly="1" outline="0" fieldPosition="0">
        <references count="3">
          <reference field="0" count="1" selected="0">
            <x v="61"/>
          </reference>
          <reference field="1" count="1" selected="0">
            <x v="182"/>
          </reference>
          <reference field="2" count="1">
            <x v="112"/>
          </reference>
        </references>
      </pivotArea>
    </format>
    <format dxfId="586">
      <pivotArea dataOnly="0" labelOnly="1" outline="0" fieldPosition="0">
        <references count="3">
          <reference field="0" count="1" selected="0">
            <x v="61"/>
          </reference>
          <reference field="1" count="1" selected="0">
            <x v="182"/>
          </reference>
          <reference field="2" count="1">
            <x v="112"/>
          </reference>
        </references>
      </pivotArea>
    </format>
    <format dxfId="585">
      <pivotArea dataOnly="0" labelOnly="1" outline="0" fieldPosition="0">
        <references count="3">
          <reference field="0" count="1" selected="0">
            <x v="62"/>
          </reference>
          <reference field="1" count="1" selected="0">
            <x v="182"/>
          </reference>
          <reference field="2" count="1">
            <x v="1200"/>
          </reference>
        </references>
      </pivotArea>
    </format>
    <format dxfId="584">
      <pivotArea dataOnly="0" labelOnly="1" outline="0" fieldPosition="0">
        <references count="3">
          <reference field="0" count="1" selected="0">
            <x v="63"/>
          </reference>
          <reference field="1" count="1" selected="0">
            <x v="182"/>
          </reference>
          <reference field="2" count="1">
            <x v="1201"/>
          </reference>
        </references>
      </pivotArea>
    </format>
    <format dxfId="583">
      <pivotArea dataOnly="0" labelOnly="1" outline="0" fieldPosition="0">
        <references count="3">
          <reference field="0" count="1" selected="0">
            <x v="63"/>
          </reference>
          <reference field="1" count="1" selected="0">
            <x v="182"/>
          </reference>
          <reference field="2" count="1">
            <x v="1201"/>
          </reference>
        </references>
      </pivotArea>
    </format>
    <format dxfId="582">
      <pivotArea dataOnly="0" labelOnly="1" outline="0" fieldPosition="0">
        <references count="3">
          <reference field="0" count="1" selected="0">
            <x v="65"/>
          </reference>
          <reference field="1" count="1" selected="0">
            <x v="182"/>
          </reference>
          <reference field="2" count="1">
            <x v="1203"/>
          </reference>
        </references>
      </pivotArea>
    </format>
    <format dxfId="581">
      <pivotArea dataOnly="0" labelOnly="1" outline="0" fieldPosition="0">
        <references count="3">
          <reference field="0" count="1" selected="0">
            <x v="65"/>
          </reference>
          <reference field="1" count="1" selected="0">
            <x v="182"/>
          </reference>
          <reference field="2" count="1">
            <x v="1203"/>
          </reference>
        </references>
      </pivotArea>
    </format>
    <format dxfId="580">
      <pivotArea dataOnly="0" labelOnly="1" outline="0" fieldPosition="0">
        <references count="3">
          <reference field="0" count="1" selected="0">
            <x v="67"/>
          </reference>
          <reference field="1" count="1" selected="0">
            <x v="182"/>
          </reference>
          <reference field="2" count="1">
            <x v="1205"/>
          </reference>
        </references>
      </pivotArea>
    </format>
    <format dxfId="579">
      <pivotArea dataOnly="0" labelOnly="1" outline="0" fieldPosition="0">
        <references count="3">
          <reference field="0" count="1" selected="0">
            <x v="67"/>
          </reference>
          <reference field="1" count="1" selected="0">
            <x v="182"/>
          </reference>
          <reference field="2" count="1">
            <x v="1205"/>
          </reference>
        </references>
      </pivotArea>
    </format>
    <format dxfId="578">
      <pivotArea dataOnly="0" labelOnly="1" outline="0" fieldPosition="0">
        <references count="3">
          <reference field="0" count="1" selected="0">
            <x v="69"/>
          </reference>
          <reference field="1" count="1" selected="0">
            <x v="182"/>
          </reference>
          <reference field="2" count="1">
            <x v="1207"/>
          </reference>
        </references>
      </pivotArea>
    </format>
    <format dxfId="577">
      <pivotArea dataOnly="0" labelOnly="1" outline="0" fieldPosition="0">
        <references count="3">
          <reference field="0" count="1" selected="0">
            <x v="69"/>
          </reference>
          <reference field="1" count="1" selected="0">
            <x v="182"/>
          </reference>
          <reference field="2" count="1">
            <x v="1207"/>
          </reference>
        </references>
      </pivotArea>
    </format>
    <format dxfId="576">
      <pivotArea dataOnly="0" labelOnly="1" outline="0" fieldPosition="0">
        <references count="3">
          <reference field="0" count="1" selected="0">
            <x v="71"/>
          </reference>
          <reference field="1" count="1" selected="0">
            <x v="182"/>
          </reference>
          <reference field="2" count="1">
            <x v="116"/>
          </reference>
        </references>
      </pivotArea>
    </format>
    <format dxfId="575">
      <pivotArea dataOnly="0" labelOnly="1" outline="0" fieldPosition="0">
        <references count="3">
          <reference field="0" count="1" selected="0">
            <x v="71"/>
          </reference>
          <reference field="1" count="1" selected="0">
            <x v="182"/>
          </reference>
          <reference field="2" count="1">
            <x v="116"/>
          </reference>
        </references>
      </pivotArea>
    </format>
    <format dxfId="574">
      <pivotArea dataOnly="0" labelOnly="1" outline="0" fieldPosition="0">
        <references count="3">
          <reference field="0" count="1" selected="0">
            <x v="74"/>
          </reference>
          <reference field="1" count="1" selected="0">
            <x v="182"/>
          </reference>
          <reference field="2" count="1">
            <x v="1211"/>
          </reference>
        </references>
      </pivotArea>
    </format>
    <format dxfId="573">
      <pivotArea dataOnly="0" labelOnly="1" outline="0" fieldPosition="0">
        <references count="3">
          <reference field="0" count="1" selected="0">
            <x v="74"/>
          </reference>
          <reference field="1" count="1" selected="0">
            <x v="182"/>
          </reference>
          <reference field="2" count="1">
            <x v="1211"/>
          </reference>
        </references>
      </pivotArea>
    </format>
    <format dxfId="572">
      <pivotArea dataOnly="0" labelOnly="1" outline="0" fieldPosition="0">
        <references count="3">
          <reference field="0" count="1" selected="0">
            <x v="76"/>
          </reference>
          <reference field="1" count="1" selected="0">
            <x v="182"/>
          </reference>
          <reference field="2" count="1">
            <x v="177"/>
          </reference>
        </references>
      </pivotArea>
    </format>
    <format dxfId="571">
      <pivotArea dataOnly="0" labelOnly="1" outline="0" fieldPosition="0">
        <references count="3">
          <reference field="0" count="1" selected="0">
            <x v="76"/>
          </reference>
          <reference field="1" count="1" selected="0">
            <x v="182"/>
          </reference>
          <reference field="2" count="1">
            <x v="177"/>
          </reference>
        </references>
      </pivotArea>
    </format>
    <format dxfId="570">
      <pivotArea dataOnly="0" labelOnly="1" outline="0" fieldPosition="0">
        <references count="3">
          <reference field="0" count="1" selected="0">
            <x v="78"/>
          </reference>
          <reference field="1" count="1" selected="0">
            <x v="182"/>
          </reference>
          <reference field="2" count="1">
            <x v="321"/>
          </reference>
        </references>
      </pivotArea>
    </format>
    <format dxfId="569">
      <pivotArea dataOnly="0" labelOnly="1" outline="0" fieldPosition="0">
        <references count="3">
          <reference field="0" count="1" selected="0">
            <x v="78"/>
          </reference>
          <reference field="1" count="1" selected="0">
            <x v="182"/>
          </reference>
          <reference field="2" count="1">
            <x v="321"/>
          </reference>
        </references>
      </pivotArea>
    </format>
    <format dxfId="568">
      <pivotArea dataOnly="0" labelOnly="1" outline="0" fieldPosition="0">
        <references count="3">
          <reference field="0" count="1" selected="0">
            <x v="83"/>
          </reference>
          <reference field="1" count="1" selected="0">
            <x v="182"/>
          </reference>
          <reference field="2" count="1">
            <x v="1218"/>
          </reference>
        </references>
      </pivotArea>
    </format>
    <format dxfId="567">
      <pivotArea dataOnly="0" labelOnly="1" outline="0" fieldPosition="0">
        <references count="3">
          <reference field="0" count="1" selected="0">
            <x v="83"/>
          </reference>
          <reference field="1" count="1" selected="0">
            <x v="182"/>
          </reference>
          <reference field="2" count="1">
            <x v="1218"/>
          </reference>
        </references>
      </pivotArea>
    </format>
    <format dxfId="566">
      <pivotArea dataOnly="0" labelOnly="1" outline="0" fieldPosition="0">
        <references count="3">
          <reference field="0" count="1" selected="0">
            <x v="85"/>
          </reference>
          <reference field="1" count="1" selected="0">
            <x v="182"/>
          </reference>
          <reference field="2" count="1">
            <x v="1220"/>
          </reference>
        </references>
      </pivotArea>
    </format>
    <format dxfId="565">
      <pivotArea dataOnly="0" labelOnly="1" outline="0" fieldPosition="0">
        <references count="3">
          <reference field="0" count="1" selected="0">
            <x v="85"/>
          </reference>
          <reference field="1" count="1" selected="0">
            <x v="182"/>
          </reference>
          <reference field="2" count="1">
            <x v="1220"/>
          </reference>
        </references>
      </pivotArea>
    </format>
    <format dxfId="564">
      <pivotArea dataOnly="0" labelOnly="1" outline="0" fieldPosition="0">
        <references count="3">
          <reference field="0" count="1" selected="0">
            <x v="86"/>
          </reference>
          <reference field="1" count="1" selected="0">
            <x v="182"/>
          </reference>
          <reference field="2" count="1">
            <x v="1201"/>
          </reference>
        </references>
      </pivotArea>
    </format>
    <format dxfId="563">
      <pivotArea dataOnly="0" labelOnly="1" outline="0" fieldPosition="0">
        <references count="3">
          <reference field="0" count="1" selected="0">
            <x v="86"/>
          </reference>
          <reference field="1" count="1" selected="0">
            <x v="182"/>
          </reference>
          <reference field="2" count="1">
            <x v="1201"/>
          </reference>
        </references>
      </pivotArea>
    </format>
    <format dxfId="562">
      <pivotArea dataOnly="0" labelOnly="1" outline="0" fieldPosition="0">
        <references count="3">
          <reference field="0" count="1" selected="0">
            <x v="88"/>
          </reference>
          <reference field="1" count="1" selected="0">
            <x v="182"/>
          </reference>
          <reference field="2" count="1">
            <x v="1203"/>
          </reference>
        </references>
      </pivotArea>
    </format>
    <format dxfId="561">
      <pivotArea dataOnly="0" labelOnly="1" outline="0" fieldPosition="0">
        <references count="3">
          <reference field="0" count="1" selected="0">
            <x v="88"/>
          </reference>
          <reference field="1" count="1" selected="0">
            <x v="182"/>
          </reference>
          <reference field="2" count="1">
            <x v="1203"/>
          </reference>
        </references>
      </pivotArea>
    </format>
    <format dxfId="560">
      <pivotArea dataOnly="0" labelOnly="1" outline="0" fieldPosition="0">
        <references count="3">
          <reference field="0" count="1" selected="0">
            <x v="90"/>
          </reference>
          <reference field="1" count="1" selected="0">
            <x v="182"/>
          </reference>
          <reference field="2" count="1">
            <x v="1205"/>
          </reference>
        </references>
      </pivotArea>
    </format>
    <format dxfId="559">
      <pivotArea dataOnly="0" labelOnly="1" outline="0" fieldPosition="0">
        <references count="3">
          <reference field="0" count="1" selected="0">
            <x v="90"/>
          </reference>
          <reference field="1" count="1" selected="0">
            <x v="182"/>
          </reference>
          <reference field="2" count="1">
            <x v="1205"/>
          </reference>
        </references>
      </pivotArea>
    </format>
    <format dxfId="558">
      <pivotArea dataOnly="0" labelOnly="1" outline="0" fieldPosition="0">
        <references count="3">
          <reference field="0" count="1" selected="0">
            <x v="92"/>
          </reference>
          <reference field="1" count="1" selected="0">
            <x v="182"/>
          </reference>
          <reference field="2" count="1">
            <x v="1207"/>
          </reference>
        </references>
      </pivotArea>
    </format>
    <format dxfId="557">
      <pivotArea dataOnly="0" labelOnly="1" outline="0" fieldPosition="0">
        <references count="3">
          <reference field="0" count="1" selected="0">
            <x v="92"/>
          </reference>
          <reference field="1" count="1" selected="0">
            <x v="182"/>
          </reference>
          <reference field="2" count="1">
            <x v="1207"/>
          </reference>
        </references>
      </pivotArea>
    </format>
    <format dxfId="556">
      <pivotArea dataOnly="0" labelOnly="1" outline="0" fieldPosition="0">
        <references count="3">
          <reference field="0" count="1" selected="0">
            <x v="94"/>
          </reference>
          <reference field="1" count="1" selected="0">
            <x v="182"/>
          </reference>
          <reference field="2" count="1">
            <x v="116"/>
          </reference>
        </references>
      </pivotArea>
    </format>
    <format dxfId="555">
      <pivotArea dataOnly="0" labelOnly="1" outline="0" fieldPosition="0">
        <references count="3">
          <reference field="0" count="1" selected="0">
            <x v="94"/>
          </reference>
          <reference field="1" count="1" selected="0">
            <x v="182"/>
          </reference>
          <reference field="2" count="1">
            <x v="116"/>
          </reference>
        </references>
      </pivotArea>
    </format>
    <format dxfId="554">
      <pivotArea dataOnly="0" labelOnly="1" outline="0" fieldPosition="0">
        <references count="3">
          <reference field="0" count="1" selected="0">
            <x v="97"/>
          </reference>
          <reference field="1" count="1" selected="0">
            <x v="182"/>
          </reference>
          <reference field="2" count="1">
            <x v="1211"/>
          </reference>
        </references>
      </pivotArea>
    </format>
    <format dxfId="553">
      <pivotArea dataOnly="0" labelOnly="1" outline="0" fieldPosition="0">
        <references count="3">
          <reference field="0" count="1" selected="0">
            <x v="97"/>
          </reference>
          <reference field="1" count="1" selected="0">
            <x v="182"/>
          </reference>
          <reference field="2" count="1">
            <x v="1211"/>
          </reference>
        </references>
      </pivotArea>
    </format>
    <format dxfId="552">
      <pivotArea dataOnly="0" labelOnly="1" outline="0" fieldPosition="0">
        <references count="3">
          <reference field="0" count="1" selected="0">
            <x v="99"/>
          </reference>
          <reference field="1" count="1" selected="0">
            <x v="182"/>
          </reference>
          <reference field="2" count="1">
            <x v="177"/>
          </reference>
        </references>
      </pivotArea>
    </format>
    <format dxfId="551">
      <pivotArea dataOnly="0" labelOnly="1" outline="0" fieldPosition="0">
        <references count="3">
          <reference field="0" count="1" selected="0">
            <x v="99"/>
          </reference>
          <reference field="1" count="1" selected="0">
            <x v="182"/>
          </reference>
          <reference field="2" count="1">
            <x v="177"/>
          </reference>
        </references>
      </pivotArea>
    </format>
    <format dxfId="550">
      <pivotArea dataOnly="0" labelOnly="1" outline="0" fieldPosition="0">
        <references count="3">
          <reference field="0" count="1" selected="0">
            <x v="101"/>
          </reference>
          <reference field="1" count="1" selected="0">
            <x v="182"/>
          </reference>
          <reference field="2" count="1">
            <x v="321"/>
          </reference>
        </references>
      </pivotArea>
    </format>
    <format dxfId="549">
      <pivotArea dataOnly="0" labelOnly="1" outline="0" fieldPosition="0">
        <references count="3">
          <reference field="0" count="1" selected="0">
            <x v="101"/>
          </reference>
          <reference field="1" count="1" selected="0">
            <x v="182"/>
          </reference>
          <reference field="2" count="1">
            <x v="321"/>
          </reference>
        </references>
      </pivotArea>
    </format>
    <format dxfId="548">
      <pivotArea dataOnly="0" labelOnly="1" outline="0" fieldPosition="0">
        <references count="3">
          <reference field="0" count="1" selected="0">
            <x v="106"/>
          </reference>
          <reference field="1" count="1" selected="0">
            <x v="182"/>
          </reference>
          <reference field="2" count="1">
            <x v="1218"/>
          </reference>
        </references>
      </pivotArea>
    </format>
    <format dxfId="547">
      <pivotArea dataOnly="0" labelOnly="1" outline="0" fieldPosition="0">
        <references count="3">
          <reference field="0" count="1" selected="0">
            <x v="106"/>
          </reference>
          <reference field="1" count="1" selected="0">
            <x v="182"/>
          </reference>
          <reference field="2" count="1">
            <x v="1218"/>
          </reference>
        </references>
      </pivotArea>
    </format>
    <format dxfId="546">
      <pivotArea dataOnly="0" labelOnly="1" outline="0" fieldPosition="0">
        <references count="3">
          <reference field="0" count="1" selected="0">
            <x v="108"/>
          </reference>
          <reference field="1" count="1" selected="0">
            <x v="182"/>
          </reference>
          <reference field="2" count="1">
            <x v="1225"/>
          </reference>
        </references>
      </pivotArea>
    </format>
    <format dxfId="545">
      <pivotArea dataOnly="0" labelOnly="1" outline="0" fieldPosition="0">
        <references count="3">
          <reference field="0" count="1" selected="0">
            <x v="108"/>
          </reference>
          <reference field="1" count="1" selected="0">
            <x v="182"/>
          </reference>
          <reference field="2" count="1">
            <x v="1225"/>
          </reference>
        </references>
      </pivotArea>
    </format>
    <format dxfId="544">
      <pivotArea dataOnly="0" labelOnly="1" outline="0" fieldPosition="0">
        <references count="3">
          <reference field="0" count="1" selected="0">
            <x v="110"/>
          </reference>
          <reference field="1" count="1" selected="0">
            <x v="182"/>
          </reference>
          <reference field="2" count="1">
            <x v="1227"/>
          </reference>
        </references>
      </pivotArea>
    </format>
    <format dxfId="543">
      <pivotArea dataOnly="0" labelOnly="1" outline="0" fieldPosition="0">
        <references count="3">
          <reference field="0" count="1" selected="0">
            <x v="110"/>
          </reference>
          <reference field="1" count="1" selected="0">
            <x v="182"/>
          </reference>
          <reference field="2" count="1">
            <x v="1227"/>
          </reference>
        </references>
      </pivotArea>
    </format>
    <format dxfId="542">
      <pivotArea dataOnly="0" labelOnly="1" outline="0" fieldPosition="0">
        <references count="3">
          <reference field="0" count="1" selected="0">
            <x v="111"/>
          </reference>
          <reference field="1" count="1" selected="0">
            <x v="182"/>
          </reference>
          <reference field="2" count="1">
            <x v="1201"/>
          </reference>
        </references>
      </pivotArea>
    </format>
    <format dxfId="541">
      <pivotArea dataOnly="0" labelOnly="1" outline="0" fieldPosition="0">
        <references count="3">
          <reference field="0" count="1" selected="0">
            <x v="111"/>
          </reference>
          <reference field="1" count="1" selected="0">
            <x v="182"/>
          </reference>
          <reference field="2" count="1">
            <x v="1201"/>
          </reference>
        </references>
      </pivotArea>
    </format>
    <format dxfId="540">
      <pivotArea dataOnly="0" labelOnly="1" outline="0" fieldPosition="0">
        <references count="3">
          <reference field="0" count="1" selected="0">
            <x v="113"/>
          </reference>
          <reference field="1" count="1" selected="0">
            <x v="182"/>
          </reference>
          <reference field="2" count="1">
            <x v="1203"/>
          </reference>
        </references>
      </pivotArea>
    </format>
    <format dxfId="539">
      <pivotArea dataOnly="0" labelOnly="1" outline="0" fieldPosition="0">
        <references count="3">
          <reference field="0" count="1" selected="0">
            <x v="113"/>
          </reference>
          <reference field="1" count="1" selected="0">
            <x v="182"/>
          </reference>
          <reference field="2" count="1">
            <x v="1203"/>
          </reference>
        </references>
      </pivotArea>
    </format>
    <format dxfId="538">
      <pivotArea dataOnly="0" labelOnly="1" outline="0" fieldPosition="0">
        <references count="3">
          <reference field="0" count="1" selected="0">
            <x v="115"/>
          </reference>
          <reference field="1" count="1" selected="0">
            <x v="182"/>
          </reference>
          <reference field="2" count="1">
            <x v="1205"/>
          </reference>
        </references>
      </pivotArea>
    </format>
    <format dxfId="537">
      <pivotArea dataOnly="0" labelOnly="1" outline="0" fieldPosition="0">
        <references count="3">
          <reference field="0" count="1" selected="0">
            <x v="115"/>
          </reference>
          <reference field="1" count="1" selected="0">
            <x v="182"/>
          </reference>
          <reference field="2" count="1">
            <x v="1205"/>
          </reference>
        </references>
      </pivotArea>
    </format>
    <format dxfId="536">
      <pivotArea dataOnly="0" labelOnly="1" outline="0" fieldPosition="0">
        <references count="3">
          <reference field="0" count="1" selected="0">
            <x v="117"/>
          </reference>
          <reference field="1" count="1" selected="0">
            <x v="182"/>
          </reference>
          <reference field="2" count="1">
            <x v="1207"/>
          </reference>
        </references>
      </pivotArea>
    </format>
    <format dxfId="535">
      <pivotArea dataOnly="0" labelOnly="1" outline="0" fieldPosition="0">
        <references count="3">
          <reference field="0" count="1" selected="0">
            <x v="117"/>
          </reference>
          <reference field="1" count="1" selected="0">
            <x v="182"/>
          </reference>
          <reference field="2" count="1">
            <x v="1207"/>
          </reference>
        </references>
      </pivotArea>
    </format>
    <format dxfId="534">
      <pivotArea dataOnly="0" labelOnly="1" outline="0" fieldPosition="0">
        <references count="3">
          <reference field="0" count="1" selected="0">
            <x v="119"/>
          </reference>
          <reference field="1" count="1" selected="0">
            <x v="182"/>
          </reference>
          <reference field="2" count="1">
            <x v="116"/>
          </reference>
        </references>
      </pivotArea>
    </format>
    <format dxfId="533">
      <pivotArea dataOnly="0" labelOnly="1" outline="0" fieldPosition="0">
        <references count="3">
          <reference field="0" count="1" selected="0">
            <x v="119"/>
          </reference>
          <reference field="1" count="1" selected="0">
            <x v="182"/>
          </reference>
          <reference field="2" count="1">
            <x v="116"/>
          </reference>
        </references>
      </pivotArea>
    </format>
    <format dxfId="532">
      <pivotArea dataOnly="0" labelOnly="1" outline="0" fieldPosition="0">
        <references count="3">
          <reference field="0" count="1" selected="0">
            <x v="122"/>
          </reference>
          <reference field="1" count="1" selected="0">
            <x v="182"/>
          </reference>
          <reference field="2" count="1">
            <x v="1211"/>
          </reference>
        </references>
      </pivotArea>
    </format>
    <format dxfId="531">
      <pivotArea dataOnly="0" labelOnly="1" outline="0" fieldPosition="0">
        <references count="3">
          <reference field="0" count="1" selected="0">
            <x v="122"/>
          </reference>
          <reference field="1" count="1" selected="0">
            <x v="182"/>
          </reference>
          <reference field="2" count="1">
            <x v="1211"/>
          </reference>
        </references>
      </pivotArea>
    </format>
    <format dxfId="530">
      <pivotArea dataOnly="0" labelOnly="1" outline="0" fieldPosition="0">
        <references count="3">
          <reference field="0" count="1" selected="0">
            <x v="124"/>
          </reference>
          <reference field="1" count="1" selected="0">
            <x v="182"/>
          </reference>
          <reference field="2" count="1">
            <x v="177"/>
          </reference>
        </references>
      </pivotArea>
    </format>
    <format dxfId="529">
      <pivotArea dataOnly="0" labelOnly="1" outline="0" fieldPosition="0">
        <references count="3">
          <reference field="0" count="1" selected="0">
            <x v="124"/>
          </reference>
          <reference field="1" count="1" selected="0">
            <x v="182"/>
          </reference>
          <reference field="2" count="1">
            <x v="177"/>
          </reference>
        </references>
      </pivotArea>
    </format>
    <format dxfId="528">
      <pivotArea dataOnly="0" labelOnly="1" outline="0" fieldPosition="0">
        <references count="3">
          <reference field="0" count="1" selected="0">
            <x v="126"/>
          </reference>
          <reference field="1" count="1" selected="0">
            <x v="182"/>
          </reference>
          <reference field="2" count="1">
            <x v="321"/>
          </reference>
        </references>
      </pivotArea>
    </format>
    <format dxfId="527">
      <pivotArea dataOnly="0" labelOnly="1" outline="0" fieldPosition="0">
        <references count="3">
          <reference field="0" count="1" selected="0">
            <x v="126"/>
          </reference>
          <reference field="1" count="1" selected="0">
            <x v="182"/>
          </reference>
          <reference field="2" count="1">
            <x v="321"/>
          </reference>
        </references>
      </pivotArea>
    </format>
    <format dxfId="526">
      <pivotArea dataOnly="0" labelOnly="1" outline="0" fieldPosition="0">
        <references count="3">
          <reference field="0" count="1" selected="0">
            <x v="131"/>
          </reference>
          <reference field="1" count="1" selected="0">
            <x v="182"/>
          </reference>
          <reference field="2" count="1">
            <x v="1218"/>
          </reference>
        </references>
      </pivotArea>
    </format>
    <format dxfId="525">
      <pivotArea dataOnly="0" labelOnly="1" outline="0" fieldPosition="0">
        <references count="3">
          <reference field="0" count="1" selected="0">
            <x v="131"/>
          </reference>
          <reference field="1" count="1" selected="0">
            <x v="182"/>
          </reference>
          <reference field="2" count="1">
            <x v="1218"/>
          </reference>
        </references>
      </pivotArea>
    </format>
    <format dxfId="524">
      <pivotArea dataOnly="0" labelOnly="1" outline="0" fieldPosition="0">
        <references count="3">
          <reference field="0" count="1" selected="0">
            <x v="133"/>
          </reference>
          <reference field="1" count="1" selected="0">
            <x v="182"/>
          </reference>
          <reference field="2" count="1">
            <x v="1231"/>
          </reference>
        </references>
      </pivotArea>
    </format>
    <format dxfId="523">
      <pivotArea dataOnly="0" labelOnly="1" outline="0" fieldPosition="0">
        <references count="3">
          <reference field="0" count="1" selected="0">
            <x v="133"/>
          </reference>
          <reference field="1" count="1" selected="0">
            <x v="182"/>
          </reference>
          <reference field="2" count="1">
            <x v="1231"/>
          </reference>
        </references>
      </pivotArea>
    </format>
    <format dxfId="522">
      <pivotArea dataOnly="0" labelOnly="1" outline="0" fieldPosition="0">
        <references count="3">
          <reference field="0" count="1" selected="0">
            <x v="134"/>
          </reference>
          <reference field="1" count="1" selected="0">
            <x v="182"/>
          </reference>
          <reference field="2" count="1">
            <x v="1201"/>
          </reference>
        </references>
      </pivotArea>
    </format>
    <format dxfId="521">
      <pivotArea dataOnly="0" labelOnly="1" outline="0" fieldPosition="0">
        <references count="3">
          <reference field="0" count="1" selected="0">
            <x v="134"/>
          </reference>
          <reference field="1" count="1" selected="0">
            <x v="182"/>
          </reference>
          <reference field="2" count="1">
            <x v="1201"/>
          </reference>
        </references>
      </pivotArea>
    </format>
    <format dxfId="520">
      <pivotArea dataOnly="0" labelOnly="1" outline="0" fieldPosition="0">
        <references count="3">
          <reference field="0" count="1" selected="0">
            <x v="136"/>
          </reference>
          <reference field="1" count="1" selected="0">
            <x v="182"/>
          </reference>
          <reference field="2" count="1">
            <x v="1203"/>
          </reference>
        </references>
      </pivotArea>
    </format>
    <format dxfId="519">
      <pivotArea dataOnly="0" labelOnly="1" outline="0" fieldPosition="0">
        <references count="3">
          <reference field="0" count="1" selected="0">
            <x v="136"/>
          </reference>
          <reference field="1" count="1" selected="0">
            <x v="182"/>
          </reference>
          <reference field="2" count="1">
            <x v="1203"/>
          </reference>
        </references>
      </pivotArea>
    </format>
    <format dxfId="518">
      <pivotArea dataOnly="0" labelOnly="1" outline="0" fieldPosition="0">
        <references count="3">
          <reference field="0" count="1" selected="0">
            <x v="138"/>
          </reference>
          <reference field="1" count="1" selected="0">
            <x v="182"/>
          </reference>
          <reference field="2" count="1">
            <x v="1205"/>
          </reference>
        </references>
      </pivotArea>
    </format>
    <format dxfId="517">
      <pivotArea dataOnly="0" labelOnly="1" outline="0" fieldPosition="0">
        <references count="3">
          <reference field="0" count="1" selected="0">
            <x v="138"/>
          </reference>
          <reference field="1" count="1" selected="0">
            <x v="182"/>
          </reference>
          <reference field="2" count="1">
            <x v="1205"/>
          </reference>
        </references>
      </pivotArea>
    </format>
    <format dxfId="516">
      <pivotArea dataOnly="0" labelOnly="1" outline="0" fieldPosition="0">
        <references count="3">
          <reference field="0" count="1" selected="0">
            <x v="140"/>
          </reference>
          <reference field="1" count="1" selected="0">
            <x v="182"/>
          </reference>
          <reference field="2" count="1">
            <x v="1207"/>
          </reference>
        </references>
      </pivotArea>
    </format>
    <format dxfId="515">
      <pivotArea dataOnly="0" labelOnly="1" outline="0" fieldPosition="0">
        <references count="3">
          <reference field="0" count="1" selected="0">
            <x v="140"/>
          </reference>
          <reference field="1" count="1" selected="0">
            <x v="182"/>
          </reference>
          <reference field="2" count="1">
            <x v="1207"/>
          </reference>
        </references>
      </pivotArea>
    </format>
    <format dxfId="514">
      <pivotArea dataOnly="0" labelOnly="1" outline="0" fieldPosition="0">
        <references count="3">
          <reference field="0" count="1" selected="0">
            <x v="142"/>
          </reference>
          <reference field="1" count="1" selected="0">
            <x v="182"/>
          </reference>
          <reference field="2" count="1">
            <x v="116"/>
          </reference>
        </references>
      </pivotArea>
    </format>
    <format dxfId="513">
      <pivotArea dataOnly="0" labelOnly="1" outline="0" fieldPosition="0">
        <references count="3">
          <reference field="0" count="1" selected="0">
            <x v="142"/>
          </reference>
          <reference field="1" count="1" selected="0">
            <x v="182"/>
          </reference>
          <reference field="2" count="1">
            <x v="116"/>
          </reference>
        </references>
      </pivotArea>
    </format>
    <format dxfId="512">
      <pivotArea dataOnly="0" labelOnly="1" outline="0" fieldPosition="0">
        <references count="3">
          <reference field="0" count="1" selected="0">
            <x v="145"/>
          </reference>
          <reference field="1" count="1" selected="0">
            <x v="182"/>
          </reference>
          <reference field="2" count="1">
            <x v="1211"/>
          </reference>
        </references>
      </pivotArea>
    </format>
    <format dxfId="511">
      <pivotArea dataOnly="0" labelOnly="1" outline="0" fieldPosition="0">
        <references count="3">
          <reference field="0" count="1" selected="0">
            <x v="145"/>
          </reference>
          <reference field="1" count="1" selected="0">
            <x v="182"/>
          </reference>
          <reference field="2" count="1">
            <x v="1211"/>
          </reference>
        </references>
      </pivotArea>
    </format>
    <format dxfId="510">
      <pivotArea dataOnly="0" labelOnly="1" outline="0" fieldPosition="0">
        <references count="3">
          <reference field="0" count="1" selected="0">
            <x v="147"/>
          </reference>
          <reference field="1" count="1" selected="0">
            <x v="182"/>
          </reference>
          <reference field="2" count="1">
            <x v="177"/>
          </reference>
        </references>
      </pivotArea>
    </format>
    <format dxfId="509">
      <pivotArea dataOnly="0" labelOnly="1" outline="0" fieldPosition="0">
        <references count="3">
          <reference field="0" count="1" selected="0">
            <x v="147"/>
          </reference>
          <reference field="1" count="1" selected="0">
            <x v="182"/>
          </reference>
          <reference field="2" count="1">
            <x v="177"/>
          </reference>
        </references>
      </pivotArea>
    </format>
    <format dxfId="508">
      <pivotArea dataOnly="0" labelOnly="1" outline="0" fieldPosition="0">
        <references count="3">
          <reference field="0" count="1" selected="0">
            <x v="149"/>
          </reference>
          <reference field="1" count="1" selected="0">
            <x v="182"/>
          </reference>
          <reference field="2" count="1">
            <x v="321"/>
          </reference>
        </references>
      </pivotArea>
    </format>
    <format dxfId="507">
      <pivotArea dataOnly="0" labelOnly="1" outline="0" fieldPosition="0">
        <references count="3">
          <reference field="0" count="1" selected="0">
            <x v="149"/>
          </reference>
          <reference field="1" count="1" selected="0">
            <x v="182"/>
          </reference>
          <reference field="2" count="1">
            <x v="321"/>
          </reference>
        </references>
      </pivotArea>
    </format>
    <format dxfId="506">
      <pivotArea dataOnly="0" labelOnly="1" outline="0" fieldPosition="0">
        <references count="3">
          <reference field="0" count="1" selected="0">
            <x v="154"/>
          </reference>
          <reference field="1" count="1" selected="0">
            <x v="182"/>
          </reference>
          <reference field="2" count="1">
            <x v="1218"/>
          </reference>
        </references>
      </pivotArea>
    </format>
    <format dxfId="505">
      <pivotArea dataOnly="0" labelOnly="1" outline="0" fieldPosition="0">
        <references count="3">
          <reference field="0" count="1" selected="0">
            <x v="154"/>
          </reference>
          <reference field="1" count="1" selected="0">
            <x v="182"/>
          </reference>
          <reference field="2" count="1">
            <x v="1218"/>
          </reference>
        </references>
      </pivotArea>
    </format>
    <format dxfId="504">
      <pivotArea dataOnly="0" labelOnly="1" outline="0" fieldPosition="0">
        <references count="3">
          <reference field="0" count="1" selected="0">
            <x v="156"/>
          </reference>
          <reference field="1" count="1" selected="0">
            <x v="182"/>
          </reference>
          <reference field="2" count="1">
            <x v="1225"/>
          </reference>
        </references>
      </pivotArea>
    </format>
    <format dxfId="503">
      <pivotArea dataOnly="0" labelOnly="1" outline="0" fieldPosition="0">
        <references count="3">
          <reference field="0" count="1" selected="0">
            <x v="156"/>
          </reference>
          <reference field="1" count="1" selected="0">
            <x v="182"/>
          </reference>
          <reference field="2" count="1">
            <x v="1225"/>
          </reference>
        </references>
      </pivotArea>
    </format>
    <format dxfId="502">
      <pivotArea dataOnly="0" labelOnly="1" outline="0" fieldPosition="0">
        <references count="3">
          <reference field="0" count="1" selected="0">
            <x v="158"/>
          </reference>
          <reference field="1" count="1" selected="0">
            <x v="182"/>
          </reference>
          <reference field="2" count="1">
            <x v="1234"/>
          </reference>
        </references>
      </pivotArea>
    </format>
    <format dxfId="501">
      <pivotArea dataOnly="0" labelOnly="1" outline="0" fieldPosition="0">
        <references count="3">
          <reference field="0" count="1" selected="0">
            <x v="158"/>
          </reference>
          <reference field="1" count="1" selected="0">
            <x v="182"/>
          </reference>
          <reference field="2" count="1">
            <x v="1234"/>
          </reference>
        </references>
      </pivotArea>
    </format>
    <format dxfId="500">
      <pivotArea dataOnly="0" labelOnly="1" outline="0" fieldPosition="0">
        <references count="3">
          <reference field="0" count="1" selected="0">
            <x v="159"/>
          </reference>
          <reference field="1" count="1" selected="0">
            <x v="182"/>
          </reference>
          <reference field="2" count="1">
            <x v="1201"/>
          </reference>
        </references>
      </pivotArea>
    </format>
    <format dxfId="499">
      <pivotArea dataOnly="0" labelOnly="1" outline="0" fieldPosition="0">
        <references count="3">
          <reference field="0" count="1" selected="0">
            <x v="159"/>
          </reference>
          <reference field="1" count="1" selected="0">
            <x v="182"/>
          </reference>
          <reference field="2" count="1">
            <x v="1201"/>
          </reference>
        </references>
      </pivotArea>
    </format>
    <format dxfId="498">
      <pivotArea dataOnly="0" labelOnly="1" outline="0" fieldPosition="0">
        <references count="3">
          <reference field="0" count="1" selected="0">
            <x v="161"/>
          </reference>
          <reference field="1" count="1" selected="0">
            <x v="182"/>
          </reference>
          <reference field="2" count="1">
            <x v="1203"/>
          </reference>
        </references>
      </pivotArea>
    </format>
    <format dxfId="497">
      <pivotArea dataOnly="0" labelOnly="1" outline="0" fieldPosition="0">
        <references count="3">
          <reference field="0" count="1" selected="0">
            <x v="161"/>
          </reference>
          <reference field="1" count="1" selected="0">
            <x v="182"/>
          </reference>
          <reference field="2" count="1">
            <x v="1203"/>
          </reference>
        </references>
      </pivotArea>
    </format>
    <format dxfId="496">
      <pivotArea dataOnly="0" labelOnly="1" outline="0" fieldPosition="0">
        <references count="3">
          <reference field="0" count="1" selected="0">
            <x v="163"/>
          </reference>
          <reference field="1" count="1" selected="0">
            <x v="182"/>
          </reference>
          <reference field="2" count="1">
            <x v="1205"/>
          </reference>
        </references>
      </pivotArea>
    </format>
    <format dxfId="495">
      <pivotArea dataOnly="0" labelOnly="1" outline="0" fieldPosition="0">
        <references count="3">
          <reference field="0" count="1" selected="0">
            <x v="163"/>
          </reference>
          <reference field="1" count="1" selected="0">
            <x v="182"/>
          </reference>
          <reference field="2" count="1">
            <x v="1205"/>
          </reference>
        </references>
      </pivotArea>
    </format>
    <format dxfId="494">
      <pivotArea dataOnly="0" labelOnly="1" outline="0" fieldPosition="0">
        <references count="3">
          <reference field="0" count="1" selected="0">
            <x v="165"/>
          </reference>
          <reference field="1" count="1" selected="0">
            <x v="182"/>
          </reference>
          <reference field="2" count="1">
            <x v="1207"/>
          </reference>
        </references>
      </pivotArea>
    </format>
    <format dxfId="493">
      <pivotArea dataOnly="0" labelOnly="1" outline="0" fieldPosition="0">
        <references count="3">
          <reference field="0" count="1" selected="0">
            <x v="165"/>
          </reference>
          <reference field="1" count="1" selected="0">
            <x v="182"/>
          </reference>
          <reference field="2" count="1">
            <x v="1207"/>
          </reference>
        </references>
      </pivotArea>
    </format>
    <format dxfId="492">
      <pivotArea dataOnly="0" labelOnly="1" outline="0" fieldPosition="0">
        <references count="3">
          <reference field="0" count="1" selected="0">
            <x v="167"/>
          </reference>
          <reference field="1" count="1" selected="0">
            <x v="182"/>
          </reference>
          <reference field="2" count="1">
            <x v="116"/>
          </reference>
        </references>
      </pivotArea>
    </format>
    <format dxfId="491">
      <pivotArea dataOnly="0" labelOnly="1" outline="0" fieldPosition="0">
        <references count="3">
          <reference field="0" count="1" selected="0">
            <x v="167"/>
          </reference>
          <reference field="1" count="1" selected="0">
            <x v="182"/>
          </reference>
          <reference field="2" count="1">
            <x v="116"/>
          </reference>
        </references>
      </pivotArea>
    </format>
    <format dxfId="490">
      <pivotArea dataOnly="0" labelOnly="1" outline="0" fieldPosition="0">
        <references count="3">
          <reference field="0" count="1" selected="0">
            <x v="170"/>
          </reference>
          <reference field="1" count="1" selected="0">
            <x v="182"/>
          </reference>
          <reference field="2" count="1">
            <x v="1211"/>
          </reference>
        </references>
      </pivotArea>
    </format>
    <format dxfId="489">
      <pivotArea dataOnly="0" labelOnly="1" outline="0" fieldPosition="0">
        <references count="3">
          <reference field="0" count="1" selected="0">
            <x v="170"/>
          </reference>
          <reference field="1" count="1" selected="0">
            <x v="182"/>
          </reference>
          <reference field="2" count="1">
            <x v="1211"/>
          </reference>
        </references>
      </pivotArea>
    </format>
    <format dxfId="488">
      <pivotArea dataOnly="0" labelOnly="1" outline="0" fieldPosition="0">
        <references count="3">
          <reference field="0" count="1" selected="0">
            <x v="172"/>
          </reference>
          <reference field="1" count="1" selected="0">
            <x v="182"/>
          </reference>
          <reference field="2" count="1">
            <x v="177"/>
          </reference>
        </references>
      </pivotArea>
    </format>
    <format dxfId="487">
      <pivotArea dataOnly="0" labelOnly="1" outline="0" fieldPosition="0">
        <references count="3">
          <reference field="0" count="1" selected="0">
            <x v="172"/>
          </reference>
          <reference field="1" count="1" selected="0">
            <x v="182"/>
          </reference>
          <reference field="2" count="1">
            <x v="177"/>
          </reference>
        </references>
      </pivotArea>
    </format>
    <format dxfId="486">
      <pivotArea dataOnly="0" labelOnly="1" outline="0" fieldPosition="0">
        <references count="3">
          <reference field="0" count="1" selected="0">
            <x v="174"/>
          </reference>
          <reference field="1" count="1" selected="0">
            <x v="182"/>
          </reference>
          <reference field="2" count="1">
            <x v="321"/>
          </reference>
        </references>
      </pivotArea>
    </format>
    <format dxfId="485">
      <pivotArea dataOnly="0" labelOnly="1" outline="0" fieldPosition="0">
        <references count="3">
          <reference field="0" count="1" selected="0">
            <x v="174"/>
          </reference>
          <reference field="1" count="1" selected="0">
            <x v="182"/>
          </reference>
          <reference field="2" count="1">
            <x v="321"/>
          </reference>
        </references>
      </pivotArea>
    </format>
    <format dxfId="484">
      <pivotArea dataOnly="0" labelOnly="1" outline="0" fieldPosition="0">
        <references count="3">
          <reference field="0" count="1" selected="0">
            <x v="179"/>
          </reference>
          <reference field="1" count="1" selected="0">
            <x v="182"/>
          </reference>
          <reference field="2" count="1">
            <x v="1218"/>
          </reference>
        </references>
      </pivotArea>
    </format>
    <format dxfId="483">
      <pivotArea dataOnly="0" labelOnly="1" outline="0" fieldPosition="0">
        <references count="3">
          <reference field="0" count="1" selected="0">
            <x v="179"/>
          </reference>
          <reference field="1" count="1" selected="0">
            <x v="182"/>
          </reference>
          <reference field="2" count="1">
            <x v="1218"/>
          </reference>
        </references>
      </pivotArea>
    </format>
    <format dxfId="482">
      <pivotArea dataOnly="0" labelOnly="1" outline="0" fieldPosition="0">
        <references count="3">
          <reference field="0" count="1" selected="0">
            <x v="181"/>
          </reference>
          <reference field="1" count="1" selected="0">
            <x v="182"/>
          </reference>
          <reference field="2" count="1">
            <x v="1225"/>
          </reference>
        </references>
      </pivotArea>
    </format>
    <format dxfId="481">
      <pivotArea dataOnly="0" labelOnly="1" outline="0" fieldPosition="0">
        <references count="3">
          <reference field="0" count="1" selected="0">
            <x v="181"/>
          </reference>
          <reference field="1" count="1" selected="0">
            <x v="182"/>
          </reference>
          <reference field="2" count="1">
            <x v="1225"/>
          </reference>
        </references>
      </pivotArea>
    </format>
    <format dxfId="480">
      <pivotArea dataOnly="0" labelOnly="1" outline="0" fieldPosition="0">
        <references count="3">
          <reference field="0" count="1" selected="0">
            <x v="183"/>
          </reference>
          <reference field="1" count="1" selected="0">
            <x v="182"/>
          </reference>
          <reference field="2" count="1">
            <x v="149"/>
          </reference>
        </references>
      </pivotArea>
    </format>
    <format dxfId="479">
      <pivotArea dataOnly="0" labelOnly="1" outline="0" fieldPosition="0">
        <references count="3">
          <reference field="0" count="1" selected="0">
            <x v="183"/>
          </reference>
          <reference field="1" count="1" selected="0">
            <x v="182"/>
          </reference>
          <reference field="2" count="1">
            <x v="149"/>
          </reference>
        </references>
      </pivotArea>
    </format>
    <format dxfId="478">
      <pivotArea dataOnly="0" labelOnly="1" outline="0" fieldPosition="0">
        <references count="3">
          <reference field="0" count="1" selected="0">
            <x v="184"/>
          </reference>
          <reference field="1" count="1" selected="0">
            <x v="182"/>
          </reference>
          <reference field="2" count="1">
            <x v="860"/>
          </reference>
        </references>
      </pivotArea>
    </format>
    <format dxfId="477">
      <pivotArea dataOnly="0" labelOnly="1" outline="0" fieldPosition="0">
        <references count="3">
          <reference field="0" count="1" selected="0">
            <x v="186"/>
          </reference>
          <reference field="1" count="1" selected="0">
            <x v="182"/>
          </reference>
          <reference field="2" count="1">
            <x v="1237"/>
          </reference>
        </references>
      </pivotArea>
    </format>
    <format dxfId="476">
      <pivotArea dataOnly="0" labelOnly="1" outline="0" fieldPosition="0">
        <references count="3">
          <reference field="0" count="1" selected="0">
            <x v="188"/>
          </reference>
          <reference field="1" count="1" selected="0">
            <x v="182"/>
          </reference>
          <reference field="2" count="1">
            <x v="1239"/>
          </reference>
        </references>
      </pivotArea>
    </format>
    <format dxfId="475">
      <pivotArea dataOnly="0" labelOnly="1" outline="0" fieldPosition="0">
        <references count="3">
          <reference field="0" count="1" selected="0">
            <x v="191"/>
          </reference>
          <reference field="1" count="1" selected="0">
            <x v="182"/>
          </reference>
          <reference field="2" count="1">
            <x v="1242"/>
          </reference>
        </references>
      </pivotArea>
    </format>
    <format dxfId="474">
      <pivotArea dataOnly="0" labelOnly="1" outline="0" fieldPosition="0">
        <references count="3">
          <reference field="0" count="1" selected="0">
            <x v="197"/>
          </reference>
          <reference field="1" count="1" selected="0">
            <x v="182"/>
          </reference>
          <reference field="2" count="1">
            <x v="1248"/>
          </reference>
        </references>
      </pivotArea>
    </format>
    <format dxfId="473">
      <pivotArea dataOnly="0" labelOnly="1" outline="0" fieldPosition="0">
        <references count="3">
          <reference field="0" count="1" selected="0">
            <x v="208"/>
          </reference>
          <reference field="1" count="1" selected="0">
            <x v="182"/>
          </reference>
          <reference field="2" count="1">
            <x v="1259"/>
          </reference>
        </references>
      </pivotArea>
    </format>
    <format dxfId="472">
      <pivotArea dataOnly="0" labelOnly="1" outline="0" fieldPosition="0">
        <references count="3">
          <reference field="0" count="1" selected="0">
            <x v="216"/>
          </reference>
          <reference field="1" count="1" selected="0">
            <x v="182"/>
          </reference>
          <reference field="2" count="1">
            <x v="1267"/>
          </reference>
        </references>
      </pivotArea>
    </format>
    <format dxfId="471">
      <pivotArea dataOnly="0" labelOnly="1" outline="0" fieldPosition="0">
        <references count="3">
          <reference field="0" count="1" selected="0">
            <x v="220"/>
          </reference>
          <reference field="1" count="1" selected="0">
            <x v="182"/>
          </reference>
          <reference field="2" count="1">
            <x v="1271"/>
          </reference>
        </references>
      </pivotArea>
    </format>
    <format dxfId="470">
      <pivotArea dataOnly="0" labelOnly="1" outline="0" fieldPosition="0">
        <references count="3">
          <reference field="0" count="1" selected="0">
            <x v="48"/>
          </reference>
          <reference field="1" count="1" selected="0">
            <x v="182"/>
          </reference>
          <reference field="2" count="1">
            <x v="1462"/>
          </reference>
        </references>
      </pivotArea>
    </format>
    <format dxfId="469">
      <pivotArea dataOnly="0" labelOnly="1" outline="0" fieldPosition="0">
        <references count="3">
          <reference field="0" count="1" selected="0">
            <x v="50"/>
          </reference>
          <reference field="1" count="1" selected="0">
            <x v="182"/>
          </reference>
          <reference field="2" count="1">
            <x v="860"/>
          </reference>
        </references>
      </pivotArea>
    </format>
    <format dxfId="468">
      <pivotArea dataOnly="0" labelOnly="1" outline="0" fieldPosition="0">
        <references count="3">
          <reference field="0" count="1" selected="0">
            <x v="48"/>
          </reference>
          <reference field="1" count="1" selected="0">
            <x v="182"/>
          </reference>
          <reference field="2" count="1">
            <x v="1462"/>
          </reference>
        </references>
      </pivotArea>
    </format>
    <format dxfId="467">
      <pivotArea dataOnly="0" labelOnly="1" outline="0" fieldPosition="0">
        <references count="3">
          <reference field="0" count="1" selected="0">
            <x v="53"/>
          </reference>
          <reference field="1" count="1" selected="0">
            <x v="182"/>
          </reference>
          <reference field="2" count="1">
            <x v="1368"/>
          </reference>
        </references>
      </pivotArea>
    </format>
    <format dxfId="466">
      <pivotArea dataOnly="0" labelOnly="1" outline="0" fieldPosition="0">
        <references count="3">
          <reference field="0" count="1" selected="0">
            <x v="57"/>
          </reference>
          <reference field="1" count="1" selected="0">
            <x v="182"/>
          </reference>
          <reference field="2" count="1">
            <x v="1242"/>
          </reference>
        </references>
      </pivotArea>
    </format>
    <format dxfId="465">
      <pivotArea dataOnly="0" labelOnly="1" outline="0" fieldPosition="0">
        <references count="3">
          <reference field="0" count="1" selected="0">
            <x v="63"/>
          </reference>
          <reference field="1" count="1" selected="0">
            <x v="182"/>
          </reference>
          <reference field="2" count="1">
            <x v="1248"/>
          </reference>
        </references>
      </pivotArea>
    </format>
    <format dxfId="464">
      <pivotArea dataOnly="0" labelOnly="1" outline="0" fieldPosition="0">
        <references count="3">
          <reference field="0" count="1" selected="0">
            <x v="74"/>
          </reference>
          <reference field="1" count="1" selected="0">
            <x v="182"/>
          </reference>
          <reference field="2" count="1">
            <x v="1259"/>
          </reference>
        </references>
      </pivotArea>
    </format>
    <format dxfId="463">
      <pivotArea dataOnly="0" labelOnly="1" outline="0" fieldPosition="0">
        <references count="3">
          <reference field="0" count="1" selected="0">
            <x v="83"/>
          </reference>
          <reference field="1" count="1" selected="0">
            <x v="182"/>
          </reference>
          <reference field="2" count="1">
            <x v="1353"/>
          </reference>
        </references>
      </pivotArea>
    </format>
    <format dxfId="462">
      <pivotArea dataOnly="0" labelOnly="1" outline="0" fieldPosition="0">
        <references count="3">
          <reference field="0" count="1" selected="0">
            <x v="91"/>
          </reference>
          <reference field="1" count="1" selected="0">
            <x v="182"/>
          </reference>
          <reference field="2" count="1">
            <x v="1271"/>
          </reference>
        </references>
      </pivotArea>
    </format>
    <format dxfId="461">
      <pivotArea field="0" type="button" dataOnly="0" labelOnly="1" outline="0" axis="axisRow" fieldPosition="0"/>
    </format>
    <format dxfId="460">
      <pivotArea field="1" type="button" dataOnly="0" labelOnly="1" outline="0" axis="axisRow" fieldPosition="1"/>
    </format>
    <format dxfId="459">
      <pivotArea field="2" type="button" dataOnly="0" labelOnly="1" outline="0" axis="axisRow" fieldPosition="2"/>
    </format>
    <format dxfId="458">
      <pivotArea field="3" type="button" dataOnly="0" labelOnly="1" outline="0" axis="axisRow" fieldPosition="3"/>
    </format>
    <format dxfId="457">
      <pivotArea dataOnly="0" labelOnly="1" outline="0" fieldPosition="0">
        <references count="1">
          <reference field="4294967294" count="3">
            <x v="0"/>
            <x v="1"/>
            <x v="2"/>
          </reference>
        </references>
      </pivotArea>
    </format>
    <format dxfId="456">
      <pivotArea dataOnly="0" labelOnly="1" outline="0" fieldPosition="0">
        <references count="3">
          <reference field="0" count="1" selected="0">
            <x v="53"/>
          </reference>
          <reference field="1" count="1" selected="0">
            <x v="182"/>
          </reference>
          <reference field="2" count="1">
            <x v="1462"/>
          </reference>
        </references>
      </pivotArea>
    </format>
    <format dxfId="455">
      <pivotArea dataOnly="0" labelOnly="1" outline="0" fieldPosition="0">
        <references count="3">
          <reference field="0" count="1" selected="0">
            <x v="53"/>
          </reference>
          <reference field="1" count="1" selected="0">
            <x v="182"/>
          </reference>
          <reference field="2" count="1">
            <x v="1462"/>
          </reference>
        </references>
      </pivotArea>
    </format>
    <format dxfId="454">
      <pivotArea dataOnly="0" labelOnly="1" outline="0" fieldPosition="0">
        <references count="3">
          <reference field="0" count="1" selected="0">
            <x v="55"/>
          </reference>
          <reference field="1" count="1" selected="0">
            <x v="182"/>
          </reference>
          <reference field="2" count="1">
            <x v="860"/>
          </reference>
        </references>
      </pivotArea>
    </format>
    <format dxfId="453">
      <pivotArea dataOnly="0" labelOnly="1" outline="0" fieldPosition="0">
        <references count="3">
          <reference field="0" count="1" selected="0">
            <x v="58"/>
          </reference>
          <reference field="1" count="1" selected="0">
            <x v="182"/>
          </reference>
          <reference field="2" count="1">
            <x v="1368"/>
          </reference>
        </references>
      </pivotArea>
    </format>
    <format dxfId="452">
      <pivotArea dataOnly="0" labelOnly="1" outline="0" fieldPosition="0">
        <references count="3">
          <reference field="0" count="1" selected="0">
            <x v="62"/>
          </reference>
          <reference field="1" count="1" selected="0">
            <x v="182"/>
          </reference>
          <reference field="2" count="1">
            <x v="1242"/>
          </reference>
        </references>
      </pivotArea>
    </format>
    <format dxfId="451">
      <pivotArea dataOnly="0" labelOnly="1" outline="0" fieldPosition="0">
        <references count="3">
          <reference field="0" count="1" selected="0">
            <x v="68"/>
          </reference>
          <reference field="1" count="1" selected="0">
            <x v="182"/>
          </reference>
          <reference field="2" count="1">
            <x v="1248"/>
          </reference>
        </references>
      </pivotArea>
    </format>
    <format dxfId="450">
      <pivotArea dataOnly="0" labelOnly="1" outline="0" fieldPosition="0">
        <references count="3">
          <reference field="0" count="1" selected="0">
            <x v="79"/>
          </reference>
          <reference field="1" count="1" selected="0">
            <x v="182"/>
          </reference>
          <reference field="2" count="1">
            <x v="1259"/>
          </reference>
        </references>
      </pivotArea>
    </format>
    <format dxfId="449">
      <pivotArea dataOnly="0" labelOnly="1" outline="0" fieldPosition="0">
        <references count="3">
          <reference field="0" count="1" selected="0">
            <x v="88"/>
          </reference>
          <reference field="1" count="1" selected="0">
            <x v="182"/>
          </reference>
          <reference field="2" count="1">
            <x v="1353"/>
          </reference>
        </references>
      </pivotArea>
    </format>
    <format dxfId="448">
      <pivotArea dataOnly="0" labelOnly="1" outline="0" fieldPosition="0">
        <references count="3">
          <reference field="0" count="1" selected="0">
            <x v="96"/>
          </reference>
          <reference field="1" count="1" selected="0">
            <x v="182"/>
          </reference>
          <reference field="2" count="1">
            <x v="1271"/>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D955B0-99F3-4195-84F3-C7D1B835F577}" name="PivotTable2" cacheId="225" applyNumberFormats="0" applyBorderFormats="0" applyFontFormats="0" applyPatternFormats="0" applyAlignmentFormats="0" applyWidthHeightFormats="1" dataCaption="Values" updatedVersion="8" minRefreshableVersion="3" colGrandTotals="0" itemPrintTitles="1" mergeItem="1" createdVersion="8" indent="0" compact="0" outline="1" outlineData="1" compactData="0" multipleFieldFilters="0">
  <location ref="B6:D10" firstHeaderRow="1" firstDataRow="1" firstDataCol="2"/>
  <pivotFields count="13">
    <pivotField compact="0" showAll="0"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272"/>
        <item m="1" x="332"/>
        <item m="1" x="391"/>
        <item m="1" x="451"/>
        <item m="1" x="510"/>
        <item m="1" x="569"/>
        <item m="1" x="148"/>
        <item m="1" x="205"/>
        <item m="1" x="264"/>
        <item m="1" x="324"/>
        <item m="1" x="383"/>
        <item m="1" x="443"/>
        <item m="1" x="502"/>
        <item m="1" x="561"/>
        <item m="1" x="139"/>
        <item m="1" x="196"/>
        <item m="1" x="255"/>
        <item m="1" x="314"/>
        <item m="1" x="374"/>
        <item m="1" x="434"/>
        <item m="1" x="493"/>
        <item m="1" x="553"/>
        <item m="1" x="131"/>
        <item m="1" x="188"/>
        <item m="1" x="218"/>
        <item m="1" x="247"/>
        <item m="1" x="278"/>
        <item m="1" x="306"/>
        <item m="1" x="338"/>
        <item m="1" x="366"/>
        <item m="1" x="397"/>
        <item m="1" x="426"/>
        <item m="1" x="457"/>
        <item m="1" x="485"/>
        <item m="1" x="516"/>
        <item m="1" x="544"/>
        <item m="1" x="574"/>
        <item m="1" x="123"/>
        <item m="1" x="153"/>
        <item m="1" x="180"/>
        <item m="1" x="210"/>
        <item m="1" x="239"/>
        <item m="1" x="269"/>
        <item m="1" x="298"/>
        <item m="1" x="329"/>
        <item m="1" x="358"/>
        <item m="1" x="388"/>
        <item m="1" x="418"/>
        <item m="1" x="448"/>
        <item m="1" x="477"/>
        <item m="1" x="507"/>
        <item m="1" x="536"/>
        <item m="1" x="566"/>
        <item m="1" x="116"/>
        <item m="1" x="145"/>
        <item m="1" x="173"/>
        <item m="1" x="202"/>
        <item m="1" x="232"/>
        <item m="1" x="261"/>
        <item m="1" x="291"/>
        <item m="1" x="321"/>
        <item m="1" x="351"/>
        <item m="1" x="380"/>
        <item m="1" x="411"/>
        <item m="1" x="440"/>
        <item m="1" x="470"/>
        <item m="1" x="499"/>
        <item m="1" x="529"/>
        <item m="1" x="559"/>
        <item m="1" x="110"/>
        <item m="1" x="137"/>
        <item m="1" x="166"/>
        <item m="1" x="194"/>
        <item m="1" x="224"/>
        <item m="1" x="253"/>
        <item m="1" x="284"/>
        <item m="1" x="312"/>
        <item m="1" x="344"/>
        <item m="1" x="372"/>
        <item m="1" x="403"/>
        <item m="1" x="432"/>
        <item m="1" x="463"/>
        <item m="1" x="491"/>
        <item m="1" x="522"/>
        <item m="1" x="551"/>
        <item m="1" x="580"/>
        <item m="1" x="129"/>
        <item m="1" x="159"/>
        <item m="1" x="186"/>
        <item m="1" x="216"/>
        <item m="1" x="245"/>
        <item m="1" x="276"/>
        <item m="1" x="304"/>
        <item m="1" x="336"/>
        <item m="1" x="364"/>
        <item m="1" x="395"/>
        <item m="1" x="424"/>
        <item m="1" x="455"/>
        <item m="1" x="483"/>
        <item m="1" x="514"/>
        <item m="1" x="542"/>
        <item m="1" x="573"/>
        <item m="1" x="122"/>
        <item m="1" x="152"/>
        <item m="1" x="179"/>
        <item m="1" x="209"/>
        <item m="1" x="238"/>
        <item m="1" x="268"/>
        <item m="1" x="297"/>
        <item m="1" x="328"/>
        <item m="1" x="357"/>
        <item m="1" x="387"/>
        <item m="1" x="417"/>
        <item m="1" x="447"/>
        <item m="1" x="476"/>
        <item m="1" x="506"/>
        <item m="1" x="535"/>
        <item m="1" x="565"/>
        <item m="1" x="115"/>
        <item m="1" x="144"/>
        <item m="1" x="172"/>
        <item m="1" x="201"/>
        <item m="1" x="231"/>
        <item m="1" x="260"/>
        <item m="1" x="290"/>
        <item m="1" x="320"/>
        <item m="1" x="350"/>
        <item m="1" x="379"/>
        <item m="1" x="410"/>
        <item m="1" x="439"/>
        <item m="1" x="469"/>
        <item m="1" x="498"/>
        <item m="1" x="528"/>
        <item m="1" x="558"/>
        <item m="1" x="109"/>
        <item m="1" x="136"/>
        <item m="1" x="165"/>
        <item m="1" x="193"/>
        <item m="1" x="223"/>
        <item m="1" x="252"/>
        <item m="1" x="283"/>
        <item m="1" x="311"/>
        <item m="1" x="343"/>
        <item m="1" x="371"/>
        <item m="1" x="402"/>
        <item m="1" x="431"/>
        <item m="1" x="462"/>
        <item m="1" x="490"/>
        <item m="1" x="521"/>
        <item m="1" x="549"/>
        <item m="1" x="579"/>
        <item m="1" x="128"/>
        <item m="1" x="143"/>
        <item m="1" x="158"/>
        <item m="1" x="171"/>
        <item m="1" x="185"/>
        <item m="1" x="200"/>
        <item m="1" x="215"/>
        <item m="1" x="229"/>
        <item m="1" x="244"/>
        <item m="1" x="259"/>
        <item m="1" x="275"/>
        <item m="1" x="289"/>
        <item m="1" x="303"/>
        <item m="1" x="319"/>
        <item m="1" x="335"/>
        <item m="1" x="349"/>
        <item m="1" x="363"/>
        <item m="1" x="378"/>
        <item m="1" x="394"/>
        <item m="1" x="409"/>
        <item m="1" x="423"/>
        <item m="1" x="438"/>
        <item m="1" x="454"/>
        <item m="1" x="468"/>
        <item m="1" x="482"/>
        <item m="1" x="497"/>
        <item m="1" x="513"/>
        <item m="1" x="527"/>
        <item m="1" x="541"/>
        <item m="1" x="557"/>
        <item m="1" x="572"/>
        <item m="1" x="108"/>
        <item m="1" x="121"/>
        <item m="1" x="135"/>
        <item m="1" x="151"/>
        <item m="1" x="164"/>
        <item m="1" x="178"/>
        <item m="1" x="192"/>
        <item m="1" x="208"/>
        <item m="1" x="222"/>
        <item m="1" x="237"/>
        <item m="1" x="251"/>
        <item m="1" x="267"/>
        <item m="1" x="282"/>
        <item m="1" x="296"/>
        <item m="1" x="310"/>
        <item m="1" x="327"/>
        <item m="1" x="342"/>
        <item m="1" x="356"/>
        <item m="1" x="370"/>
        <item m="1" x="386"/>
        <item m="1" x="401"/>
        <item m="1" x="416"/>
        <item m="1" x="430"/>
        <item m="1" x="446"/>
        <item m="1" x="461"/>
        <item m="1" x="475"/>
        <item m="1" x="489"/>
        <item m="1" x="505"/>
        <item m="1" x="520"/>
        <item m="1" x="534"/>
        <item m="1" x="548"/>
        <item m="1" x="564"/>
        <item m="1" x="578"/>
        <item m="1" x="114"/>
        <item m="1" x="127"/>
        <item m="1" x="142"/>
        <item m="1" x="157"/>
        <item m="1" x="170"/>
        <item m="1" x="184"/>
        <item m="1" x="199"/>
        <item m="1" x="214"/>
        <item m="1" x="228"/>
        <item m="1" x="243"/>
        <item m="1" x="258"/>
        <item m="1" x="274"/>
        <item m="1" x="288"/>
        <item m="1" x="302"/>
        <item m="1" x="317"/>
        <item m="1" x="334"/>
        <item m="1" x="348"/>
        <item m="1" x="362"/>
        <item m="1" x="377"/>
        <item m="1" x="393"/>
        <item m="1" x="408"/>
        <item m="1" x="422"/>
        <item m="1" x="437"/>
        <item m="1" x="453"/>
        <item m="1" x="467"/>
        <item m="1" x="481"/>
        <item m="1" x="496"/>
        <item m="1" x="512"/>
        <item m="1" x="526"/>
        <item m="1" x="540"/>
        <item m="1" x="556"/>
        <item m="1" x="571"/>
        <item m="1" x="107"/>
        <item m="1" x="120"/>
        <item m="1" x="134"/>
        <item m="1" x="150"/>
        <item m="1" x="163"/>
        <item m="1" x="177"/>
        <item m="1" x="191"/>
        <item m="1" x="207"/>
        <item m="1" x="221"/>
        <item m="1" x="236"/>
        <item m="1" x="250"/>
        <item m="1" x="266"/>
        <item m="1" x="281"/>
        <item m="1" x="295"/>
        <item m="1" x="309"/>
        <item m="1" x="326"/>
        <item m="1" x="341"/>
        <item m="1" x="355"/>
        <item m="1" x="369"/>
        <item m="1" x="385"/>
        <item m="1" x="400"/>
        <item m="1" x="415"/>
        <item m="1" x="429"/>
        <item m="1" x="445"/>
        <item m="1" x="460"/>
        <item m="1" x="474"/>
        <item m="1" x="488"/>
        <item m="1" x="504"/>
        <item m="1" x="519"/>
        <item m="1" x="533"/>
        <item m="1" x="547"/>
        <item m="1" x="563"/>
        <item m="1" x="577"/>
        <item m="1" x="113"/>
        <item m="1" x="126"/>
        <item m="1" x="141"/>
        <item m="1" x="156"/>
        <item m="1" x="169"/>
        <item m="1" x="183"/>
        <item m="1" x="198"/>
        <item m="1" x="213"/>
        <item m="1" x="227"/>
        <item m="1" x="242"/>
        <item m="1" x="257"/>
        <item m="1" x="273"/>
        <item m="1" x="287"/>
        <item m="1" x="301"/>
        <item m="1" x="316"/>
        <item m="1" x="333"/>
        <item m="1" x="347"/>
        <item m="1" x="361"/>
        <item m="1" x="376"/>
        <item m="1" x="392"/>
        <item m="1" x="406"/>
        <item m="1" x="421"/>
        <item m="1" x="436"/>
        <item m="1" x="452"/>
        <item m="1" x="466"/>
        <item m="1" x="480"/>
        <item m="1" x="495"/>
        <item m="1" x="511"/>
        <item m="1" x="525"/>
        <item m="1" x="539"/>
        <item m="1" x="555"/>
        <item m="1" x="570"/>
        <item m="1" x="106"/>
        <item m="1" x="119"/>
        <item m="1" x="133"/>
        <item m="1" x="149"/>
        <item m="1" x="162"/>
        <item m="1" x="176"/>
        <item m="1" x="190"/>
        <item m="1" x="206"/>
        <item m="1" x="220"/>
        <item m="1" x="235"/>
        <item m="1" x="249"/>
        <item m="1" x="265"/>
        <item m="1" x="280"/>
        <item m="1" x="294"/>
        <item m="1" x="308"/>
        <item m="1" x="325"/>
        <item m="1" x="340"/>
        <item m="1" x="354"/>
        <item m="1" x="368"/>
        <item m="1" x="384"/>
        <item m="1" x="399"/>
        <item m="1" x="414"/>
        <item m="1" x="428"/>
        <item m="1" x="444"/>
        <item m="1" x="459"/>
        <item m="1" x="473"/>
        <item m="1" x="487"/>
        <item m="1" x="503"/>
        <item m="1" x="518"/>
        <item m="1" x="532"/>
        <item m="1" x="546"/>
        <item m="1" x="562"/>
        <item m="1" x="576"/>
        <item m="1" x="112"/>
        <item m="1" x="125"/>
        <item m="1" x="140"/>
        <item m="1" x="155"/>
        <item m="1" x="168"/>
        <item m="1" x="182"/>
        <item m="1" x="197"/>
        <item m="1" x="212"/>
        <item m="1" x="226"/>
        <item m="1" x="241"/>
        <item m="1" x="256"/>
        <item m="1" x="271"/>
        <item m="1" x="286"/>
        <item m="1" x="300"/>
        <item m="1" x="315"/>
        <item m="1" x="331"/>
        <item m="1" x="346"/>
        <item m="1" x="360"/>
        <item m="1" x="375"/>
        <item m="1" x="390"/>
        <item m="1" x="405"/>
        <item m="1" x="420"/>
        <item m="1" x="435"/>
        <item m="1" x="450"/>
        <item m="1" x="465"/>
        <item m="1" x="479"/>
        <item m="1" x="494"/>
        <item m="1" x="509"/>
        <item m="1" x="524"/>
        <item m="1" x="538"/>
        <item m="1" x="554"/>
        <item m="1" x="568"/>
        <item m="1" x="105"/>
        <item m="1" x="118"/>
        <item m="1" x="132"/>
        <item m="1" x="147"/>
        <item m="1" x="161"/>
        <item m="1" x="175"/>
        <item m="1" x="189"/>
        <item m="1" x="204"/>
        <item m="1" x="219"/>
        <item m="1" x="234"/>
        <item m="1" x="248"/>
        <item m="1" x="263"/>
        <item m="1" x="279"/>
        <item m="1" x="293"/>
        <item m="1" x="307"/>
        <item m="1" x="323"/>
        <item m="1" x="339"/>
        <item m="1" x="353"/>
        <item m="1" x="367"/>
        <item m="1" x="382"/>
        <item m="1" x="398"/>
        <item m="1" x="413"/>
        <item m="1" x="427"/>
        <item m="1" x="442"/>
        <item m="1" x="458"/>
        <item m="1" x="472"/>
        <item m="1" x="486"/>
        <item m="1" x="501"/>
        <item m="1" x="517"/>
        <item m="1" x="531"/>
        <item m="1" x="545"/>
        <item m="1" x="552"/>
        <item m="1" x="560"/>
        <item m="1" x="567"/>
        <item m="1" x="575"/>
        <item m="1" x="104"/>
        <item m="1" x="111"/>
        <item m="1" x="117"/>
        <item m="1" x="124"/>
        <item m="1" x="130"/>
        <item m="1" x="138"/>
        <item m="1" x="146"/>
        <item m="1" x="154"/>
        <item m="1" x="160"/>
        <item m="1" x="167"/>
        <item m="1" x="174"/>
        <item m="1" x="181"/>
        <item m="1" x="187"/>
        <item m="1" x="195"/>
        <item m="1" x="203"/>
        <item m="1" x="211"/>
        <item m="1" x="217"/>
        <item m="1" x="225"/>
        <item m="1" x="233"/>
        <item m="1" x="240"/>
        <item m="1" x="246"/>
        <item m="1" x="254"/>
        <item m="1" x="262"/>
        <item m="1" x="270"/>
        <item m="1" x="277"/>
        <item m="1" x="285"/>
        <item m="1" x="292"/>
        <item m="1" x="299"/>
        <item m="1" x="305"/>
        <item m="1" x="313"/>
        <item m="1" x="322"/>
        <item m="1" x="330"/>
        <item m="1" x="337"/>
        <item m="1" x="345"/>
        <item m="1" x="352"/>
        <item m="1" x="359"/>
        <item m="1" x="365"/>
        <item m="1" x="373"/>
        <item m="1" x="381"/>
        <item m="1" x="389"/>
        <item m="1" x="396"/>
        <item m="1" x="404"/>
        <item m="1" x="412"/>
        <item m="1" x="419"/>
        <item m="1" x="425"/>
        <item m="1" x="433"/>
        <item m="1" x="441"/>
        <item m="1" x="449"/>
        <item m="1" x="456"/>
        <item m="1" x="464"/>
        <item m="1" x="471"/>
        <item m="1" x="478"/>
        <item m="1" x="484"/>
        <item m="1" x="492"/>
        <item m="1" x="500"/>
        <item m="1" x="508"/>
        <item m="1" x="515"/>
        <item m="1" x="523"/>
        <item m="1" x="530"/>
        <item m="1" x="230"/>
        <item m="1" x="318"/>
        <item m="1" x="407"/>
        <item m="1" x="550"/>
        <item m="1" x="537"/>
        <item m="1" x="543"/>
      </items>
    </pivotField>
    <pivotField compact="0" showAll="0" defaultSubtotal="0">
      <items count="1124">
        <item m="1" x="458"/>
        <item m="1" x="500"/>
        <item m="1" x="552"/>
        <item m="1" x="597"/>
        <item m="1" x="627"/>
        <item m="1" x="648"/>
        <item m="1" x="665"/>
        <item m="1" x="678"/>
        <item m="1" x="705"/>
        <item m="1" x="440"/>
        <item m="1" x="465"/>
        <item m="1" x="506"/>
        <item m="1" x="556"/>
        <item m="1" x="601"/>
        <item m="1" x="629"/>
        <item m="1" x="649"/>
        <item m="1" x="666"/>
        <item m="1" x="679"/>
        <item m="1" x="706"/>
        <item m="1" x="441"/>
        <item m="1" x="468"/>
        <item m="1" x="514"/>
        <item m="1" x="564"/>
        <item m="1" x="603"/>
        <item m="1" x="630"/>
        <item m="1" x="650"/>
        <item m="1" x="667"/>
        <item m="1" x="680"/>
        <item m="1" x="707"/>
        <item m="1" x="442"/>
        <item m="1" x="469"/>
        <item m="1" x="517"/>
        <item m="1" x="568"/>
        <item m="1" x="604"/>
        <item m="1" x="631"/>
        <item m="1" x="651"/>
        <item m="1" x="668"/>
        <item m="1" x="681"/>
        <item m="1" x="708"/>
        <item m="1" x="697"/>
        <item m="1" x="746"/>
        <item m="1" x="802"/>
        <item m="1" x="857"/>
        <item m="1" x="909"/>
        <item m="1" x="981"/>
        <item m="1" x="1018"/>
        <item m="1" x="166"/>
        <item m="1" x="956"/>
        <item m="1" x="993"/>
        <item m="1" x="1037"/>
        <item m="1" x="1088"/>
        <item m="1" x="77"/>
        <item m="1" x="105"/>
        <item m="1" x="127"/>
        <item m="1" x="143"/>
        <item m="1" x="157"/>
        <item m="1" x="193"/>
        <item m="1" x="971"/>
        <item m="1" x="1001"/>
        <item m="1" x="1042"/>
        <item m="1" x="1092"/>
        <item m="1" x="81"/>
        <item m="1" x="108"/>
        <item m="1" x="128"/>
        <item m="1" x="144"/>
        <item m="1" x="180"/>
        <item m="1" x="232"/>
        <item m="1" x="456"/>
        <item m="1" x="497"/>
        <item m="1" x="549"/>
        <item m="1" x="594"/>
        <item m="1" x="624"/>
        <item m="1" x="646"/>
        <item m="1" x="664"/>
        <item m="1" x="677"/>
        <item m="1" x="695"/>
        <item m="1" x="743"/>
        <item m="1" x="798"/>
        <item m="1" x="853"/>
        <item m="1" x="980"/>
        <item m="1" x="165"/>
        <item m="1" x="476"/>
        <item m="1" x="524"/>
        <item m="1" x="576"/>
        <item m="1" x="612"/>
        <item m="1" x="637"/>
        <item m="1" x="657"/>
        <item m="1" x="672"/>
        <item m="1" x="689"/>
        <item m="1" x="732"/>
        <item m="1" x="449"/>
        <item m="1" x="481"/>
        <item m="1" x="528"/>
        <item m="1" x="580"/>
        <item m="1" x="615"/>
        <item m="1" x="639"/>
        <item m="1" x="658"/>
        <item m="1" x="673"/>
        <item m="1" x="690"/>
        <item m="1" x="733"/>
        <item m="1" x="452"/>
        <item m="1" x="489"/>
        <item m="1" x="534"/>
        <item m="1" x="584"/>
        <item m="1" x="617"/>
        <item m="1" x="640"/>
        <item m="1" x="659"/>
        <item m="1" x="674"/>
        <item m="1" x="691"/>
        <item m="1" x="734"/>
        <item m="1" x="453"/>
        <item m="1" x="492"/>
        <item m="1" x="541"/>
        <item m="1" x="588"/>
        <item m="1" x="618"/>
        <item m="1" x="641"/>
        <item m="1" x="660"/>
        <item m="1" x="675"/>
        <item m="1" x="692"/>
        <item m="1" x="735"/>
        <item m="1" x="454"/>
        <item m="1" x="493"/>
        <item m="1" x="543"/>
        <item m="1" x="589"/>
        <item m="1" x="619"/>
        <item m="1" x="642"/>
        <item m="1" x="661"/>
        <item m="1" x="676"/>
        <item m="1" x="693"/>
        <item m="1" x="736"/>
        <item m="1" x="716"/>
        <item m="1" x="771"/>
        <item m="1" x="826"/>
        <item m="1" x="882"/>
        <item m="1" x="927"/>
        <item m="1" x="991"/>
        <item m="1" x="1035"/>
        <item m="1" x="1086"/>
        <item m="1" x="76"/>
        <item m="1" x="104"/>
        <item m="1" x="126"/>
        <item m="1" x="142"/>
        <item m="1" x="156"/>
        <item m="1" x="192"/>
        <item m="1" x="969"/>
        <item m="1" x="177"/>
        <item m="1" x="1015"/>
        <item m="1" x="1065"/>
        <item m="1" x="1113"/>
        <item m="1" x="95"/>
        <item m="1" x="119"/>
        <item m="1" x="139"/>
        <item m="1" x="152"/>
        <item m="1" x="175"/>
        <item m="1" x="224"/>
        <item m="1" x="985"/>
        <item m="1" x="1021"/>
        <item m="1" x="1069"/>
        <item m="1" x="1117"/>
        <item m="1" x="98"/>
        <item m="1" x="122"/>
        <item m="1" x="140"/>
        <item m="1" x="153"/>
        <item m="1" x="176"/>
        <item m="1" x="203"/>
        <item m="1" x="258"/>
        <item m="1" x="314"/>
        <item m="1" x="370"/>
        <item m="1" x="474"/>
        <item m="1" x="521"/>
        <item m="1" x="573"/>
        <item m="1" x="609"/>
        <item m="1" x="712"/>
        <item m="1" x="768"/>
        <item m="1" x="822"/>
        <item m="1" x="878"/>
        <item m="1" x="686"/>
        <item m="1" x="990"/>
        <item m="1" x="495"/>
        <item m="1" x="547"/>
        <item m="1" x="593"/>
        <item m="1" x="623"/>
        <item x="0"/>
        <item m="1" x="963"/>
        <item m="1" x="158"/>
        <item m="1" x="194"/>
        <item m="1" x="972"/>
        <item m="1" x="1006"/>
        <item m="1" x="1051"/>
        <item m="1" x="1098"/>
        <item m="1" x="84"/>
        <item m="1" x="109"/>
        <item m="1" x="129"/>
        <item m="1" x="145"/>
        <item m="1" x="1081"/>
        <item m="1" x="539"/>
        <item m="1" x="1052"/>
        <item m="1" x="512"/>
        <item m="1" x="1029"/>
        <item m="1" x="487"/>
        <item m="1" x="1002"/>
        <item m="1" x="463"/>
        <item m="1" x="986"/>
        <item m="1" x="587"/>
        <item m="1" x="1099"/>
        <item m="1" x="561"/>
        <item m="1" x="1074"/>
        <item m="1" x="531"/>
        <item m="1" x="1043"/>
        <item m="1" x="503"/>
        <item m="1" x="1022"/>
        <item m="1" x="479"/>
        <item m="1" x="994"/>
        <item m="1" x="602"/>
        <item m="1" x="1121"/>
        <item m="1" x="582"/>
        <item m="1" x="1093"/>
        <item m="1" x="554"/>
        <item m="1" x="1070"/>
        <item m="1" x="526"/>
        <item m="1" x="1038"/>
        <item m="1" x="276"/>
        <item m="1" x="787"/>
        <item m="1" x="247"/>
        <item m="1" x="758"/>
        <item m="1" x="220"/>
        <item m="1" x="727"/>
        <item m="1" x="567"/>
        <item m="1" x="1079"/>
        <item m="1" x="536"/>
        <item m="1" x="1047"/>
        <item m="1" x="508"/>
        <item m="1" x="1025"/>
        <item m="1" x="483"/>
        <item m="1" x="997"/>
        <item m="1" x="459"/>
        <item m="1" x="1123"/>
        <item m="1" x="585"/>
        <item m="1" x="1095"/>
        <item m="1" x="557"/>
        <item m="1" x="1072"/>
        <item m="1" x="529"/>
        <item m="1" x="1040"/>
        <item m="1" x="501"/>
        <item m="1" x="1019"/>
        <item m="1" x="477"/>
        <item m="1" x="815"/>
        <item m="1" x="274"/>
        <item m="1" x="784"/>
        <item m="1" x="243"/>
        <item m="1" x="754"/>
        <item m="1" x="216"/>
        <item m="1" x="723"/>
        <item m="1" x="184"/>
        <item m="1" x="698"/>
        <item m="1" x="329"/>
        <item m="1" x="838"/>
        <item m="1" x="297"/>
        <item m="1" x="808"/>
        <item m="1" x="267"/>
        <item m="1" x="777"/>
        <item m="1" x="236"/>
        <item m="1" x="747"/>
        <item m="1" x="208"/>
        <item m="1" x="717"/>
        <item m="1" x="355"/>
        <item m="1" x="864"/>
        <item m="1" x="323"/>
        <item m="1" x="832"/>
        <item m="1" x="292"/>
        <item m="1" x="803"/>
        <item m="1" x="262"/>
        <item m="1" x="772"/>
        <item m="1" x="230"/>
        <item m="1" x="741"/>
        <item m="1" x="379"/>
        <item m="1" x="889"/>
        <item m="1" x="350"/>
        <item m="1" x="858"/>
        <item m="1" x="318"/>
        <item m="1" x="827"/>
        <item m="1" x="286"/>
        <item m="1" x="796"/>
        <item m="1" x="256"/>
        <item m="1" x="766"/>
        <item m="1" x="400"/>
        <item m="1" x="910"/>
        <item m="1" x="374"/>
        <item m="1" x="883"/>
        <item m="1" x="344"/>
        <item m="1" x="851"/>
        <item m="1" x="312"/>
        <item m="1" x="1101"/>
        <item m="1" x="563"/>
        <item m="1" x="1076"/>
        <item m="1" x="533"/>
        <item m="1" x="1045"/>
        <item m="1" x="505"/>
        <item m="1" x="178"/>
        <item m="1" x="201"/>
        <item m="1" x="225"/>
        <item m="1" x="251"/>
        <item m="1" x="277"/>
        <item m="1" x="304"/>
        <item m="1" x="332"/>
        <item m="1" x="358"/>
        <item m="1" x="381"/>
        <item m="1" x="207"/>
        <item m="1" x="229"/>
        <item m="1" x="255"/>
        <item m="1" x="28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714"/>
        <item m="1" x="739"/>
        <item m="1" x="764"/>
        <item m="1" x="791"/>
        <item m="1" x="443"/>
        <item m="1" x="470"/>
        <item m="1" x="518"/>
        <item m="1" x="569"/>
        <item m="1" x="605"/>
        <item m="1" x="632"/>
        <item m="1" x="652"/>
        <item m="1" x="669"/>
        <item m="1" x="682"/>
        <item m="1" x="709"/>
        <item m="1" x="444"/>
        <item m="1" x="471"/>
        <item m="1" x="519"/>
        <item m="1" x="570"/>
        <item m="1" x="606"/>
        <item m="1" x="633"/>
        <item m="1" x="653"/>
        <item m="1" x="670"/>
        <item m="1" x="683"/>
        <item m="1" x="710"/>
        <item m="1" x="159"/>
        <item m="1" x="195"/>
        <item m="1" x="973"/>
        <item m="1" x="1007"/>
        <item m="1" x="1056"/>
        <item m="1" x="1103"/>
        <item m="1" x="85"/>
        <item m="1" x="110"/>
        <item m="1" x="130"/>
        <item m="1" x="146"/>
        <item m="1" x="160"/>
        <item m="1" x="196"/>
        <item m="1" x="974"/>
        <item m="1" x="1008"/>
        <item m="1" x="1057"/>
        <item m="1" x="1104"/>
        <item m="1" x="86"/>
        <item m="1" x="111"/>
        <item m="1" x="131"/>
        <item m="1" x="147"/>
        <item m="1" x="161"/>
        <item m="1" x="197"/>
        <item m="1" x="975"/>
        <item m="1" x="1009"/>
        <item m="1" x="1058"/>
        <item m="1" x="1105"/>
        <item m="1" x="87"/>
        <item m="1" x="112"/>
        <item m="1" x="132"/>
        <item m="1" x="148"/>
        <item m="1" x="162"/>
        <item m="1" x="198"/>
        <item m="1" x="976"/>
        <item m="1" x="1010"/>
        <item m="1" x="1059"/>
        <item m="1" x="1106"/>
        <item m="1" x="88"/>
        <item m="1" x="113"/>
        <item m="1" x="133"/>
        <item m="1" x="149"/>
        <item m="1" x="163"/>
        <item m="1" x="199"/>
        <item m="1" x="977"/>
        <item m="1" x="1011"/>
        <item m="1" x="1060"/>
        <item m="1" x="1107"/>
        <item m="1" x="89"/>
        <item m="1" x="114"/>
        <item m="1" x="134"/>
        <item m="1" x="150"/>
        <item m="1" x="164"/>
        <item m="1" x="200"/>
        <item m="1" x="978"/>
        <item m="1" x="1012"/>
        <item m="1" x="1061"/>
        <item m="1" x="1108"/>
        <item m="1" x="90"/>
        <item m="1" x="115"/>
        <item m="1" x="135"/>
        <item m="1" x="167"/>
        <item m="1" x="206"/>
        <item m="1" x="979"/>
        <item m="1" x="1013"/>
        <item m="1" x="1062"/>
        <item m="1" x="1109"/>
        <item m="1" x="91"/>
        <item m="1" x="116"/>
        <item m="1" x="136"/>
        <item m="1" x="151"/>
        <item m="1" x="173"/>
        <item m="1" x="214"/>
        <item m="1" x="154"/>
        <item m="1" x="288"/>
        <item m="1" x="346"/>
        <item m="1" x="396"/>
        <item m="1" x="427"/>
        <item m="1" x="439"/>
        <item m="1" x="445"/>
        <item m="1" x="472"/>
        <item m="1" x="155"/>
        <item m="1" x="930"/>
        <item m="1" x="955"/>
        <item m="1" x="967"/>
        <item m="1" x="498"/>
        <item m="1" x="1016"/>
        <item m="1" x="616"/>
        <item m="1" x="82"/>
        <item m="1" x="599"/>
        <item m="1" x="1118"/>
        <item m="1" x="578"/>
        <item m="1" x="1089"/>
        <item m="1" x="550"/>
        <item m="1" x="1066"/>
        <item m="1" x="522"/>
        <item m="1" x="1033"/>
        <item m="1" x="628"/>
        <item m="1" x="99"/>
        <item m="1" x="613"/>
        <item m="1" x="78"/>
        <item m="1" x="595"/>
        <item m="1" x="1114"/>
        <item m="1" x="574"/>
        <item m="1" x="1084"/>
        <item m="1" x="545"/>
        <item m="1" x="1063"/>
        <item m="1" x="638"/>
        <item m="1" x="106"/>
        <item m="1" x="625"/>
        <item m="1" x="96"/>
        <item m="1" x="610"/>
        <item m="1" x="74"/>
        <item m="1" x="591"/>
        <item m="1" x="1111"/>
        <item m="1" x="571"/>
        <item m="1" x="1082"/>
        <item m="1" x="647"/>
        <item m="1" x="120"/>
        <item m="1" x="636"/>
        <item m="1" x="103"/>
        <item m="1" x="622"/>
        <item m="1" x="94"/>
        <item m="1" x="608"/>
        <item m="1" x="73"/>
        <item m="1" x="590"/>
        <item m="1" x="1110"/>
        <item m="1" x="656"/>
        <item m="1" x="125"/>
        <item m="1" x="645"/>
        <item m="1" x="118"/>
        <item m="1" x="635"/>
        <item m="1" x="102"/>
        <item m="1" x="621"/>
        <item m="1" x="93"/>
        <item m="1" x="607"/>
        <item m="1" x="72"/>
        <item m="1" x="663"/>
        <item m="1" x="138"/>
        <item m="1" x="655"/>
        <item m="1" x="124"/>
        <item m="1" x="644"/>
        <item m="1" x="117"/>
        <item m="1" x="634"/>
        <item m="1" x="101"/>
        <item m="1" x="188"/>
        <item m="1" x="702"/>
        <item m="1" x="171"/>
        <item m="1" x="839"/>
        <item m="1" x="299"/>
        <item m="1" x="810"/>
        <item m="1" x="269"/>
        <item m="1" x="779"/>
        <item m="1" x="238"/>
        <item m="1" x="749"/>
        <item m="1" x="210"/>
        <item m="1" x="719"/>
        <item m="1" x="181"/>
        <item m="1" x="865"/>
        <item m="1" x="325"/>
        <item m="1" x="834"/>
        <item m="1" x="294"/>
        <item m="1" x="805"/>
        <item m="1" x="264"/>
        <item m="1" x="774"/>
        <item m="1" x="233"/>
        <item m="1" x="744"/>
        <item m="1" x="204"/>
        <item m="1" x="890"/>
        <item m="1" x="352"/>
        <item m="1" x="861"/>
        <item m="1" x="320"/>
        <item m="1" x="829"/>
        <item m="1" x="289"/>
        <item m="1" x="799"/>
        <item m="1" x="259"/>
        <item m="1" x="769"/>
        <item m="1" x="227"/>
        <item m="1" x="911"/>
        <item m="1" x="376"/>
        <item m="1" x="886"/>
        <item m="1" x="347"/>
        <item m="1" x="854"/>
        <item m="1" x="315"/>
        <item m="1" x="823"/>
        <item m="1" x="283"/>
        <item m="1" x="794"/>
        <item m="1" x="253"/>
        <item m="1" x="928"/>
        <item m="1" x="397"/>
        <item m="1" x="906"/>
        <item m="1" x="371"/>
        <item m="1" x="879"/>
        <item m="1" x="341"/>
        <item m="1" x="848"/>
        <item m="1" x="309"/>
        <item m="1" x="819"/>
        <item m="1" x="279"/>
        <item m="1" x="942"/>
        <item m="1" x="413"/>
        <item m="1" x="924"/>
        <item m="1" x="392"/>
        <item m="1" x="901"/>
        <item m="1" x="366"/>
        <item m="1" x="874"/>
        <item m="1" x="337"/>
        <item m="1" x="845"/>
        <item m="1" x="306"/>
        <item m="1" x="952"/>
        <item m="1" x="424"/>
        <item m="1" x="939"/>
        <item m="1" x="409"/>
        <item m="1" x="920"/>
        <item m="1" x="388"/>
        <item m="1" x="897"/>
        <item m="1" x="362"/>
        <item m="1" x="871"/>
        <item m="1" x="334"/>
        <item m="1" x="960"/>
        <item m="1" x="432"/>
        <item m="1" x="949"/>
        <item m="1" x="420"/>
        <item m="1" x="935"/>
        <item m="1" x="405"/>
        <item m="1" x="917"/>
        <item m="1" x="385"/>
        <item m="1" x="894"/>
        <item m="1" x="359"/>
        <item m="1" x="965"/>
        <item m="1" x="436"/>
        <item m="1" x="958"/>
        <item m="1" x="429"/>
        <item m="1" x="946"/>
        <item m="1" x="417"/>
        <item m="1" x="932"/>
        <item m="1" x="402"/>
        <item m="1" x="914"/>
        <item m="1" x="382"/>
        <item m="1" x="868"/>
        <item m="1" x="330"/>
        <item m="1" x="840"/>
        <item m="1" x="300"/>
        <item m="1" x="811"/>
        <item m="1" x="270"/>
        <item m="1" x="780"/>
        <item m="1" x="239"/>
        <item m="1" x="750"/>
        <item m="1" x="211"/>
        <item m="1" x="892"/>
        <item m="1" x="356"/>
        <item m="1" x="866"/>
        <item m="1" x="326"/>
        <item m="1" x="835"/>
        <item m="1" x="295"/>
        <item m="1" x="806"/>
        <item m="1" x="265"/>
        <item m="1" x="775"/>
        <item m="1" x="234"/>
        <item m="1" x="913"/>
        <item m="1" x="380"/>
        <item m="1" x="891"/>
        <item m="1" x="353"/>
        <item m="1" x="862"/>
        <item m="1" x="321"/>
        <item m="1" x="830"/>
        <item m="1" x="290"/>
        <item m="1" x="800"/>
        <item m="1" x="260"/>
        <item m="1" x="931"/>
        <item m="1" x="401"/>
        <item m="1" x="912"/>
        <item m="1" x="377"/>
        <item m="1" x="887"/>
        <item m="1" x="348"/>
        <item m="1" x="855"/>
        <item m="1" x="316"/>
        <item m="1" x="824"/>
        <item m="1" x="284"/>
        <item m="1" x="944"/>
        <item m="1" x="416"/>
        <item m="1" x="929"/>
        <item m="1" x="398"/>
        <item m="1" x="907"/>
        <item m="1" x="372"/>
        <item m="1" x="880"/>
        <item m="1" x="342"/>
        <item m="1" x="849"/>
        <item m="1" x="310"/>
        <item m="1" x="954"/>
        <item m="1" x="428"/>
        <item m="1" x="943"/>
        <item m="1" x="414"/>
        <item m="1" x="925"/>
        <item m="1" x="393"/>
        <item m="1" x="902"/>
        <item m="1" x="367"/>
        <item m="1" x="875"/>
        <item m="1" x="338"/>
        <item m="1" x="962"/>
        <item m="1" x="435"/>
        <item m="1" x="953"/>
        <item m="1" x="425"/>
        <item m="1" x="940"/>
        <item m="1" x="410"/>
        <item m="1" x="921"/>
        <item m="1" x="389"/>
        <item m="1" x="898"/>
        <item m="1" x="363"/>
        <item m="1" x="966"/>
        <item m="1" x="438"/>
        <item m="1" x="961"/>
        <item m="1" x="433"/>
        <item m="1" x="950"/>
        <item m="1" x="421"/>
        <item m="1" x="936"/>
        <item m="1" x="406"/>
        <item m="1" x="246"/>
        <item m="1" x="757"/>
        <item m="1" x="219"/>
        <item m="1" x="726"/>
        <item m="1" x="187"/>
        <item m="1" x="701"/>
        <item m="1" x="170"/>
        <item m="1" x="685"/>
        <item m="1" x="1050"/>
        <item m="1" x="511"/>
        <item m="1" x="1028"/>
        <item m="1" x="486"/>
        <item m="1" x="1000"/>
        <item m="1" x="462"/>
        <item m="1" x="984"/>
        <item m="1" x="447"/>
        <item m="1" x="968"/>
        <item m="1" x="560"/>
        <item m="1" x="786"/>
        <item m="1" x="245"/>
        <item m="1" x="756"/>
        <item m="1" x="218"/>
        <item m="1" x="725"/>
        <item m="1" x="186"/>
        <item m="1" x="700"/>
        <item m="1" x="169"/>
        <item m="1" x="684"/>
        <item m="1" x="298"/>
        <item m="1" x="809"/>
        <item m="1" x="268"/>
        <item m="1" x="778"/>
        <item m="1" x="237"/>
        <item m="1" x="748"/>
        <item m="1" x="209"/>
        <item m="1" x="718"/>
        <item m="1" x="179"/>
        <item m="1" x="694"/>
        <item m="1" x="324"/>
        <item m="1" x="833"/>
        <item m="1" x="293"/>
        <item m="1" x="804"/>
        <item m="1" x="263"/>
        <item m="1" x="773"/>
        <item m="1" x="231"/>
        <item m="1" x="742"/>
        <item m="1" x="202"/>
        <item m="1" x="711"/>
        <item m="1" x="351"/>
        <item m="1" x="859"/>
        <item m="1" x="319"/>
        <item m="1" x="828"/>
        <item m="1" x="287"/>
        <item m="1" x="797"/>
        <item m="1" x="257"/>
        <item m="1" x="767"/>
        <item m="1" x="226"/>
        <item m="1" x="737"/>
        <item m="1" x="375"/>
        <item m="1" x="884"/>
        <item m="1" x="345"/>
        <item m="1" x="852"/>
        <item m="1" x="313"/>
        <item m="1" x="821"/>
        <item m="1" x="282"/>
        <item m="1" x="793"/>
        <item m="1" x="252"/>
        <item m="1" x="762"/>
        <item m="1" x="395"/>
        <item m="1" x="904"/>
        <item m="1" x="369"/>
        <item m="1" x="877"/>
        <item m="1" x="340"/>
        <item m="1" x="847"/>
        <item m="1" x="308"/>
        <item m="1" x="818"/>
        <item m="1" x="278"/>
        <item m="1" x="790"/>
        <item m="1" x="412"/>
        <item m="1" x="923"/>
        <item m="1" x="391"/>
        <item m="1" x="900"/>
        <item m="1" x="365"/>
        <item m="1" x="873"/>
        <item m="1" x="336"/>
        <item m="1" x="844"/>
        <item m="1" x="305"/>
        <item m="1" x="816"/>
        <item m="1" x="423"/>
        <item m="1" x="938"/>
        <item m="1" x="408"/>
        <item m="1" x="919"/>
        <item m="1" x="387"/>
        <item m="1" x="896"/>
        <item m="1" x="361"/>
        <item m="1" x="870"/>
        <item m="1" x="333"/>
        <item m="1" x="842"/>
        <item m="1" x="431"/>
        <item m="1" x="948"/>
        <item m="1" x="419"/>
        <item m="1" x="934"/>
        <item m="1" x="404"/>
        <item m="1" x="916"/>
        <item m="1" x="384"/>
        <item m="1" x="538"/>
        <item m="1" x="1049"/>
        <item m="1" x="510"/>
        <item m="1" x="1027"/>
        <item m="1" x="485"/>
        <item m="1" x="999"/>
        <item m="1" x="461"/>
        <item m="1" x="983"/>
        <item m="1" x="446"/>
        <item m="1" x="1097"/>
        <item m="1" x="559"/>
        <item m="1" x="1073"/>
        <item m="1" x="530"/>
        <item m="1" x="1041"/>
        <item m="1" x="502"/>
        <item m="1" x="1020"/>
        <item m="1" x="478"/>
        <item m="1" x="992"/>
        <item m="1" x="455"/>
        <item m="1" x="1120"/>
        <item m="1" x="581"/>
        <item m="1" x="1091"/>
        <item m="1" x="553"/>
        <item m="1" x="1068"/>
        <item m="1" x="525"/>
        <item m="1" x="1036"/>
        <item m="1" x="496"/>
        <item m="1" x="1014"/>
        <item m="1" x="473"/>
        <item m="1" x="80"/>
        <item m="1" x="598"/>
        <item m="1" x="1116"/>
        <item m="1" x="577"/>
        <item m="1" x="1087"/>
        <item m="1" x="548"/>
        <item m="1" x="275"/>
        <item m="1" x="785"/>
        <item m="1" x="244"/>
        <item m="1" x="755"/>
        <item m="1" x="217"/>
        <item m="1" x="724"/>
        <item m="1" x="185"/>
        <item m="1" x="699"/>
        <item m="1" x="1080"/>
        <item m="1" x="537"/>
        <item m="1" x="1048"/>
        <item m="1" x="509"/>
        <item m="1" x="1026"/>
        <item m="1" x="484"/>
        <item m="1" x="998"/>
        <item m="1" x="460"/>
        <item m="1" x="982"/>
        <item m="1" x="586"/>
        <item m="1" x="1096"/>
        <item m="1" x="540"/>
        <item m="1" x="1053"/>
        <item m="1" x="513"/>
        <item m="1" x="250"/>
        <item m="1" x="761"/>
        <item m="1" x="223"/>
        <item m="1" x="730"/>
        <item m="1" x="191"/>
        <item m="1" x="1055"/>
        <item m="1" x="516"/>
        <item m="1" x="1032"/>
        <item m="1" x="491"/>
        <item m="1" x="1005"/>
        <item m="1" x="467"/>
        <item m="1" x="989"/>
        <item m="1" x="451"/>
        <item m="1" x="970"/>
        <item m="1" x="566"/>
        <item m="1" x="1078"/>
        <item m="1" x="789"/>
        <item m="1" x="249"/>
        <item m="1" x="760"/>
        <item m="1" x="222"/>
        <item m="1" x="729"/>
        <item m="1" x="190"/>
        <item m="1" x="704"/>
        <item m="1" x="174"/>
        <item m="1" x="688"/>
        <item m="1" x="303"/>
        <item m="1" x="814"/>
        <item m="1" x="273"/>
        <item m="1" x="783"/>
        <item m="1" x="242"/>
        <item m="1" x="753"/>
        <item m="1" x="215"/>
        <item m="1" x="722"/>
        <item m="1" x="183"/>
        <item m="1" x="542"/>
        <item m="1" x="1054"/>
        <item m="1" x="515"/>
        <item m="1" x="1031"/>
        <item m="1" x="490"/>
        <item m="1" x="1004"/>
        <item m="1" x="466"/>
        <item m="1" x="988"/>
        <item m="1" x="450"/>
        <item m="1" x="1102"/>
        <item m="1" x="565"/>
        <item m="1" x="1077"/>
        <item m="1" x="535"/>
        <item m="1" x="1046"/>
        <item m="1" x="507"/>
        <item m="1" x="1024"/>
        <item m="1" x="482"/>
        <item m="1" x="996"/>
        <item m="1" x="731"/>
        <item m="1" x="558"/>
        <item m="1" x="168"/>
        <item x="33"/>
        <item x="34"/>
        <item x="35"/>
        <item x="36"/>
        <item m="1" x="945"/>
        <item m="1" x="957"/>
        <item m="1" x="964"/>
        <item m="1" x="860"/>
        <item m="1" x="885"/>
        <item m="1" x="905"/>
        <item m="1" x="620"/>
        <item m="1" x="92"/>
        <item m="1" x="671"/>
        <item m="1" x="141"/>
        <item m="1" x="662"/>
        <item m="1" x="137"/>
        <item m="1" x="654"/>
        <item m="1" x="123"/>
        <item m="1" x="643"/>
        <item m="1" x="1030"/>
        <item m="1" x="488"/>
        <item m="1" x="1003"/>
        <item m="1" x="464"/>
        <item m="1" x="987"/>
        <item m="1" x="448"/>
        <item m="1" x="1100"/>
        <item m="1" x="562"/>
        <item m="1" x="1075"/>
        <item m="1" x="532"/>
        <item m="1" x="1044"/>
        <item m="1" x="504"/>
        <item m="1" x="1023"/>
        <item m="1" x="480"/>
        <item m="1" x="995"/>
        <item m="1" x="457"/>
        <item m="1" x="1122"/>
        <item m="1" x="583"/>
        <item m="1" x="1094"/>
        <item m="1" x="555"/>
        <item m="1" x="1071"/>
        <item m="1" x="527"/>
        <item m="1" x="1039"/>
        <item m="1" x="499"/>
        <item m="1" x="1017"/>
        <item m="1" x="475"/>
        <item m="1" x="83"/>
        <item m="1" x="600"/>
        <item m="1" x="1119"/>
        <item m="1" x="579"/>
        <item m="1" x="1090"/>
        <item m="1" x="551"/>
        <item m="1" x="1067"/>
        <item m="1" x="523"/>
        <item m="1" x="1034"/>
        <item m="1" x="494"/>
        <item m="1" x="100"/>
        <item m="1" x="614"/>
        <item m="1" x="79"/>
        <item m="1" x="596"/>
        <item m="1" x="1115"/>
        <item m="1" x="575"/>
        <item m="1" x="1085"/>
        <item m="1" x="546"/>
        <item m="1" x="1064"/>
        <item m="1" x="520"/>
        <item m="1" x="107"/>
        <item m="1" x="626"/>
        <item m="1" x="97"/>
        <item m="1" x="611"/>
        <item m="1" x="75"/>
        <item m="1" x="592"/>
        <item m="1" x="1112"/>
        <item m="1" x="572"/>
        <item m="1" x="1083"/>
        <item m="1" x="544"/>
        <item m="1" x="121"/>
        <item m="1" x="788"/>
        <item m="1" x="248"/>
        <item m="1" x="759"/>
        <item m="1" x="221"/>
        <item m="1" x="728"/>
        <item m="1" x="189"/>
        <item m="1" x="703"/>
        <item m="1" x="172"/>
        <item m="1" x="687"/>
        <item m="1" x="301"/>
        <item m="1" x="812"/>
        <item m="1" x="271"/>
        <item m="1" x="781"/>
        <item m="1" x="240"/>
        <item m="1" x="751"/>
        <item m="1" x="212"/>
        <item m="1" x="720"/>
        <item m="1" x="182"/>
        <item m="1" x="696"/>
        <item m="1" x="327"/>
        <item m="1" x="836"/>
        <item m="1" x="296"/>
        <item m="1" x="807"/>
        <item m="1" x="266"/>
        <item m="1" x="776"/>
        <item m="1" x="235"/>
        <item m="1" x="745"/>
        <item m="1" x="205"/>
        <item m="1" x="715"/>
        <item m="1" x="354"/>
        <item m="1" x="863"/>
        <item m="1" x="322"/>
        <item m="1" x="831"/>
        <item m="1" x="291"/>
        <item m="1" x="801"/>
        <item m="1" x="261"/>
        <item m="1" x="770"/>
        <item m="1" x="228"/>
        <item m="1" x="740"/>
        <item m="1" x="378"/>
        <item m="1" x="888"/>
        <item m="1" x="349"/>
        <item m="1" x="856"/>
        <item m="1" x="317"/>
        <item m="1" x="825"/>
        <item m="1" x="285"/>
        <item m="1" x="795"/>
        <item m="1" x="254"/>
        <item m="1" x="765"/>
        <item m="1" x="399"/>
        <item m="1" x="908"/>
        <item m="1" x="373"/>
        <item m="1" x="881"/>
        <item m="1" x="343"/>
        <item m="1" x="850"/>
        <item m="1" x="311"/>
        <item m="1" x="820"/>
        <item m="1" x="280"/>
        <item m="1" x="792"/>
        <item m="1" x="415"/>
        <item m="1" x="926"/>
        <item m="1" x="394"/>
        <item m="1" x="903"/>
        <item m="1" x="368"/>
        <item m="1" x="876"/>
        <item m="1" x="339"/>
        <item m="1" x="846"/>
        <item m="1" x="307"/>
        <item m="1" x="817"/>
        <item m="1" x="426"/>
        <item m="1" x="941"/>
        <item m="1" x="411"/>
        <item m="1" x="922"/>
        <item m="1" x="390"/>
        <item m="1" x="899"/>
        <item m="1" x="364"/>
        <item m="1" x="872"/>
        <item m="1" x="335"/>
        <item m="1" x="843"/>
        <item m="1" x="434"/>
        <item m="1" x="951"/>
        <item m="1" x="422"/>
        <item m="1" x="937"/>
        <item m="1" x="407"/>
        <item m="1" x="918"/>
        <item m="1" x="386"/>
        <item m="1" x="895"/>
        <item m="1" x="360"/>
        <item m="1" x="869"/>
        <item m="1" x="437"/>
        <item m="1" x="959"/>
        <item m="1" x="430"/>
        <item m="1" x="947"/>
        <item m="1" x="418"/>
        <item m="1" x="933"/>
        <item m="1" x="403"/>
        <item m="1" x="915"/>
        <item m="1" x="383"/>
        <item m="1" x="893"/>
        <item m="1" x="331"/>
        <item m="1" x="841"/>
        <item m="1" x="302"/>
        <item m="1" x="813"/>
        <item m="1" x="272"/>
        <item m="1" x="782"/>
        <item m="1" x="241"/>
        <item m="1" x="752"/>
        <item m="1" x="213"/>
        <item m="1" x="721"/>
        <item m="1" x="357"/>
        <item m="1" x="867"/>
        <item m="1" x="328"/>
        <item m="1" x="837"/>
        <item x="71"/>
        <item m="1" x="713"/>
        <item m="1" x="738"/>
        <item m="1" x="763"/>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compact="0" showAll="0" defaultSubtotal="0">
      <items count="1505">
        <item m="1" x="589"/>
        <item m="1" x="728"/>
        <item m="1" x="1036"/>
        <item m="1" x="628"/>
        <item m="1" x="340"/>
        <item m="1" x="978"/>
        <item m="1" x="701"/>
        <item m="1" x="236"/>
        <item m="1" x="876"/>
        <item m="1" x="1070"/>
        <item m="1" x="706"/>
        <item m="1" x="1364"/>
        <item m="1" x="824"/>
        <item m="1" x="330"/>
        <item m="1" x="609"/>
        <item m="1" x="405"/>
        <item m="1" x="473"/>
        <item m="1" x="272"/>
        <item m="1" x="240"/>
        <item m="1" x="1381"/>
        <item m="1" x="353"/>
        <item m="1" x="137"/>
        <item m="1" x="1190"/>
        <item m="1" x="526"/>
        <item m="1" x="1422"/>
        <item m="1" x="830"/>
        <item m="1" x="339"/>
        <item m="1" x="1118"/>
        <item m="1" x="723"/>
        <item m="1" x="118"/>
        <item m="1" x="119"/>
        <item m="1" x="574"/>
        <item m="1" x="283"/>
        <item m="1" x="284"/>
        <item m="1" x="1001"/>
        <item m="1" x="1372"/>
        <item m="1" x="1135"/>
        <item m="1" x="310"/>
        <item m="1" x="1220"/>
        <item m="1" x="975"/>
        <item m="1" x="264"/>
        <item m="1" x="1309"/>
        <item m="1" x="458"/>
        <item m="1" x="779"/>
        <item m="1" x="201"/>
        <item m="1" x="827"/>
        <item m="1" x="1086"/>
        <item m="1" x="408"/>
        <item m="1" x="590"/>
        <item m="1" x="1425"/>
        <item m="1" x="492"/>
        <item m="1" x="1203"/>
        <item m="1" x="600"/>
        <item x="11"/>
        <item m="1" x="345"/>
        <item m="1" x="983"/>
        <item m="1" x="358"/>
        <item m="1" x="258"/>
        <item m="1" x="1023"/>
        <item m="1" x="675"/>
        <item m="1" x="144"/>
        <item m="1" x="267"/>
        <item m="1" x="1213"/>
        <item m="1" x="569"/>
        <item m="1" x="1030"/>
        <item m="1" x="289"/>
        <item m="1" x="286"/>
        <item m="1" x="1028"/>
        <item m="1" x="1006"/>
        <item m="1" x="529"/>
        <item m="1" x="452"/>
        <item m="1" x="523"/>
        <item m="1" x="278"/>
        <item m="1" x="1265"/>
        <item m="1" x="460"/>
        <item m="1" x="302"/>
        <item m="1" x="1106"/>
        <item m="1" x="1002"/>
        <item m="1" x="1087"/>
        <item m="1" x="775"/>
        <item m="1" x="359"/>
        <item m="1" x="627"/>
        <item m="1" x="652"/>
        <item m="1" x="309"/>
        <item m="1" x="869"/>
        <item m="1" x="587"/>
        <item m="1" x="1119"/>
        <item m="1" x="341"/>
        <item m="1" x="762"/>
        <item m="1" x="1178"/>
        <item m="1" x="805"/>
        <item m="1" x="710"/>
        <item m="1" x="711"/>
        <item m="1" x="1095"/>
        <item m="1" x="111"/>
        <item m="1" x="546"/>
        <item m="1" x="1377"/>
        <item m="1" x="1481"/>
        <item m="1" x="518"/>
        <item m="1" x="203"/>
        <item m="1" x="924"/>
        <item m="1" x="544"/>
        <item m="1" x="734"/>
        <item m="1" x="1091"/>
        <item m="1" x="519"/>
        <item m="1" x="727"/>
        <item m="1" x="691"/>
        <item m="1" x="905"/>
        <item m="1" x="767"/>
        <item m="1" x="204"/>
        <item m="1" x="472"/>
        <item m="1" x="1321"/>
        <item m="1" x="224"/>
        <item m="1" x="679"/>
        <item m="1" x="1153"/>
        <item m="1" x="206"/>
        <item m="1" x="621"/>
        <item m="1" x="1192"/>
        <item m="1" x="485"/>
        <item m="1" x="619"/>
        <item m="1" x="200"/>
        <item m="1" x="610"/>
        <item m="1" x="952"/>
        <item m="1" x="1441"/>
        <item m="1" x="1262"/>
        <item m="1" x="1201"/>
        <item m="1" x="1051"/>
        <item m="1" x="1328"/>
        <item m="1" x="1189"/>
        <item m="1" x="499"/>
        <item m="1" x="490"/>
        <item m="1" x="336"/>
        <item m="1" x="813"/>
        <item m="1" x="1311"/>
        <item m="1" x="645"/>
        <item m="1" x="1229"/>
        <item m="1" x="211"/>
        <item m="1" x="296"/>
        <item m="1" x="1249"/>
        <item m="1" x="623"/>
        <item m="1" x="1259"/>
        <item m="1" x="1396"/>
        <item m="1" x="588"/>
        <item m="1" x="383"/>
        <item m="1" x="1149"/>
        <item m="1" x="394"/>
        <item m="1" x="425"/>
        <item m="1" x="640"/>
        <item m="1" x="314"/>
        <item m="1" x="1410"/>
        <item m="1" x="271"/>
        <item m="1" x="498"/>
        <item m="1" x="885"/>
        <item m="1" x="385"/>
        <item m="1" x="1038"/>
        <item m="1" x="178"/>
        <item m="1" x="346"/>
        <item m="1" x="776"/>
        <item m="1" x="146"/>
        <item m="1" x="934"/>
        <item m="1" x="194"/>
        <item m="1" x="395"/>
        <item m="1" x="707"/>
        <item m="1" x="1409"/>
        <item m="1" x="708"/>
        <item m="1" x="1263"/>
        <item m="1" x="823"/>
        <item x="47"/>
        <item m="1" x="973"/>
        <item m="1" x="950"/>
        <item m="1" x="936"/>
        <item m="1" x="288"/>
        <item m="1" x="401"/>
        <item m="1" x="1353"/>
        <item m="1" x="285"/>
        <item m="1" x="455"/>
        <item m="1" x="1145"/>
        <item m="1" x="954"/>
        <item m="1" x="542"/>
        <item m="1" x="115"/>
        <item m="1" x="252"/>
        <item m="1" x="131"/>
        <item m="1" x="213"/>
        <item m="1" x="570"/>
        <item m="1" x="229"/>
        <item m="1" x="270"/>
        <item m="1" x="300"/>
        <item m="1" x="979"/>
        <item m="1" x="1142"/>
        <item m="1" x="1179"/>
        <item m="1" x="1335"/>
        <item m="1" x="120"/>
        <item m="1" x="1180"/>
        <item m="1" x="1336"/>
        <item m="1" x="121"/>
        <item m="1" x="325"/>
        <item m="1" x="470"/>
        <item m="1" x="1147"/>
        <item m="1" x="1341"/>
        <item m="1" x="1446"/>
        <item x="3"/>
        <item m="1" x="1362"/>
        <item m="1" x="608"/>
        <item m="1" x="981"/>
        <item m="1" x="1040"/>
        <item m="1" x="1317"/>
        <item m="1" x="1099"/>
        <item m="1" x="481"/>
        <item m="1" x="837"/>
        <item m="1" x="736"/>
        <item m="1" x="475"/>
        <item m="1" x="469"/>
        <item m="1" x="1027"/>
        <item m="1" x="760"/>
        <item m="1" x="230"/>
        <item m="1" x="995"/>
        <item m="1" x="1208"/>
        <item m="1" x="503"/>
        <item m="1" x="388"/>
        <item m="1" x="953"/>
        <item m="1" x="962"/>
        <item m="1" x="686"/>
        <item m="1" x="1283"/>
        <item m="1" x="1108"/>
        <item m="1" x="1264"/>
        <item m="1" x="1133"/>
        <item m="1" x="1032"/>
        <item m="1" x="769"/>
        <item m="1" x="1450"/>
        <item m="1" x="702"/>
        <item m="1" x="217"/>
        <item m="1" x="371"/>
        <item x="10"/>
        <item m="1" x="1495"/>
        <item m="1" x="362"/>
        <item m="1" x="172"/>
        <item m="1" x="515"/>
        <item m="1" x="1488"/>
        <item m="1" x="500"/>
        <item m="1" x="1401"/>
        <item m="1" x="157"/>
        <item m="1" x="568"/>
        <item m="1" x="581"/>
        <item m="1" x="630"/>
        <item m="1" x="368"/>
        <item m="1" x="1400"/>
        <item m="1" x="1390"/>
        <item m="1" x="1089"/>
        <item m="1" x="576"/>
        <item m="1" x="372"/>
        <item m="1" x="752"/>
        <item m="1" x="255"/>
        <item m="1" x="836"/>
        <item m="1" x="853"/>
        <item m="1" x="1301"/>
        <item m="1" x="317"/>
        <item m="1" x="462"/>
        <item m="1" x="257"/>
        <item m="1" x="210"/>
        <item m="1" x="1069"/>
        <item m="1" x="1501"/>
        <item m="1" x="265"/>
        <item m="1" x="1222"/>
        <item m="1" x="774"/>
        <item m="1" x="479"/>
        <item m="1" x="968"/>
        <item m="1" x="858"/>
        <item m="1" x="1462"/>
        <item m="1" x="189"/>
        <item m="1" x="366"/>
        <item m="1" x="397"/>
        <item m="1" x="1167"/>
        <item m="1" x="646"/>
        <item m="1" x="866"/>
        <item m="1" x="955"/>
        <item m="1" x="1157"/>
        <item m="1" x="899"/>
        <item m="1" x="1434"/>
        <item m="1" x="369"/>
        <item m="1" x="450"/>
        <item x="30"/>
        <item m="1" x="844"/>
        <item m="1" x="1352"/>
        <item m="1" x="1015"/>
        <item m="1" x="994"/>
        <item m="1" x="489"/>
        <item m="1" x="871"/>
        <item m="1" x="248"/>
        <item m="1" x="976"/>
        <item m="1" x="578"/>
        <item m="1" x="328"/>
        <item m="1" x="681"/>
        <item m="1" x="167"/>
        <item m="1" x="712"/>
        <item m="1" x="605"/>
        <item m="1" x="1168"/>
        <item m="1" x="1219"/>
        <item m="1" x="1376"/>
        <item m="1" x="537"/>
        <item m="1" x="988"/>
        <item m="1" x="234"/>
        <item m="1" x="944"/>
        <item m="1" x="703"/>
        <item m="1" x="631"/>
        <item m="1" x="453"/>
        <item m="1" x="1034"/>
        <item m="1" x="841"/>
        <item m="1" x="1115"/>
        <item m="1" x="316"/>
        <item m="1" x="847"/>
        <item m="1" x="848"/>
        <item m="1" x="946"/>
        <item m="1" x="1419"/>
        <item m="1" x="1114"/>
        <item m="1" x="329"/>
        <item m="1" x="969"/>
        <item m="1" x="1185"/>
        <item m="1" x="129"/>
        <item m="1" x="1417"/>
        <item m="1" x="1256"/>
        <item m="1" x="1412"/>
        <item m="1" x="1093"/>
        <item m="1" x="1363"/>
        <item m="1" x="1475"/>
        <item m="1" x="1329"/>
        <item m="1" x="1338"/>
        <item m="1" x="766"/>
        <item m="1" x="951"/>
        <item m="1" x="777"/>
        <item m="1" x="1166"/>
        <item m="1" x="729"/>
        <item m="1" x="1281"/>
        <item m="1" x="436"/>
        <item m="1" x="602"/>
        <item m="1" x="1429"/>
        <item m="1" x="972"/>
        <item m="1" x="342"/>
        <item m="1" x="116"/>
        <item m="1" x="781"/>
        <item m="1" x="622"/>
        <item m="1" x="182"/>
        <item m="1" x="806"/>
        <item m="1" x="911"/>
        <item m="1" x="1170"/>
        <item x="32"/>
        <item m="1" x="357"/>
        <item m="1" x="1138"/>
        <item m="1" x="1005"/>
        <item m="1" x="1020"/>
        <item m="1" x="352"/>
        <item m="1" x="671"/>
        <item m="1" x="678"/>
        <item m="1" x="838"/>
        <item m="1" x="803"/>
        <item m="1" x="804"/>
        <item m="1" x="322"/>
        <item m="1" x="262"/>
        <item m="1" x="320"/>
        <item m="1" x="337"/>
        <item m="1" x="763"/>
        <item m="1" x="764"/>
        <item m="1" x="1483"/>
        <item m="1" x="1484"/>
        <item m="1" x="1128"/>
        <item m="1" x="722"/>
        <item m="1" x="457"/>
        <item m="1" x="1100"/>
        <item m="1" x="495"/>
        <item m="1" x="1227"/>
        <item m="1" x="491"/>
        <item m="1" x="1415"/>
        <item m="1" x="402"/>
        <item m="1" x="382"/>
        <item m="1" x="249"/>
        <item m="1" x="802"/>
        <item m="1" x="373"/>
        <item m="1" x="1375"/>
        <item m="1" x="1391"/>
        <item m="1" x="654"/>
        <item m="1" x="528"/>
        <item m="1" x="606"/>
        <item m="1" x="1485"/>
        <item m="1" x="128"/>
        <item m="1" x="1257"/>
        <item m="1" x="109"/>
        <item m="1" x="694"/>
        <item m="1" x="584"/>
        <item m="1" x="193"/>
        <item m="1" x="575"/>
        <item m="1" x="696"/>
        <item m="1" x="160"/>
        <item m="1" x="1411"/>
        <item m="1" x="787"/>
        <item m="1" x="601"/>
        <item m="1" x="1277"/>
        <item m="1" x="922"/>
        <item m="1" x="1072"/>
        <item m="1" x="1241"/>
        <item m="1" x="202"/>
        <item m="1" x="1337"/>
        <item m="1" x="501"/>
        <item m="1" x="620"/>
        <item m="1" x="870"/>
        <item m="1" x="1325"/>
        <item m="1" x="242"/>
        <item m="1" x="260"/>
        <item m="1" x="1431"/>
        <item m="1" x="961"/>
        <item m="1" x="888"/>
        <item m="1" x="742"/>
        <item m="1" x="207"/>
        <item m="1" x="1198"/>
        <item m="1" x="788"/>
        <item m="1" x="558"/>
        <item m="1" x="674"/>
        <item m="1" x="1420"/>
        <item m="1" x="980"/>
        <item m="1" x="232"/>
        <item m="1" x="507"/>
        <item m="1" x="104"/>
        <item m="1" x="333"/>
        <item m="1" x="171"/>
        <item m="1" x="292"/>
        <item m="1" x="1439"/>
        <item m="1" x="199"/>
        <item m="1" x="790"/>
        <item m="1" x="1346"/>
        <item m="1" x="1065"/>
        <item m="1" x="514"/>
        <item m="1" x="822"/>
        <item m="1" x="1244"/>
        <item m="1" x="1137"/>
        <item m="1" x="348"/>
        <item m="1" x="536"/>
        <item m="1" x="1156"/>
        <item m="1" x="755"/>
        <item m="1" x="798"/>
        <item m="1" x="845"/>
        <item m="1" x="1300"/>
        <item m="1" x="512"/>
        <item m="1" x="1399"/>
        <item m="1" x="356"/>
        <item m="1" x="280"/>
        <item m="1" x="313"/>
        <item m="1" x="463"/>
        <item m="1" x="1295"/>
        <item m="1" x="945"/>
        <item m="1" x="295"/>
        <item m="1" x="438"/>
        <item m="1" x="386"/>
        <item m="1" x="276"/>
        <item m="1" x="1048"/>
        <item m="1" x="277"/>
        <item m="1" x="1046"/>
        <item m="1" x="103"/>
        <item m="1" x="650"/>
        <item m="1" x="451"/>
        <item m="1" x="1011"/>
        <item m="1" x="251"/>
        <item m="1" x="161"/>
        <item m="1" x="1255"/>
        <item m="1" x="807"/>
        <item m="1" x="461"/>
        <item m="1" x="1405"/>
        <item m="1" x="403"/>
        <item m="1" x="919"/>
        <item m="1" x="571"/>
        <item m="1" x="1084"/>
        <item m="1" x="1082"/>
        <item m="1" x="1394"/>
        <item m="1" x="965"/>
        <item m="1" x="1215"/>
        <item m="1" x="446"/>
        <item m="1" x="233"/>
        <item m="1" x="753"/>
        <item m="1" x="987"/>
        <item m="1" x="1022"/>
        <item m="1" x="1164"/>
        <item m="1" x="541"/>
        <item m="1" x="1500"/>
        <item m="1" x="165"/>
        <item m="1" x="231"/>
        <item m="1" x="1144"/>
        <item m="1" x="412"/>
        <item m="1" x="817"/>
        <item m="1" x="586"/>
        <item m="1" x="1207"/>
        <item m="1" x="604"/>
        <item m="1" x="1502"/>
        <item m="1" x="1306"/>
        <item m="1" x="1085"/>
        <item m="1" x="1214"/>
        <item m="1" x="1242"/>
        <item m="1" x="1282"/>
        <item m="1" x="1303"/>
        <item m="1" x="293"/>
        <item m="1" x="294"/>
        <item m="1" x="1136"/>
        <item m="1" x="1103"/>
        <item m="1" x="854"/>
        <item m="1" x="530"/>
        <item m="1" x="471"/>
        <item m="1" x="493"/>
        <item m="1" x="105"/>
        <item m="1" x="531"/>
        <item m="1" x="406"/>
        <item m="1" x="1297"/>
        <item m="1" x="1188"/>
        <item m="1" x="563"/>
        <item m="1" x="441"/>
        <item m="1" x="1226"/>
        <item m="1" x="1331"/>
        <item m="1" x="347"/>
        <item m="1" x="572"/>
        <item m="1" x="1092"/>
        <item m="1" x="577"/>
        <item m="1" x="993"/>
        <item m="1" x="535"/>
        <item m="1" x="389"/>
        <item m="1" x="1113"/>
        <item m="1" x="559"/>
        <item m="1" x="1271"/>
        <item m="1" x="1270"/>
        <item m="1" x="410"/>
        <item m="1" x="908"/>
        <item m="1" x="662"/>
        <item m="1" x="1210"/>
        <item m="1" x="1356"/>
        <item m="1" x="134"/>
        <item m="1" x="275"/>
        <item m="1" x="984"/>
        <item m="1" x="521"/>
        <item m="1" x="520"/>
        <item m="1" x="1447"/>
        <item m="1" x="1448"/>
        <item m="1" x="1129"/>
        <item m="1" x="1342"/>
        <item m="1" x="868"/>
        <item m="1" x="967"/>
        <item m="1" x="174"/>
        <item m="1" x="184"/>
        <item m="1" x="474"/>
        <item m="1" x="1223"/>
        <item m="1" x="127"/>
        <item m="1" x="1224"/>
        <item m="1" x="758"/>
        <item m="1" x="1314"/>
        <item m="1" x="365"/>
        <item m="1" x="225"/>
        <item m="1" x="1397"/>
        <item m="1" x="1090"/>
        <item m="1" x="477"/>
        <item m="1" x="948"/>
        <item m="1" x="741"/>
        <item m="1" x="704"/>
        <item m="1" x="852"/>
        <item m="1" x="1308"/>
        <item m="1" x="1280"/>
        <item m="1" x="898"/>
        <item m="1" x="179"/>
        <item m="1" x="417"/>
        <item m="1" x="947"/>
        <item m="1" x="349"/>
        <item m="1" x="772"/>
        <item m="1" x="1236"/>
        <item m="1" x="253"/>
        <item m="1" x="192"/>
        <item m="1" x="1302"/>
        <item m="1" x="638"/>
        <item m="1" x="909"/>
        <item m="1" x="447"/>
        <item m="1" x="635"/>
        <item m="1" x="716"/>
        <item m="1" x="423"/>
        <item m="1" x="561"/>
        <item m="1" x="404"/>
        <item m="1" x="685"/>
        <item m="1" x="1047"/>
        <item m="1" x="1003"/>
        <item m="1" x="1493"/>
        <item m="1" x="689"/>
        <item m="1" x="261"/>
        <item m="1" x="756"/>
        <item m="1" x="1284"/>
        <item m="1" x="956"/>
        <item m="1" x="773"/>
        <item m="1" x="169"/>
        <item m="1" x="796"/>
        <item m="1" x="486"/>
        <item m="1" x="476"/>
        <item m="1" x="724"/>
        <item m="1" x="170"/>
        <item m="1" x="239"/>
        <item m="1" x="1389"/>
        <item m="1" x="1435"/>
        <item m="1" x="1035"/>
        <item m="1" x="1385"/>
        <item m="1" x="719"/>
        <item m="1" x="1140"/>
        <item m="1" x="117"/>
        <item m="1" x="1479"/>
        <item m="1" x="778"/>
        <item m="1" x="720"/>
        <item m="1" x="1120"/>
        <item m="1" x="903"/>
        <item m="1" x="344"/>
        <item m="1" x="637"/>
        <item m="1" x="1132"/>
        <item m="1" x="585"/>
        <item m="1" x="698"/>
        <item m="1" x="877"/>
        <item m="1" x="195"/>
        <item m="1" x="918"/>
        <item m="1" x="687"/>
        <item m="1" x="1260"/>
        <item m="1" x="1503"/>
        <item m="1" x="1031"/>
        <item m="1" x="828"/>
        <item m="1" x="1305"/>
        <item m="1" x="1202"/>
        <item m="1" x="173"/>
        <item m="1" x="737"/>
        <item m="1" x="656"/>
        <item m="1" x="533"/>
        <item m="1" x="989"/>
        <item m="1" x="839"/>
        <item m="1" x="1161"/>
        <item m="1" x="449"/>
        <item m="1" x="307"/>
        <item m="1" x="219"/>
        <item m="1" x="607"/>
        <item m="1" x="431"/>
        <item m="1" x="163"/>
        <item m="1" x="1045"/>
        <item m="1" x="456"/>
        <item m="1" x="851"/>
        <item m="1" x="649"/>
        <item m="1" x="483"/>
        <item m="1" x="982"/>
        <item m="1" x="1101"/>
        <item m="1" x="1018"/>
        <item m="1" x="1245"/>
        <item x="15"/>
        <item m="1" x="363"/>
        <item m="1" x="1239"/>
        <item m="1" x="846"/>
        <item m="1" x="1322"/>
        <item m="1" x="303"/>
        <item m="1" x="913"/>
        <item m="1" x="1110"/>
        <item m="1" x="1347"/>
        <item m="1" x="1251"/>
        <item m="1" x="381"/>
        <item m="1" x="991"/>
        <item m="1" x="1126"/>
        <item m="1" x="560"/>
        <item m="1" x="376"/>
        <item m="1" x="651"/>
        <item m="1" x="237"/>
        <item m="1" x="1152"/>
        <item m="1" x="926"/>
        <item m="1" x="222"/>
        <item m="1" x="1134"/>
        <item m="1" x="1163"/>
        <item m="1" x="135"/>
        <item m="1" x="335"/>
        <item m="1" x="709"/>
        <item m="1" x="188"/>
        <item m="1" x="439"/>
        <item m="1" x="1014"/>
        <item m="1" x="326"/>
        <item m="1" x="1258"/>
        <item m="1" x="818"/>
        <item m="1" x="676"/>
        <item m="1" x="971"/>
        <item m="1" x="668"/>
        <item m="1" x="690"/>
        <item m="1" x="664"/>
        <item m="1" x="901"/>
        <item m="1" x="565"/>
        <item m="1" x="287"/>
        <item m="1" x="1275"/>
        <item m="1" x="164"/>
        <item m="1" x="1171"/>
        <item m="1" x="393"/>
        <item m="1" x="865"/>
        <item m="1" x="1473"/>
        <item m="1" x="180"/>
        <item m="1" x="624"/>
        <item m="1" x="123"/>
        <item m="1" x="882"/>
        <item m="1" x="1111"/>
        <item m="1" x="1482"/>
        <item m="1" x="497"/>
        <item m="1" x="422"/>
        <item m="1" x="797"/>
        <item m="1" x="430"/>
        <item m="1" x="1102"/>
        <item m="1" x="1466"/>
        <item m="1" x="319"/>
        <item m="1" x="784"/>
        <item m="1" x="482"/>
        <item m="1" x="1139"/>
        <item m="1" x="250"/>
        <item m="1" x="639"/>
        <item m="1" x="1248"/>
        <item m="1" x="1486"/>
        <item m="1" x="168"/>
        <item m="1" x="831"/>
        <item m="1" x="594"/>
        <item m="1" x="970"/>
        <item m="1" x="1024"/>
        <item m="1" x="1162"/>
        <item m="1" x="930"/>
        <item m="1" x="133"/>
        <item m="1" x="516"/>
        <item m="1" x="384"/>
        <item m="1" x="768"/>
        <item m="1" x="361"/>
        <item m="1" x="1357"/>
        <item m="1" x="1037"/>
        <item m="1" x="1253"/>
        <item m="1" x="440"/>
        <item m="1" x="1494"/>
        <item m="1" x="912"/>
        <item m="1" x="435"/>
        <item m="1" x="1477"/>
        <item m="1" x="1476"/>
        <item m="1" x="185"/>
        <item m="1" x="312"/>
        <item m="1" x="355"/>
        <item m="1" x="1489"/>
        <item m="1" x="591"/>
        <item m="1" x="860"/>
        <item m="1" x="592"/>
        <item m="1" x="739"/>
        <item m="1" x="1359"/>
        <item m="1" x="332"/>
        <item m="1" x="959"/>
        <item m="1" x="175"/>
        <item m="1" x="1272"/>
        <item m="1" x="943"/>
        <item m="1" x="740"/>
        <item m="1" x="459"/>
        <item m="1" x="923"/>
        <item m="1" x="502"/>
        <item m="1" x="198"/>
        <item m="1" x="1141"/>
        <item m="1" x="887"/>
        <item m="1" x="1383"/>
        <item m="1" x="1250"/>
        <item m="1" x="517"/>
        <item m="1" x="415"/>
        <item m="1" x="196"/>
        <item m="1" x="974"/>
        <item m="1" x="122"/>
        <item m="1" x="1299"/>
        <item m="1" x="496"/>
        <item m="1" x="433"/>
        <item m="1" x="872"/>
        <item m="1" x="238"/>
        <item m="1" x="1408"/>
        <item m="1" x="205"/>
        <item m="1" x="857"/>
        <item m="1" x="789"/>
        <item m="1" x="1148"/>
        <item m="1" x="580"/>
        <item m="1" x="1197"/>
        <item m="1" x="113"/>
        <item m="1" x="1423"/>
        <item m="1" x="717"/>
        <item m="1" x="176"/>
        <item m="1" x="142"/>
        <item m="1" x="1487"/>
        <item m="1" x="1169"/>
        <item m="1" x="1266"/>
        <item m="1" x="427"/>
        <item m="1" x="538"/>
        <item m="1" x="1320"/>
        <item m="1" x="291"/>
        <item m="1" x="667"/>
        <item m="1" x="282"/>
        <item m="1" x="765"/>
        <item m="1" x="878"/>
        <item m="1" x="1288"/>
        <item m="1" x="1298"/>
        <item m="1" x="1313"/>
        <item m="1" x="904"/>
        <item m="1" x="886"/>
        <item m="1" x="360"/>
        <item m="1" x="527"/>
        <item m="1" x="1155"/>
        <item m="1" x="110"/>
        <item m="1" x="1285"/>
        <item m="1" x="648"/>
        <item m="1" x="241"/>
        <item m="1" x="791"/>
        <item m="1" x="759"/>
        <item m="1" x="1218"/>
        <item m="1" x="399"/>
        <item m="1" x="929"/>
        <item m="1" x="1294"/>
        <item m="1" x="733"/>
        <item m="1" x="549"/>
        <item m="1" x="454"/>
        <item m="1" x="855"/>
        <item m="1" x="1360"/>
        <item m="1" x="567"/>
        <item m="1" x="304"/>
        <item m="1" x="731"/>
        <item m="1" x="725"/>
        <item m="1" x="1430"/>
        <item m="1" x="1414"/>
        <item m="1" x="1465"/>
        <item m="1" x="1480"/>
        <item m="1" x="364"/>
        <item m="1" x="387"/>
        <item m="1" x="751"/>
        <item m="1" x="540"/>
        <item m="1" x="1361"/>
        <item m="1" x="298"/>
        <item m="1" x="467"/>
        <item m="1" x="1088"/>
        <item m="1" x="566"/>
        <item m="1" x="738"/>
        <item m="1" x="815"/>
        <item m="1" x="599"/>
        <item m="1" x="880"/>
        <item m="1" x="879"/>
        <item m="1" x="323"/>
        <item m="1" x="1316"/>
        <item m="1" x="138"/>
        <item m="1" x="226"/>
        <item m="1" x="927"/>
        <item m="1" x="801"/>
        <item m="1" x="782"/>
        <item m="1" x="245"/>
        <item m="1" x="1200"/>
        <item m="1" x="1469"/>
        <item m="1" x="243"/>
        <item m="1" x="1041"/>
        <item m="1" x="1471"/>
        <item m="1" x="859"/>
        <item m="1" x="1073"/>
        <item m="1" x="1472"/>
        <item m="1" x="1387"/>
        <item m="1" x="963"/>
        <item m="1" x="1217"/>
        <item m="1" x="468"/>
        <item m="1" x="1378"/>
        <item m="1" x="1009"/>
        <item m="1" x="1112"/>
        <item m="1" x="1228"/>
        <item m="1" x="1384"/>
        <item m="1" x="414"/>
        <item m="1" x="256"/>
        <item m="1" x="1221"/>
        <item m="1" x="1438"/>
        <item m="1" x="1187"/>
        <item m="1" x="1199"/>
        <item x="55"/>
        <item m="1" x="1382"/>
        <item m="1" x="214"/>
        <item m="1" x="949"/>
        <item m="1" x="1491"/>
        <item m="1" x="1158"/>
        <item m="1" x="416"/>
        <item m="1" x="820"/>
        <item m="1" x="484"/>
        <item m="1" x="921"/>
        <item m="1" x="159"/>
        <item m="1" x="351"/>
        <item m="1" x="442"/>
        <item m="1" x="443"/>
        <item m="1" x="444"/>
        <item m="1" x="274"/>
        <item m="1" x="273"/>
        <item m="1" x="379"/>
        <item m="1" x="643"/>
        <item m="1" x="1044"/>
        <item m="1" x="315"/>
        <item m="1" x="1492"/>
        <item m="1" x="254"/>
        <item m="1" x="508"/>
        <item m="1" x="190"/>
        <item m="1" x="140"/>
        <item m="1" x="1279"/>
        <item m="1" x="1104"/>
        <item m="1" x="532"/>
        <item m="1" x="246"/>
        <item m="1" x="1296"/>
        <item m="1" x="420"/>
        <item m="1" x="1343"/>
        <item m="1" x="155"/>
        <item m="1" x="413"/>
        <item m="1" x="1026"/>
        <item m="1" x="786"/>
        <item m="1" x="1323"/>
        <item m="1" x="1000"/>
        <item m="1" x="761"/>
        <item m="1" x="1379"/>
        <item m="1" x="705"/>
        <item m="1" x="1274"/>
        <item m="1" x="1427"/>
        <item m="1" x="197"/>
        <item m="1" x="1461"/>
        <item m="1" x="653"/>
        <item m="1" x="856"/>
        <item m="1" x="398"/>
        <item m="1" x="1267"/>
        <item m="1" x="126"/>
        <item m="1" x="1373"/>
        <item m="1" x="695"/>
        <item m="1" x="1172"/>
        <item m="1" x="1173"/>
        <item m="1" x="1174"/>
        <item m="1" x="1175"/>
        <item m="1" x="1176"/>
        <item m="1" x="1177"/>
        <item m="1" x="1463"/>
        <item m="1" x="1464"/>
        <item m="1" x="1230"/>
        <item m="1" x="1231"/>
        <item m="1" x="1232"/>
        <item m="1" x="1233"/>
        <item m="1" x="1234"/>
        <item m="1" x="1235"/>
        <item m="1" x="670"/>
        <item m="1" x="562"/>
        <item m="1" x="1122"/>
        <item m="1" x="799"/>
        <item m="1" x="1497"/>
        <item m="1" x="1498"/>
        <item m="1" x="1496"/>
        <item m="1" x="1499"/>
        <item m="1" x="1097"/>
        <item m="1" x="1098"/>
        <item m="1" x="1395"/>
        <item m="1" x="488"/>
        <item m="1" x="726"/>
        <item m="1" x="1348"/>
        <item m="1" x="832"/>
        <item m="1" x="1123"/>
        <item m="1" x="829"/>
        <item m="1" x="411"/>
        <item m="1" x="693"/>
        <item m="1" x="1269"/>
        <item m="1" x="1182"/>
        <item m="1" x="108"/>
        <item m="1" x="1358"/>
        <item m="1" x="297"/>
        <item m="1" x="977"/>
        <item m="1" x="1053"/>
        <item m="1" x="1054"/>
        <item m="1" x="1055"/>
        <item m="1" x="1056"/>
        <item m="1" x="1057"/>
        <item m="1" x="1058"/>
        <item m="1" x="1059"/>
        <item m="1" x="1060"/>
        <item m="1" x="1061"/>
        <item m="1" x="1062"/>
        <item m="1" x="1063"/>
        <item m="1" x="1064"/>
        <item m="1" x="147"/>
        <item m="1" x="148"/>
        <item m="1" x="149"/>
        <item m="1" x="150"/>
        <item m="1" x="151"/>
        <item m="1" x="152"/>
        <item m="1" x="153"/>
        <item m="1" x="154"/>
        <item m="1" x="611"/>
        <item m="1" x="612"/>
        <item m="1" x="613"/>
        <item m="1" x="614"/>
        <item m="1" x="615"/>
        <item m="1" x="616"/>
        <item m="1" x="617"/>
        <item m="1" x="618"/>
        <item m="1" x="890"/>
        <item m="1" x="891"/>
        <item m="1" x="892"/>
        <item m="1" x="893"/>
        <item m="1" x="894"/>
        <item m="1" x="895"/>
        <item m="1" x="896"/>
        <item m="1" x="897"/>
        <item m="1" x="1350"/>
        <item m="1" x="1351"/>
        <item m="1" x="937"/>
        <item m="1" x="938"/>
        <item m="1" x="939"/>
        <item m="1" x="940"/>
        <item m="1" x="941"/>
        <item m="1" x="942"/>
        <item m="1" x="1365"/>
        <item m="1" x="1366"/>
        <item m="1" x="1367"/>
        <item m="1" x="1368"/>
        <item m="1" x="1369"/>
        <item m="1" x="1370"/>
        <item m="1" x="743"/>
        <item m="1" x="744"/>
        <item m="1" x="745"/>
        <item m="1" x="746"/>
        <item m="1" x="747"/>
        <item m="1" x="748"/>
        <item m="1" x="749"/>
        <item m="1" x="750"/>
        <item m="1" x="1453"/>
        <item m="1" x="1454"/>
        <item m="1" x="1455"/>
        <item m="1" x="1456"/>
        <item m="1" x="1457"/>
        <item m="1" x="1458"/>
        <item m="1" x="1459"/>
        <item m="1" x="1460"/>
        <item m="1" x="550"/>
        <item m="1" x="551"/>
        <item m="1" x="552"/>
        <item m="1" x="553"/>
        <item m="1" x="554"/>
        <item m="1" x="555"/>
        <item m="1" x="556"/>
        <item m="1" x="557"/>
        <item m="1" x="1074"/>
        <item m="1" x="1075"/>
        <item m="1" x="1076"/>
        <item m="1" x="1077"/>
        <item m="1" x="1033"/>
        <item m="1" x="809"/>
        <item m="1" x="632"/>
        <item m="1" x="633"/>
        <item m="1" x="634"/>
        <item m="1" x="636"/>
        <item m="1" x="935"/>
        <item m="1" x="834"/>
        <item m="1" x="324"/>
        <item m="1" x="426"/>
        <item m="1" x="1042"/>
        <item m="1" x="136"/>
        <item m="1" x="850"/>
        <item m="1" x="396"/>
        <item m="1" x="780"/>
        <item m="1" x="957"/>
        <item m="1" x="1312"/>
        <item m="1" x="505"/>
        <item m="1" x="1181"/>
        <item m="1" x="1444"/>
        <item m="1" x="1191"/>
        <item m="1" x="1416"/>
        <item m="1" x="867"/>
        <item m="1" x="227"/>
        <item m="1" x="1080"/>
        <item m="1" x="1081"/>
        <item m="1" x="478"/>
        <item m="1" x="795"/>
        <item m="1" x="221"/>
        <item m="1" x="1068"/>
        <item m="1" x="792"/>
        <item m="1" x="595"/>
        <item m="1" x="1184"/>
        <item m="1" x="660"/>
        <item m="1" x="697"/>
        <item m="1" x="511"/>
        <item m="1" x="1240"/>
        <item m="1" x="1205"/>
        <item m="1" x="1392"/>
        <item m="1" x="106"/>
        <item m="1" x="1013"/>
        <item m="1" x="1326"/>
        <item m="1" x="785"/>
        <item m="1" x="819"/>
        <item m="1" x="990"/>
        <item m="1" x="1107"/>
        <item m="1" x="1237"/>
        <item m="1" x="1165"/>
        <item m="1" x="1478"/>
        <item m="1" x="881"/>
        <item m="1" x="642"/>
        <item m="1" x="812"/>
        <item m="1" x="1276"/>
        <item m="1" x="513"/>
        <item m="1" x="424"/>
        <item m="1" x="1504"/>
        <item m="1" x="1109"/>
        <item m="1" x="419"/>
        <item m="1" x="669"/>
        <item m="1" x="665"/>
        <item m="1" x="1468"/>
        <item m="1" x="666"/>
        <item m="1" x="721"/>
        <item m="1" x="800"/>
        <item m="1" x="209"/>
        <item m="1" x="1403"/>
        <item m="1" x="1421"/>
        <item m="1" x="543"/>
        <item m="1" x="1304"/>
        <item m="1" x="997"/>
        <item m="1" x="998"/>
        <item m="1" x="999"/>
        <item m="1" x="378"/>
        <item m="1" x="1426"/>
        <item m="1" x="139"/>
        <item m="1" x="162"/>
        <item m="1" x="1490"/>
        <item m="1" x="864"/>
        <item m="1" x="1125"/>
        <item m="1" x="421"/>
        <item m="1" x="1344"/>
        <item m="1" x="1286"/>
        <item m="1" x="582"/>
        <item m="1" x="1124"/>
        <item m="1" x="466"/>
        <item m="1" x="659"/>
        <item m="1" x="114"/>
        <item m="1" x="771"/>
        <item m="1" x="1467"/>
        <item m="1" x="186"/>
        <item m="1" x="343"/>
        <item m="1" x="1293"/>
        <item m="1" x="269"/>
        <item m="1" x="1428"/>
        <item m="1" x="1243"/>
        <item m="1" x="714"/>
        <item m="1" x="1007"/>
        <item m="1" x="958"/>
        <item m="1" x="407"/>
        <item m="1" x="1254"/>
        <item m="1" x="1333"/>
        <item m="1" x="1355"/>
        <item m="1" x="143"/>
        <item m="1" x="985"/>
        <item m="1" x="1327"/>
        <item m="1" x="840"/>
        <item m="1" x="112"/>
        <item m="1" x="1160"/>
        <item m="1" x="434"/>
        <item m="1" x="183"/>
        <item m="1" x="268"/>
        <item m="1" x="428"/>
        <item m="1" x="464"/>
        <item m="1" x="629"/>
        <item m="1" x="1043"/>
        <item m="1" x="1290"/>
        <item m="1" x="525"/>
        <item x="1"/>
        <item x="2"/>
        <item x="4"/>
        <item x="5"/>
        <item x="6"/>
        <item x="7"/>
        <item x="8"/>
        <item x="9"/>
        <item m="1" x="843"/>
        <item m="1" x="794"/>
        <item m="1" x="907"/>
        <item m="1" x="644"/>
        <item x="12"/>
        <item x="13"/>
        <item x="14"/>
        <item m="1" x="757"/>
        <item x="17"/>
        <item x="18"/>
        <item x="19"/>
        <item x="20"/>
        <item x="23"/>
        <item x="24"/>
        <item x="25"/>
        <item x="26"/>
        <item m="1" x="1324"/>
        <item m="1" x="933"/>
        <item m="1" x="1289"/>
        <item x="28"/>
        <item x="29"/>
        <item x="31"/>
        <item x="33"/>
        <item m="1" x="311"/>
        <item x="35"/>
        <item x="36"/>
        <item x="37"/>
        <item x="38"/>
        <item x="39"/>
        <item x="40"/>
        <item x="45"/>
        <item m="1" x="166"/>
        <item m="1" x="655"/>
        <item m="1" x="487"/>
        <item m="1" x="220"/>
        <item x="48"/>
        <item x="49"/>
        <item m="1" x="299"/>
        <item x="51"/>
        <item m="1" x="583"/>
        <item m="1" x="1078"/>
        <item m="1" x="688"/>
        <item m="1" x="480"/>
        <item m="1" x="1021"/>
        <item x="54"/>
        <item m="1" x="906"/>
        <item m="1" x="132"/>
        <item m="1" x="1216"/>
        <item m="1" x="1083"/>
        <item m="1" x="279"/>
        <item m="1" x="1016"/>
        <item m="1" x="301"/>
        <item m="1" x="1386"/>
        <item m="1" x="1121"/>
        <item m="1" x="1159"/>
        <item m="1" x="826"/>
        <item m="1" x="1339"/>
        <item m="1" x="677"/>
        <item m="1" x="1012"/>
        <item m="1" x="1452"/>
        <item m="1" x="718"/>
        <item m="1" x="700"/>
        <item m="1" x="208"/>
        <item m="1" x="1374"/>
        <item m="1" x="1117"/>
        <item m="1" x="914"/>
        <item m="1" x="579"/>
        <item m="1" x="181"/>
        <item m="1" x="825"/>
        <item m="1" x="1146"/>
        <item m="1" x="1211"/>
        <item m="1" x="334"/>
        <item m="1" x="920"/>
        <item m="1" x="597"/>
        <item m="1" x="400"/>
        <item m="1" x="547"/>
        <item m="1" x="925"/>
        <item m="1" x="1010"/>
        <item m="1" x="1238"/>
        <item m="1" x="931"/>
        <item m="1" x="1449"/>
        <item m="1" x="1206"/>
        <item m="1" x="350"/>
        <item m="1" x="259"/>
        <item m="1" x="808"/>
        <item m="1" x="964"/>
        <item m="1" x="494"/>
        <item x="62"/>
        <item x="59"/>
        <item x="63"/>
        <item m="1" x="770"/>
        <item m="1" x="917"/>
        <item m="1" x="1406"/>
        <item x="67"/>
        <item m="1" x="374"/>
        <item m="1" x="996"/>
        <item m="1" x="504"/>
        <item m="1" x="884"/>
        <item m="1" x="966"/>
        <item m="1" x="290"/>
        <item m="1" x="1436"/>
        <item m="1" x="1437"/>
        <item m="1" x="266"/>
        <item m="1" x="409"/>
        <item x="78"/>
        <item m="1" x="1071"/>
        <item m="1" x="663"/>
        <item m="1" x="683"/>
        <item m="1" x="658"/>
        <item m="1" x="889"/>
        <item m="1" x="1252"/>
        <item x="86"/>
        <item m="1" x="986"/>
        <item x="88"/>
        <item m="1" x="1150"/>
        <item m="1" x="1151"/>
        <item x="95"/>
        <item m="1" x="641"/>
        <item m="1" x="1371"/>
        <item x="98"/>
        <item m="1" x="1079"/>
        <item m="1" x="1067"/>
        <item m="1" x="811"/>
        <item m="1" x="680"/>
        <item m="1" x="598"/>
        <item m="1" x="1345"/>
        <item m="1" x="863"/>
        <item m="1" x="318"/>
        <item m="1" x="1349"/>
        <item m="1" x="916"/>
        <item m="1" x="1440"/>
        <item m="1" x="338"/>
        <item m="1" x="1310"/>
        <item m="1" x="932"/>
        <item m="1" x="218"/>
        <item m="1" x="187"/>
        <item m="1" x="1008"/>
        <item m="1" x="593"/>
        <item m="1" x="1287"/>
        <item m="1" x="1247"/>
        <item m="1" x="1186"/>
        <item x="90"/>
        <item x="96"/>
        <item x="99"/>
        <item m="1" x="1196"/>
        <item m="1" x="392"/>
        <item m="1" x="380"/>
        <item m="1" x="1451"/>
        <item m="1" x="1131"/>
        <item m="1" x="672"/>
        <item m="1" x="509"/>
        <item m="1" x="960"/>
        <item m="1" x="1330"/>
        <item m="1" x="177"/>
        <item m="1" x="692"/>
        <item m="1" x="814"/>
        <item m="1" x="228"/>
        <item m="1" x="107"/>
        <item m="1" x="1432"/>
        <item m="1" x="1433"/>
        <item m="1" x="783"/>
        <item m="1" x="1315"/>
        <item m="1" x="141"/>
        <item m="1" x="158"/>
        <item m="1" x="370"/>
        <item m="1" x="1212"/>
        <item m="1" x="1183"/>
        <item m="1" x="735"/>
        <item m="1" x="390"/>
        <item m="1" x="391"/>
        <item m="1" x="1025"/>
        <item m="1" x="793"/>
        <item m="1" x="125"/>
        <item m="1" x="862"/>
        <item m="1" x="1209"/>
        <item m="1" x="1292"/>
        <item m="1" x="873"/>
        <item m="1" x="732"/>
        <item m="1" x="321"/>
        <item m="1" x="810"/>
        <item m="1" x="874"/>
        <item m="1" x="861"/>
        <item m="1" x="1019"/>
        <item m="1" x="875"/>
        <item m="1" x="715"/>
        <item m="1" x="1402"/>
        <item m="1" x="1445"/>
        <item m="1" x="305"/>
        <item m="1" x="306"/>
        <item m="1" x="308"/>
        <item m="1" x="1398"/>
        <item m="1" x="524"/>
        <item m="1" x="928"/>
        <item m="1" x="1404"/>
        <item m="1" x="1143"/>
        <item m="1" x="545"/>
        <item m="1" x="1004"/>
        <item m="1" x="244"/>
        <item x="87"/>
        <item m="1" x="432"/>
        <item m="1" x="1380"/>
        <item m="1" x="573"/>
        <item m="1" x="625"/>
        <item m="1" x="331"/>
        <item m="1" x="212"/>
        <item m="1" x="429"/>
        <item m="1" x="883"/>
        <item m="1" x="534"/>
        <item m="1" x="1340"/>
        <item m="1" x="418"/>
        <item m="1" x="1039"/>
        <item m="1" x="699"/>
        <item m="1" x="327"/>
        <item x="58"/>
        <item m="1" x="375"/>
        <item m="1" x="1246"/>
        <item m="1" x="1195"/>
        <item m="1" x="1334"/>
        <item m="1" x="626"/>
        <item m="1" x="1066"/>
        <item m="1" x="564"/>
        <item m="1" x="1225"/>
        <item m="1" x="1413"/>
        <item x="68"/>
        <item m="1" x="1105"/>
        <item m="1" x="910"/>
        <item m="1" x="1278"/>
        <item m="1" x="661"/>
        <item m="1" x="130"/>
        <item m="1" x="156"/>
        <item m="1" x="215"/>
        <item m="1" x="1388"/>
        <item m="1" x="465"/>
        <item m="1" x="1418"/>
        <item m="1" x="1261"/>
        <item m="1" x="281"/>
        <item m="1" x="1194"/>
        <item m="1" x="603"/>
        <item m="1" x="1470"/>
        <item m="1" x="713"/>
        <item m="1" x="842"/>
        <item m="1" x="367"/>
        <item m="1" x="1127"/>
        <item m="1" x="263"/>
        <item m="1" x="1096"/>
        <item m="1" x="835"/>
        <item m="1" x="1204"/>
        <item m="1" x="145"/>
        <item m="1" x="730"/>
        <item m="1" x="596"/>
        <item m="1" x="1268"/>
        <item m="1" x="216"/>
        <item m="1" x="684"/>
        <item m="1" x="354"/>
        <item m="1" x="437"/>
        <item x="85"/>
        <item m="1" x="1130"/>
        <item m="1" x="1094"/>
        <item m="1" x="548"/>
        <item m="1" x="1273"/>
        <item m="1" x="1474"/>
        <item m="1" x="539"/>
        <item m="1" x="647"/>
        <item m="1" x="506"/>
        <item m="1" x="992"/>
        <item m="1" x="235"/>
        <item m="1" x="1319"/>
        <item m="1" x="821"/>
        <item m="1" x="833"/>
        <item m="1" x="1116"/>
        <item m="1" x="1307"/>
        <item m="1" x="1332"/>
        <item m="1" x="1193"/>
        <item m="1" x="522"/>
        <item m="1" x="1407"/>
        <item m="1" x="1017"/>
        <item m="1" x="1354"/>
        <item m="1" x="1318"/>
        <item m="1" x="754"/>
        <item m="1" x="1052"/>
        <item m="1" x="1424"/>
        <item m="1" x="223"/>
        <item m="1" x="124"/>
        <item m="1" x="849"/>
        <item m="1" x="816"/>
        <item m="1" x="510"/>
        <item m="1" x="1291"/>
        <item m="1" x="247"/>
        <item m="1" x="377"/>
        <item m="1" x="682"/>
        <item m="1" x="1029"/>
        <item m="1" x="1154"/>
        <item m="1" x="915"/>
        <item m="1" x="191"/>
        <item m="1" x="657"/>
        <item x="100"/>
        <item m="1" x="1393"/>
        <item m="1" x="902"/>
        <item m="1" x="900"/>
        <item m="1" x="673"/>
        <item m="1" x="448"/>
        <item x="0"/>
        <item x="16"/>
        <item m="1" x="1050"/>
        <item x="46"/>
        <item m="1" x="445"/>
        <item x="52"/>
        <item x="53"/>
        <item x="56"/>
        <item x="57"/>
        <item x="60"/>
        <item x="61"/>
        <item x="64"/>
        <item x="65"/>
        <item x="66"/>
        <item x="69"/>
        <item x="70"/>
        <item x="71"/>
        <item x="72"/>
        <item x="73"/>
        <item x="74"/>
        <item x="75"/>
        <item x="76"/>
        <item x="77"/>
        <item x="79"/>
        <item x="80"/>
        <item x="81"/>
        <item x="82"/>
        <item x="83"/>
        <item x="84"/>
        <item x="89"/>
        <item x="91"/>
        <item x="92"/>
        <item x="93"/>
        <item x="94"/>
        <item x="97"/>
        <item x="101"/>
        <item x="102"/>
        <item m="1" x="1049"/>
        <item x="27"/>
        <item x="21"/>
        <item x="22"/>
        <item x="41"/>
        <item m="1" x="1443"/>
        <item x="42"/>
        <item x="43"/>
        <item x="44"/>
        <item x="50"/>
        <item m="1" x="1442"/>
        <item x="34"/>
      </items>
    </pivotField>
    <pivotField compact="0" showAll="0" defaultSubtotal="0">
      <items count="17">
        <item m="1" x="12"/>
        <item m="1" x="7"/>
        <item x="1"/>
        <item x="3"/>
        <item m="1" x="9"/>
        <item x="4"/>
        <item m="1" x="5"/>
        <item m="1" x="14"/>
        <item x="2"/>
        <item m="1" x="6"/>
        <item x="0"/>
        <item m="1" x="8"/>
        <item m="1" x="13"/>
        <item m="1" x="10"/>
        <item m="1" x="16"/>
        <item m="1" x="11"/>
        <item m="1" x="15"/>
      </items>
    </pivotField>
    <pivotField compact="0" showAll="0" defaultSubtotal="0"/>
    <pivotField compact="0" showAll="0" defaultSubtotal="0"/>
    <pivotField dataField="1" compact="0" showAll="0" defaultSubtotal="0"/>
    <pivotField compact="0" showAll="0" defaultSubtotal="0"/>
    <pivotField compact="0" showAll="0" defaultSubtotal="0"/>
    <pivotField axis="axisRow" compact="0" showAll="0" insertBlankRow="1" sortType="ascending" defaultSubtotal="0">
      <items count="30">
        <item h="1" x="0"/>
        <item h="1" m="1" x="17"/>
        <item h="1" m="1" x="23"/>
        <item h="1" m="1" x="19"/>
        <item h="1" x="1"/>
        <item h="1" m="1" x="28"/>
        <item h="1" m="1" x="7"/>
        <item h="1" m="1" x="25"/>
        <item h="1" m="1" x="26"/>
        <item h="1" m="1" x="29"/>
        <item h="1" m="1" x="11"/>
        <item h="1" m="1" x="15"/>
        <item h="1" m="1" x="21"/>
        <item h="1" m="1" x="24"/>
        <item h="1" m="1" x="6"/>
        <item h="1" m="1" x="16"/>
        <item h="1" m="1" x="22"/>
        <item x="2"/>
        <item h="1" m="1" x="9"/>
        <item h="1" m="1" x="4"/>
        <item h="1" m="1" x="8"/>
        <item h="1" m="1" x="13"/>
        <item h="1" m="1" x="27"/>
        <item h="1" m="1" x="14"/>
        <item h="1" m="1" x="20"/>
        <item h="1" m="1" x="18"/>
        <item h="1" m="1" x="10"/>
        <item h="1" m="1" x="3"/>
        <item h="1" m="1" x="12"/>
        <item h="1" m="1" x="5"/>
      </items>
    </pivotField>
    <pivotField axis="axisRow" compact="0" showAll="0" insertBlankRow="1" defaultSubtotal="0">
      <items count="63">
        <item m="1" x="39"/>
        <item m="1" x="61"/>
        <item m="1" x="62"/>
        <item m="1" x="32"/>
        <item m="1" x="18"/>
        <item m="1" x="5"/>
        <item m="1" x="17"/>
        <item m="1" x="57"/>
        <item m="1" x="41"/>
        <item m="1" x="24"/>
        <item m="1" x="4"/>
        <item m="1" x="7"/>
        <item m="1" x="30"/>
        <item m="1" x="14"/>
        <item m="1" x="13"/>
        <item m="1" x="8"/>
        <item m="1" x="33"/>
        <item m="1" x="45"/>
        <item m="1" x="35"/>
        <item m="1" x="29"/>
        <item m="1" x="53"/>
        <item m="1" x="59"/>
        <item m="1" x="60"/>
        <item m="1" x="38"/>
        <item m="1" x="16"/>
        <item m="1" x="37"/>
        <item m="1" x="15"/>
        <item m="1" x="55"/>
        <item m="1" x="47"/>
        <item m="1" x="50"/>
        <item m="1" x="21"/>
        <item m="1" x="49"/>
        <item m="1" x="48"/>
        <item m="1" x="10"/>
        <item m="1" x="12"/>
        <item m="1" x="6"/>
        <item m="1" x="20"/>
        <item m="1" x="34"/>
        <item m="1" x="25"/>
        <item m="1" x="58"/>
        <item m="1" x="22"/>
        <item m="1" x="23"/>
        <item m="1" x="26"/>
        <item m="1" x="36"/>
        <item m="1" x="3"/>
        <item m="1" x="28"/>
        <item m="1" x="52"/>
        <item m="1" x="31"/>
        <item m="1" x="19"/>
        <item m="1" x="51"/>
        <item x="2"/>
        <item m="1" x="42"/>
        <item x="0"/>
        <item m="1" x="56"/>
        <item m="1" x="46"/>
        <item m="1" x="9"/>
        <item m="1" x="27"/>
        <item m="1" x="40"/>
        <item m="1" x="43"/>
        <item m="1" x="11"/>
        <item m="1" x="54"/>
        <item m="1" x="44"/>
        <item x="1"/>
      </items>
    </pivotField>
    <pivotField compact="0" showAll="0" defaultSubtotal="0"/>
    <pivotField compact="0" subtotalTop="0" showAll="0" defaultSubtotal="0"/>
  </pivotFields>
  <rowFields count="2">
    <field x="9"/>
    <field x="10"/>
  </rowFields>
  <rowItems count="4">
    <i>
      <x v="17"/>
    </i>
    <i r="1">
      <x v="50"/>
    </i>
    <i t="blank">
      <x v="17"/>
    </i>
    <i t="grand">
      <x/>
    </i>
  </rowItems>
  <colItems count="1">
    <i/>
  </colItems>
  <dataFields count="1">
    <dataField name="AMOUNT (RM)" fld="6" baseField="0" baseItem="4" numFmtId="4"/>
  </dataFields>
  <formats count="35">
    <format dxfId="446">
      <pivotArea type="all" dataOnly="0" outline="0" fieldPosition="0"/>
    </format>
    <format dxfId="445">
      <pivotArea outline="0" collapsedLevelsAreSubtotals="1" fieldPosition="0"/>
    </format>
    <format dxfId="444">
      <pivotArea field="0" type="button" dataOnly="0" labelOnly="1" outline="0"/>
    </format>
    <format dxfId="443">
      <pivotArea field="1" type="button" dataOnly="0" labelOnly="1" outline="0"/>
    </format>
    <format dxfId="442">
      <pivotArea field="3" type="button" dataOnly="0" labelOnly="1" outline="0"/>
    </format>
    <format dxfId="441">
      <pivotArea dataOnly="0" labelOnly="1" outline="0" fieldPosition="0">
        <references count="1">
          <reference field="4294967294" count="1">
            <x v="0"/>
          </reference>
        </references>
      </pivotArea>
    </format>
    <format dxfId="440">
      <pivotArea field="2" type="button" dataOnly="0" labelOnly="1" outline="0"/>
    </format>
    <format dxfId="439">
      <pivotArea field="0" type="button" dataOnly="0" labelOnly="1" outline="0"/>
    </format>
    <format dxfId="438">
      <pivotArea field="1" type="button" dataOnly="0" labelOnly="1" outline="0"/>
    </format>
    <format dxfId="437">
      <pivotArea field="2" type="button" dataOnly="0" labelOnly="1" outline="0"/>
    </format>
    <format dxfId="436">
      <pivotArea field="3" type="button" dataOnly="0" labelOnly="1" outline="0"/>
    </format>
    <format dxfId="435">
      <pivotArea dataOnly="0" labelOnly="1" outline="0" fieldPosition="0">
        <references count="1">
          <reference field="4294967294" count="1">
            <x v="0"/>
          </reference>
        </references>
      </pivotArea>
    </format>
    <format dxfId="434">
      <pivotArea outline="0" fieldPosition="0">
        <references count="1">
          <reference field="4294967294" count="1">
            <x v="0"/>
          </reference>
        </references>
      </pivotArea>
    </format>
    <format dxfId="433">
      <pivotArea outline="0" fieldPosition="0">
        <references count="2">
          <reference field="9" count="0" selected="0"/>
          <reference field="10" count="3" selected="0">
            <x v="1"/>
            <x v="2"/>
            <x v="3"/>
          </reference>
        </references>
      </pivotArea>
    </format>
    <format dxfId="432">
      <pivotArea dataOnly="0" labelOnly="1" outline="0" fieldPosition="0">
        <references count="1">
          <reference field="9" count="0"/>
        </references>
      </pivotArea>
    </format>
    <format dxfId="431">
      <pivotArea dataOnly="0" labelOnly="1" outline="0" fieldPosition="0">
        <references count="2">
          <reference field="9" count="0" selected="0"/>
          <reference field="10" count="3">
            <x v="1"/>
            <x v="2"/>
            <x v="3"/>
          </reference>
        </references>
      </pivotArea>
    </format>
    <format dxfId="430">
      <pivotArea outline="0" fieldPosition="0">
        <references count="2">
          <reference field="9" count="0" selected="0"/>
          <reference field="10" count="3" selected="0">
            <x v="1"/>
            <x v="2"/>
            <x v="3"/>
          </reference>
        </references>
      </pivotArea>
    </format>
    <format dxfId="429">
      <pivotArea dataOnly="0" labelOnly="1" outline="0" fieldPosition="0">
        <references count="1">
          <reference field="9" count="0"/>
        </references>
      </pivotArea>
    </format>
    <format dxfId="428">
      <pivotArea dataOnly="0" labelOnly="1" outline="0" fieldPosition="0">
        <references count="2">
          <reference field="9" count="0" selected="0"/>
          <reference field="10" count="3">
            <x v="1"/>
            <x v="2"/>
            <x v="3"/>
          </reference>
        </references>
      </pivotArea>
    </format>
    <format dxfId="427">
      <pivotArea dataOnly="0" labelOnly="1" fieldPosition="0">
        <references count="1">
          <reference field="9" count="0"/>
        </references>
      </pivotArea>
    </format>
    <format dxfId="426">
      <pivotArea dataOnly="0" labelOnly="1" fieldPosition="0">
        <references count="1">
          <reference field="10" count="0"/>
        </references>
      </pivotArea>
    </format>
    <format dxfId="425">
      <pivotArea dataOnly="0" labelOnly="1" fieldPosition="0">
        <references count="1">
          <reference field="10" count="0"/>
        </references>
      </pivotArea>
    </format>
    <format dxfId="424">
      <pivotArea dataOnly="0" labelOnly="1" fieldPosition="0">
        <references count="1">
          <reference field="10" count="0"/>
        </references>
      </pivotArea>
    </format>
    <format dxfId="423">
      <pivotArea dataOnly="0" labelOnly="1" fieldPosition="0">
        <references count="1">
          <reference field="10" count="0"/>
        </references>
      </pivotArea>
    </format>
    <format dxfId="422">
      <pivotArea dataOnly="0" labelOnly="1" fieldPosition="0">
        <references count="1">
          <reference field="10" count="0"/>
        </references>
      </pivotArea>
    </format>
    <format dxfId="421">
      <pivotArea dataOnly="0" labelOnly="1" grandRow="1" outline="0" fieldPosition="0"/>
    </format>
    <format dxfId="420">
      <pivotArea grandRow="1" outline="0" collapsedLevelsAreSubtotals="1" fieldPosition="0"/>
    </format>
    <format dxfId="419">
      <pivotArea field="9" type="button" dataOnly="0" labelOnly="1" outline="0" axis="axisRow" fieldPosition="0"/>
    </format>
    <format dxfId="418">
      <pivotArea field="10" type="button" dataOnly="0" labelOnly="1" outline="0" axis="axisRow" fieldPosition="1"/>
    </format>
    <format dxfId="417">
      <pivotArea dataOnly="0" labelOnly="1" outline="0" axis="axisValues" fieldPosition="0"/>
    </format>
    <format dxfId="416">
      <pivotArea field="9" type="button" dataOnly="0" labelOnly="1" outline="0" axis="axisRow" fieldPosition="0"/>
    </format>
    <format dxfId="415">
      <pivotArea field="10" type="button" dataOnly="0" labelOnly="1" outline="0" axis="axisRow" fieldPosition="1"/>
    </format>
    <format dxfId="414">
      <pivotArea dataOnly="0" labelOnly="1" outline="0" axis="axisValues" fieldPosition="0"/>
    </format>
    <format dxfId="413">
      <pivotArea grandRow="1" outline="0" collapsedLevelsAreSubtotals="1" fieldPosition="0"/>
    </format>
    <format dxfId="412">
      <pivotArea dataOnly="0" labelOnly="1" grandRow="1" outline="0"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2" cacheId="225"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8:H14" firstHeaderRow="0" firstDataRow="1" firstDataCol="4"/>
  <pivotFields count="13">
    <pivotField axis="axisRow" compact="0" outline="0" showAll="0" insertBlankRow="1" defaultSubtotal="0">
      <items count="5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272"/>
        <item m="1" x="332"/>
        <item m="1" x="391"/>
        <item m="1" x="451"/>
        <item m="1" x="510"/>
        <item m="1" x="569"/>
        <item m="1" x="148"/>
        <item m="1" x="205"/>
        <item m="1" x="264"/>
        <item m="1" x="324"/>
        <item m="1" x="383"/>
        <item m="1" x="443"/>
        <item m="1" x="502"/>
        <item m="1" x="561"/>
        <item m="1" x="139"/>
        <item m="1" x="196"/>
        <item m="1" x="255"/>
        <item m="1" x="314"/>
        <item m="1" x="374"/>
        <item m="1" x="434"/>
        <item m="1" x="493"/>
        <item m="1" x="553"/>
        <item m="1" x="131"/>
        <item m="1" x="188"/>
        <item m="1" x="218"/>
        <item m="1" x="247"/>
        <item m="1" x="278"/>
        <item m="1" x="306"/>
        <item m="1" x="338"/>
        <item m="1" x="366"/>
        <item m="1" x="397"/>
        <item m="1" x="426"/>
        <item m="1" x="457"/>
        <item m="1" x="485"/>
        <item m="1" x="516"/>
        <item m="1" x="544"/>
        <item m="1" x="574"/>
        <item m="1" x="123"/>
        <item m="1" x="153"/>
        <item m="1" x="180"/>
        <item m="1" x="210"/>
        <item m="1" x="239"/>
        <item m="1" x="269"/>
        <item m="1" x="298"/>
        <item m="1" x="329"/>
        <item m="1" x="358"/>
        <item m="1" x="388"/>
        <item m="1" x="418"/>
        <item m="1" x="448"/>
        <item m="1" x="477"/>
        <item m="1" x="507"/>
        <item m="1" x="536"/>
        <item m="1" x="566"/>
        <item m="1" x="116"/>
        <item m="1" x="145"/>
        <item m="1" x="173"/>
        <item m="1" x="202"/>
        <item m="1" x="232"/>
        <item m="1" x="261"/>
        <item m="1" x="291"/>
        <item m="1" x="321"/>
        <item m="1" x="351"/>
        <item m="1" x="380"/>
        <item m="1" x="411"/>
        <item m="1" x="440"/>
        <item m="1" x="470"/>
        <item m="1" x="499"/>
        <item m="1" x="529"/>
        <item m="1" x="559"/>
        <item m="1" x="110"/>
        <item m="1" x="137"/>
        <item m="1" x="166"/>
        <item m="1" x="194"/>
        <item m="1" x="224"/>
        <item m="1" x="253"/>
        <item m="1" x="284"/>
        <item m="1" x="312"/>
        <item m="1" x="344"/>
        <item m="1" x="372"/>
        <item m="1" x="403"/>
        <item m="1" x="432"/>
        <item m="1" x="463"/>
        <item m="1" x="491"/>
        <item m="1" x="522"/>
        <item m="1" x="551"/>
        <item m="1" x="580"/>
        <item m="1" x="129"/>
        <item m="1" x="159"/>
        <item m="1" x="186"/>
        <item m="1" x="216"/>
        <item m="1" x="245"/>
        <item m="1" x="276"/>
        <item m="1" x="304"/>
        <item m="1" x="336"/>
        <item m="1" x="364"/>
        <item m="1" x="395"/>
        <item m="1" x="424"/>
        <item m="1" x="455"/>
        <item m="1" x="483"/>
        <item m="1" x="514"/>
        <item m="1" x="542"/>
        <item m="1" x="573"/>
        <item m="1" x="122"/>
        <item m="1" x="152"/>
        <item m="1" x="179"/>
        <item m="1" x="209"/>
        <item m="1" x="238"/>
        <item m="1" x="268"/>
        <item m="1" x="297"/>
        <item m="1" x="328"/>
        <item m="1" x="357"/>
        <item m="1" x="387"/>
        <item m="1" x="417"/>
        <item m="1" x="447"/>
        <item m="1" x="476"/>
        <item m="1" x="506"/>
        <item m="1" x="535"/>
        <item m="1" x="565"/>
        <item m="1" x="115"/>
        <item m="1" x="144"/>
        <item m="1" x="172"/>
        <item m="1" x="201"/>
        <item m="1" x="231"/>
        <item m="1" x="260"/>
        <item m="1" x="290"/>
        <item m="1" x="320"/>
        <item m="1" x="350"/>
        <item m="1" x="379"/>
        <item m="1" x="410"/>
        <item m="1" x="439"/>
        <item m="1" x="469"/>
        <item m="1" x="498"/>
        <item m="1" x="528"/>
        <item m="1" x="558"/>
        <item m="1" x="109"/>
        <item m="1" x="136"/>
        <item m="1" x="165"/>
        <item m="1" x="193"/>
        <item m="1" x="223"/>
        <item m="1" x="252"/>
        <item m="1" x="283"/>
        <item m="1" x="311"/>
        <item m="1" x="343"/>
        <item m="1" x="371"/>
        <item m="1" x="402"/>
        <item m="1" x="431"/>
        <item m="1" x="462"/>
        <item m="1" x="490"/>
        <item m="1" x="521"/>
        <item m="1" x="549"/>
        <item m="1" x="579"/>
        <item m="1" x="128"/>
        <item m="1" x="143"/>
        <item m="1" x="158"/>
        <item m="1" x="171"/>
        <item m="1" x="185"/>
        <item m="1" x="200"/>
        <item m="1" x="215"/>
        <item m="1" x="229"/>
        <item m="1" x="244"/>
        <item m="1" x="259"/>
        <item m="1" x="275"/>
        <item m="1" x="289"/>
        <item m="1" x="303"/>
        <item m="1" x="319"/>
        <item m="1" x="335"/>
        <item m="1" x="349"/>
        <item m="1" x="363"/>
        <item m="1" x="378"/>
        <item m="1" x="394"/>
        <item m="1" x="409"/>
        <item m="1" x="423"/>
        <item m="1" x="438"/>
        <item m="1" x="454"/>
        <item m="1" x="468"/>
        <item m="1" x="482"/>
        <item m="1" x="497"/>
        <item m="1" x="513"/>
        <item m="1" x="527"/>
        <item m="1" x="541"/>
        <item m="1" x="557"/>
        <item m="1" x="572"/>
        <item m="1" x="108"/>
        <item m="1" x="121"/>
        <item m="1" x="135"/>
        <item m="1" x="151"/>
        <item m="1" x="164"/>
        <item m="1" x="178"/>
        <item m="1" x="192"/>
        <item m="1" x="208"/>
        <item m="1" x="222"/>
        <item m="1" x="237"/>
        <item m="1" x="251"/>
        <item m="1" x="267"/>
        <item m="1" x="282"/>
        <item m="1" x="296"/>
        <item m="1" x="310"/>
        <item m="1" x="327"/>
        <item m="1" x="342"/>
        <item m="1" x="356"/>
        <item m="1" x="370"/>
        <item m="1" x="386"/>
        <item m="1" x="401"/>
        <item m="1" x="416"/>
        <item m="1" x="430"/>
        <item m="1" x="446"/>
        <item m="1" x="461"/>
        <item m="1" x="475"/>
        <item m="1" x="489"/>
        <item m="1" x="505"/>
        <item m="1" x="520"/>
        <item m="1" x="534"/>
        <item m="1" x="548"/>
        <item m="1" x="564"/>
        <item m="1" x="578"/>
        <item m="1" x="114"/>
        <item m="1" x="127"/>
        <item m="1" x="142"/>
        <item m="1" x="157"/>
        <item m="1" x="170"/>
        <item m="1" x="184"/>
        <item m="1" x="199"/>
        <item m="1" x="214"/>
        <item m="1" x="228"/>
        <item m="1" x="243"/>
        <item m="1" x="258"/>
        <item m="1" x="274"/>
        <item m="1" x="288"/>
        <item m="1" x="302"/>
        <item m="1" x="317"/>
        <item m="1" x="334"/>
        <item m="1" x="348"/>
        <item m="1" x="362"/>
        <item m="1" x="377"/>
        <item m="1" x="393"/>
        <item m="1" x="408"/>
        <item m="1" x="422"/>
        <item m="1" x="437"/>
        <item m="1" x="453"/>
        <item m="1" x="467"/>
        <item m="1" x="481"/>
        <item m="1" x="496"/>
        <item m="1" x="512"/>
        <item m="1" x="526"/>
        <item m="1" x="540"/>
        <item m="1" x="556"/>
        <item m="1" x="571"/>
        <item m="1" x="107"/>
        <item m="1" x="120"/>
        <item m="1" x="134"/>
        <item m="1" x="150"/>
        <item m="1" x="163"/>
        <item m="1" x="177"/>
        <item m="1" x="191"/>
        <item m="1" x="207"/>
        <item m="1" x="221"/>
        <item m="1" x="236"/>
        <item m="1" x="250"/>
        <item m="1" x="266"/>
        <item m="1" x="281"/>
        <item m="1" x="295"/>
        <item m="1" x="309"/>
        <item m="1" x="326"/>
        <item m="1" x="341"/>
        <item m="1" x="355"/>
        <item m="1" x="369"/>
        <item m="1" x="385"/>
        <item m="1" x="400"/>
        <item m="1" x="415"/>
        <item m="1" x="429"/>
        <item m="1" x="445"/>
        <item m="1" x="460"/>
        <item m="1" x="474"/>
        <item m="1" x="488"/>
        <item m="1" x="504"/>
        <item m="1" x="519"/>
        <item m="1" x="533"/>
        <item m="1" x="547"/>
        <item m="1" x="563"/>
        <item m="1" x="577"/>
        <item m="1" x="113"/>
        <item m="1" x="126"/>
        <item m="1" x="141"/>
        <item m="1" x="156"/>
        <item m="1" x="169"/>
        <item m="1" x="183"/>
        <item m="1" x="198"/>
        <item m="1" x="213"/>
        <item m="1" x="227"/>
        <item m="1" x="242"/>
        <item m="1" x="257"/>
        <item m="1" x="273"/>
        <item m="1" x="287"/>
        <item m="1" x="301"/>
        <item m="1" x="316"/>
        <item m="1" x="333"/>
        <item m="1" x="347"/>
        <item m="1" x="361"/>
        <item m="1" x="376"/>
        <item m="1" x="392"/>
        <item m="1" x="406"/>
        <item m="1" x="421"/>
        <item m="1" x="436"/>
        <item m="1" x="452"/>
        <item m="1" x="466"/>
        <item m="1" x="480"/>
        <item m="1" x="495"/>
        <item m="1" x="511"/>
        <item m="1" x="525"/>
        <item m="1" x="539"/>
        <item m="1" x="555"/>
        <item m="1" x="570"/>
        <item m="1" x="106"/>
        <item m="1" x="119"/>
        <item m="1" x="133"/>
        <item m="1" x="149"/>
        <item m="1" x="162"/>
        <item m="1" x="176"/>
        <item m="1" x="190"/>
        <item m="1" x="206"/>
        <item m="1" x="220"/>
        <item m="1" x="235"/>
        <item m="1" x="249"/>
        <item m="1" x="265"/>
        <item m="1" x="280"/>
        <item m="1" x="294"/>
        <item m="1" x="308"/>
        <item m="1" x="325"/>
        <item m="1" x="340"/>
        <item m="1" x="354"/>
        <item m="1" x="368"/>
        <item m="1" x="384"/>
        <item m="1" x="399"/>
        <item m="1" x="414"/>
        <item m="1" x="428"/>
        <item m="1" x="444"/>
        <item m="1" x="459"/>
        <item m="1" x="473"/>
        <item m="1" x="487"/>
        <item m="1" x="503"/>
        <item m="1" x="518"/>
        <item m="1" x="532"/>
        <item m="1" x="546"/>
        <item m="1" x="562"/>
        <item m="1" x="576"/>
        <item m="1" x="112"/>
        <item m="1" x="125"/>
        <item m="1" x="140"/>
        <item m="1" x="155"/>
        <item m="1" x="168"/>
        <item m="1" x="182"/>
        <item m="1" x="197"/>
        <item m="1" x="212"/>
        <item m="1" x="226"/>
        <item m="1" x="241"/>
        <item m="1" x="256"/>
        <item m="1" x="271"/>
        <item m="1" x="286"/>
        <item m="1" x="300"/>
        <item m="1" x="315"/>
        <item m="1" x="331"/>
        <item m="1" x="346"/>
        <item m="1" x="360"/>
        <item m="1" x="375"/>
        <item m="1" x="390"/>
        <item m="1" x="405"/>
        <item m="1" x="420"/>
        <item m="1" x="435"/>
        <item m="1" x="450"/>
        <item m="1" x="465"/>
        <item m="1" x="479"/>
        <item m="1" x="494"/>
        <item m="1" x="509"/>
        <item m="1" x="524"/>
        <item m="1" x="538"/>
        <item m="1" x="554"/>
        <item m="1" x="568"/>
        <item m="1" x="105"/>
        <item m="1" x="118"/>
        <item m="1" x="132"/>
        <item m="1" x="147"/>
        <item m="1" x="161"/>
        <item m="1" x="175"/>
        <item m="1" x="189"/>
        <item m="1" x="204"/>
        <item m="1" x="219"/>
        <item m="1" x="234"/>
        <item m="1" x="248"/>
        <item m="1" x="263"/>
        <item m="1" x="279"/>
        <item m="1" x="293"/>
        <item m="1" x="307"/>
        <item m="1" x="323"/>
        <item m="1" x="339"/>
        <item m="1" x="353"/>
        <item m="1" x="367"/>
        <item m="1" x="382"/>
        <item m="1" x="398"/>
        <item m="1" x="413"/>
        <item m="1" x="427"/>
        <item m="1" x="442"/>
        <item m="1" x="458"/>
        <item m="1" x="472"/>
        <item m="1" x="486"/>
        <item m="1" x="501"/>
        <item m="1" x="517"/>
        <item m="1" x="531"/>
        <item m="1" x="545"/>
        <item m="1" x="552"/>
        <item m="1" x="560"/>
        <item m="1" x="567"/>
        <item m="1" x="575"/>
        <item m="1" x="104"/>
        <item m="1" x="111"/>
        <item m="1" x="117"/>
        <item m="1" x="124"/>
        <item m="1" x="130"/>
        <item m="1" x="138"/>
        <item m="1" x="146"/>
        <item m="1" x="154"/>
        <item m="1" x="160"/>
        <item m="1" x="167"/>
        <item m="1" x="174"/>
        <item m="1" x="181"/>
        <item m="1" x="187"/>
        <item m="1" x="195"/>
        <item m="1" x="203"/>
        <item m="1" x="211"/>
        <item m="1" x="217"/>
        <item m="1" x="225"/>
        <item m="1" x="233"/>
        <item m="1" x="240"/>
        <item m="1" x="246"/>
        <item m="1" x="254"/>
        <item m="1" x="262"/>
        <item m="1" x="270"/>
        <item m="1" x="277"/>
        <item m="1" x="285"/>
        <item m="1" x="292"/>
        <item m="1" x="299"/>
        <item m="1" x="305"/>
        <item m="1" x="313"/>
        <item m="1" x="322"/>
        <item m="1" x="330"/>
        <item m="1" x="337"/>
        <item m="1" x="345"/>
        <item m="1" x="352"/>
        <item m="1" x="359"/>
        <item m="1" x="365"/>
        <item m="1" x="373"/>
        <item m="1" x="381"/>
        <item m="1" x="389"/>
        <item m="1" x="396"/>
        <item m="1" x="404"/>
        <item m="1" x="412"/>
        <item m="1" x="419"/>
        <item m="1" x="425"/>
        <item m="1" x="433"/>
        <item m="1" x="441"/>
        <item m="1" x="449"/>
        <item m="1" x="456"/>
        <item m="1" x="464"/>
        <item m="1" x="471"/>
        <item m="1" x="478"/>
        <item m="1" x="484"/>
        <item m="1" x="492"/>
        <item m="1" x="500"/>
        <item m="1" x="508"/>
        <item m="1" x="515"/>
        <item m="1" x="523"/>
        <item m="1" x="530"/>
        <item m="1" x="230"/>
        <item m="1" x="318"/>
        <item m="1" x="407"/>
        <item m="1" x="550"/>
        <item m="1" x="537"/>
        <item m="1" x="543"/>
      </items>
    </pivotField>
    <pivotField axis="axisRow" compact="0" outline="0" showAll="0" defaultSubtotal="0">
      <items count="1124">
        <item m="1" x="458"/>
        <item m="1" x="500"/>
        <item m="1" x="552"/>
        <item m="1" x="597"/>
        <item m="1" x="627"/>
        <item m="1" x="648"/>
        <item m="1" x="665"/>
        <item m="1" x="678"/>
        <item m="1" x="705"/>
        <item m="1" x="440"/>
        <item m="1" x="465"/>
        <item m="1" x="506"/>
        <item m="1" x="556"/>
        <item m="1" x="601"/>
        <item m="1" x="629"/>
        <item m="1" x="649"/>
        <item m="1" x="666"/>
        <item m="1" x="679"/>
        <item m="1" x="706"/>
        <item m="1" x="441"/>
        <item m="1" x="468"/>
        <item m="1" x="514"/>
        <item m="1" x="564"/>
        <item m="1" x="603"/>
        <item m="1" x="630"/>
        <item m="1" x="650"/>
        <item m="1" x="667"/>
        <item m="1" x="680"/>
        <item m="1" x="707"/>
        <item m="1" x="442"/>
        <item m="1" x="469"/>
        <item m="1" x="517"/>
        <item m="1" x="568"/>
        <item m="1" x="604"/>
        <item m="1" x="631"/>
        <item m="1" x="651"/>
        <item m="1" x="668"/>
        <item m="1" x="681"/>
        <item m="1" x="708"/>
        <item m="1" x="697"/>
        <item m="1" x="746"/>
        <item m="1" x="802"/>
        <item m="1" x="857"/>
        <item m="1" x="909"/>
        <item m="1" x="981"/>
        <item m="1" x="1018"/>
        <item m="1" x="166"/>
        <item m="1" x="956"/>
        <item m="1" x="993"/>
        <item m="1" x="1037"/>
        <item m="1" x="1088"/>
        <item m="1" x="77"/>
        <item m="1" x="105"/>
        <item m="1" x="127"/>
        <item m="1" x="143"/>
        <item m="1" x="157"/>
        <item m="1" x="193"/>
        <item m="1" x="971"/>
        <item m="1" x="1001"/>
        <item m="1" x="1042"/>
        <item m="1" x="1092"/>
        <item m="1" x="81"/>
        <item m="1" x="108"/>
        <item m="1" x="128"/>
        <item m="1" x="144"/>
        <item m="1" x="180"/>
        <item m="1" x="232"/>
        <item m="1" x="456"/>
        <item m="1" x="497"/>
        <item m="1" x="549"/>
        <item m="1" x="594"/>
        <item m="1" x="624"/>
        <item m="1" x="646"/>
        <item m="1" x="664"/>
        <item m="1" x="677"/>
        <item m="1" x="695"/>
        <item m="1" x="743"/>
        <item m="1" x="798"/>
        <item m="1" x="853"/>
        <item m="1" x="980"/>
        <item m="1" x="165"/>
        <item m="1" x="476"/>
        <item m="1" x="524"/>
        <item m="1" x="576"/>
        <item m="1" x="612"/>
        <item m="1" x="637"/>
        <item m="1" x="657"/>
        <item m="1" x="672"/>
        <item m="1" x="689"/>
        <item m="1" x="732"/>
        <item m="1" x="449"/>
        <item m="1" x="481"/>
        <item m="1" x="528"/>
        <item m="1" x="580"/>
        <item m="1" x="615"/>
        <item m="1" x="639"/>
        <item m="1" x="658"/>
        <item m="1" x="673"/>
        <item m="1" x="690"/>
        <item m="1" x="733"/>
        <item m="1" x="452"/>
        <item m="1" x="489"/>
        <item m="1" x="534"/>
        <item m="1" x="584"/>
        <item m="1" x="617"/>
        <item m="1" x="640"/>
        <item m="1" x="659"/>
        <item m="1" x="674"/>
        <item m="1" x="691"/>
        <item m="1" x="734"/>
        <item m="1" x="453"/>
        <item m="1" x="492"/>
        <item m="1" x="541"/>
        <item m="1" x="588"/>
        <item m="1" x="618"/>
        <item m="1" x="641"/>
        <item m="1" x="660"/>
        <item m="1" x="675"/>
        <item m="1" x="692"/>
        <item m="1" x="735"/>
        <item m="1" x="454"/>
        <item m="1" x="493"/>
        <item m="1" x="543"/>
        <item m="1" x="589"/>
        <item m="1" x="619"/>
        <item m="1" x="642"/>
        <item m="1" x="661"/>
        <item m="1" x="676"/>
        <item m="1" x="693"/>
        <item m="1" x="736"/>
        <item m="1" x="716"/>
        <item m="1" x="771"/>
        <item m="1" x="826"/>
        <item m="1" x="882"/>
        <item m="1" x="927"/>
        <item m="1" x="991"/>
        <item m="1" x="1035"/>
        <item m="1" x="1086"/>
        <item m="1" x="76"/>
        <item m="1" x="104"/>
        <item m="1" x="126"/>
        <item m="1" x="142"/>
        <item m="1" x="156"/>
        <item m="1" x="192"/>
        <item m="1" x="969"/>
        <item m="1" x="177"/>
        <item m="1" x="1015"/>
        <item m="1" x="1065"/>
        <item m="1" x="1113"/>
        <item m="1" x="95"/>
        <item m="1" x="119"/>
        <item m="1" x="139"/>
        <item m="1" x="152"/>
        <item m="1" x="175"/>
        <item m="1" x="224"/>
        <item m="1" x="985"/>
        <item m="1" x="1021"/>
        <item m="1" x="1069"/>
        <item m="1" x="1117"/>
        <item m="1" x="98"/>
        <item m="1" x="122"/>
        <item m="1" x="140"/>
        <item m="1" x="153"/>
        <item m="1" x="176"/>
        <item m="1" x="203"/>
        <item m="1" x="258"/>
        <item m="1" x="314"/>
        <item m="1" x="370"/>
        <item m="1" x="474"/>
        <item m="1" x="521"/>
        <item m="1" x="573"/>
        <item m="1" x="609"/>
        <item m="1" x="712"/>
        <item m="1" x="768"/>
        <item m="1" x="822"/>
        <item m="1" x="878"/>
        <item m="1" x="686"/>
        <item m="1" x="990"/>
        <item m="1" x="495"/>
        <item m="1" x="547"/>
        <item m="1" x="593"/>
        <item m="1" x="623"/>
        <item x="0"/>
        <item m="1" x="963"/>
        <item m="1" x="158"/>
        <item m="1" x="194"/>
        <item m="1" x="972"/>
        <item m="1" x="1006"/>
        <item m="1" x="1051"/>
        <item m="1" x="1098"/>
        <item m="1" x="84"/>
        <item m="1" x="109"/>
        <item m="1" x="129"/>
        <item m="1" x="145"/>
        <item m="1" x="1081"/>
        <item m="1" x="539"/>
        <item m="1" x="1052"/>
        <item m="1" x="512"/>
        <item m="1" x="1029"/>
        <item m="1" x="487"/>
        <item m="1" x="1002"/>
        <item m="1" x="463"/>
        <item m="1" x="986"/>
        <item m="1" x="587"/>
        <item m="1" x="1099"/>
        <item m="1" x="561"/>
        <item m="1" x="1074"/>
        <item m="1" x="531"/>
        <item m="1" x="1043"/>
        <item m="1" x="503"/>
        <item m="1" x="1022"/>
        <item m="1" x="479"/>
        <item m="1" x="994"/>
        <item m="1" x="602"/>
        <item m="1" x="1121"/>
        <item m="1" x="582"/>
        <item m="1" x="1093"/>
        <item m="1" x="554"/>
        <item m="1" x="1070"/>
        <item m="1" x="526"/>
        <item m="1" x="1038"/>
        <item m="1" x="276"/>
        <item m="1" x="787"/>
        <item m="1" x="247"/>
        <item m="1" x="758"/>
        <item m="1" x="220"/>
        <item m="1" x="727"/>
        <item m="1" x="567"/>
        <item m="1" x="1079"/>
        <item m="1" x="536"/>
        <item m="1" x="1047"/>
        <item m="1" x="508"/>
        <item m="1" x="1025"/>
        <item m="1" x="483"/>
        <item m="1" x="997"/>
        <item m="1" x="459"/>
        <item m="1" x="1123"/>
        <item m="1" x="585"/>
        <item m="1" x="1095"/>
        <item m="1" x="557"/>
        <item m="1" x="1072"/>
        <item m="1" x="529"/>
        <item m="1" x="1040"/>
        <item m="1" x="501"/>
        <item m="1" x="1019"/>
        <item m="1" x="477"/>
        <item m="1" x="815"/>
        <item m="1" x="274"/>
        <item m="1" x="784"/>
        <item m="1" x="243"/>
        <item m="1" x="754"/>
        <item m="1" x="216"/>
        <item m="1" x="723"/>
        <item m="1" x="184"/>
        <item m="1" x="698"/>
        <item m="1" x="329"/>
        <item m="1" x="838"/>
        <item m="1" x="297"/>
        <item m="1" x="808"/>
        <item m="1" x="267"/>
        <item m="1" x="777"/>
        <item m="1" x="236"/>
        <item m="1" x="747"/>
        <item m="1" x="208"/>
        <item m="1" x="717"/>
        <item m="1" x="355"/>
        <item m="1" x="864"/>
        <item m="1" x="323"/>
        <item m="1" x="832"/>
        <item m="1" x="292"/>
        <item m="1" x="803"/>
        <item m="1" x="262"/>
        <item m="1" x="772"/>
        <item m="1" x="230"/>
        <item m="1" x="741"/>
        <item m="1" x="379"/>
        <item m="1" x="889"/>
        <item m="1" x="350"/>
        <item m="1" x="858"/>
        <item m="1" x="318"/>
        <item m="1" x="827"/>
        <item m="1" x="286"/>
        <item m="1" x="796"/>
        <item m="1" x="256"/>
        <item m="1" x="766"/>
        <item m="1" x="400"/>
        <item m="1" x="910"/>
        <item m="1" x="374"/>
        <item m="1" x="883"/>
        <item m="1" x="344"/>
        <item m="1" x="851"/>
        <item m="1" x="312"/>
        <item m="1" x="1101"/>
        <item m="1" x="563"/>
        <item m="1" x="1076"/>
        <item m="1" x="533"/>
        <item m="1" x="1045"/>
        <item m="1" x="505"/>
        <item m="1" x="178"/>
        <item m="1" x="201"/>
        <item m="1" x="225"/>
        <item m="1" x="251"/>
        <item m="1" x="277"/>
        <item m="1" x="304"/>
        <item m="1" x="332"/>
        <item m="1" x="358"/>
        <item m="1" x="381"/>
        <item m="1" x="207"/>
        <item m="1" x="229"/>
        <item m="1" x="255"/>
        <item m="1" x="28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714"/>
        <item m="1" x="739"/>
        <item m="1" x="764"/>
        <item m="1" x="791"/>
        <item m="1" x="443"/>
        <item m="1" x="470"/>
        <item m="1" x="518"/>
        <item m="1" x="569"/>
        <item m="1" x="605"/>
        <item m="1" x="632"/>
        <item m="1" x="652"/>
        <item m="1" x="669"/>
        <item m="1" x="682"/>
        <item m="1" x="709"/>
        <item m="1" x="444"/>
        <item m="1" x="471"/>
        <item m="1" x="519"/>
        <item m="1" x="570"/>
        <item m="1" x="606"/>
        <item m="1" x="633"/>
        <item m="1" x="653"/>
        <item m="1" x="670"/>
        <item m="1" x="683"/>
        <item m="1" x="710"/>
        <item m="1" x="159"/>
        <item m="1" x="195"/>
        <item m="1" x="973"/>
        <item m="1" x="1007"/>
        <item m="1" x="1056"/>
        <item m="1" x="1103"/>
        <item m="1" x="85"/>
        <item m="1" x="110"/>
        <item m="1" x="130"/>
        <item m="1" x="146"/>
        <item m="1" x="160"/>
        <item m="1" x="196"/>
        <item m="1" x="974"/>
        <item m="1" x="1008"/>
        <item m="1" x="1057"/>
        <item m="1" x="1104"/>
        <item m="1" x="86"/>
        <item m="1" x="111"/>
        <item m="1" x="131"/>
        <item m="1" x="147"/>
        <item m="1" x="161"/>
        <item m="1" x="197"/>
        <item m="1" x="975"/>
        <item m="1" x="1009"/>
        <item m="1" x="1058"/>
        <item m="1" x="1105"/>
        <item m="1" x="87"/>
        <item m="1" x="112"/>
        <item m="1" x="132"/>
        <item m="1" x="148"/>
        <item m="1" x="162"/>
        <item m="1" x="198"/>
        <item m="1" x="976"/>
        <item m="1" x="1010"/>
        <item m="1" x="1059"/>
        <item m="1" x="1106"/>
        <item m="1" x="88"/>
        <item m="1" x="113"/>
        <item m="1" x="133"/>
        <item m="1" x="149"/>
        <item m="1" x="163"/>
        <item m="1" x="199"/>
        <item m="1" x="977"/>
        <item m="1" x="1011"/>
        <item m="1" x="1060"/>
        <item m="1" x="1107"/>
        <item m="1" x="89"/>
        <item m="1" x="114"/>
        <item m="1" x="134"/>
        <item m="1" x="150"/>
        <item m="1" x="164"/>
        <item m="1" x="200"/>
        <item m="1" x="978"/>
        <item m="1" x="1012"/>
        <item m="1" x="1061"/>
        <item m="1" x="1108"/>
        <item m="1" x="90"/>
        <item m="1" x="115"/>
        <item m="1" x="135"/>
        <item m="1" x="167"/>
        <item m="1" x="206"/>
        <item m="1" x="979"/>
        <item m="1" x="1013"/>
        <item m="1" x="1062"/>
        <item m="1" x="1109"/>
        <item m="1" x="91"/>
        <item m="1" x="116"/>
        <item m="1" x="136"/>
        <item m="1" x="151"/>
        <item m="1" x="173"/>
        <item m="1" x="214"/>
        <item m="1" x="154"/>
        <item m="1" x="288"/>
        <item m="1" x="346"/>
        <item m="1" x="396"/>
        <item m="1" x="427"/>
        <item m="1" x="439"/>
        <item m="1" x="445"/>
        <item m="1" x="472"/>
        <item m="1" x="155"/>
        <item m="1" x="930"/>
        <item m="1" x="955"/>
        <item m="1" x="967"/>
        <item m="1" x="498"/>
        <item m="1" x="1016"/>
        <item m="1" x="616"/>
        <item m="1" x="82"/>
        <item m="1" x="599"/>
        <item m="1" x="1118"/>
        <item m="1" x="578"/>
        <item m="1" x="1089"/>
        <item m="1" x="550"/>
        <item m="1" x="1066"/>
        <item m="1" x="522"/>
        <item m="1" x="1033"/>
        <item m="1" x="628"/>
        <item m="1" x="99"/>
        <item m="1" x="613"/>
        <item m="1" x="78"/>
        <item m="1" x="595"/>
        <item m="1" x="1114"/>
        <item m="1" x="574"/>
        <item m="1" x="1084"/>
        <item m="1" x="545"/>
        <item m="1" x="1063"/>
        <item m="1" x="638"/>
        <item m="1" x="106"/>
        <item m="1" x="625"/>
        <item m="1" x="96"/>
        <item m="1" x="610"/>
        <item m="1" x="74"/>
        <item m="1" x="591"/>
        <item m="1" x="1111"/>
        <item m="1" x="571"/>
        <item m="1" x="1082"/>
        <item m="1" x="647"/>
        <item m="1" x="120"/>
        <item m="1" x="636"/>
        <item m="1" x="103"/>
        <item m="1" x="622"/>
        <item m="1" x="94"/>
        <item m="1" x="608"/>
        <item m="1" x="73"/>
        <item m="1" x="590"/>
        <item m="1" x="1110"/>
        <item m="1" x="656"/>
        <item m="1" x="125"/>
        <item m="1" x="645"/>
        <item m="1" x="118"/>
        <item m="1" x="635"/>
        <item m="1" x="102"/>
        <item m="1" x="621"/>
        <item m="1" x="93"/>
        <item m="1" x="607"/>
        <item m="1" x="72"/>
        <item m="1" x="663"/>
        <item m="1" x="138"/>
        <item m="1" x="655"/>
        <item m="1" x="124"/>
        <item m="1" x="644"/>
        <item m="1" x="117"/>
        <item m="1" x="634"/>
        <item m="1" x="101"/>
        <item m="1" x="188"/>
        <item m="1" x="702"/>
        <item m="1" x="171"/>
        <item m="1" x="839"/>
        <item m="1" x="299"/>
        <item m="1" x="810"/>
        <item m="1" x="269"/>
        <item m="1" x="779"/>
        <item m="1" x="238"/>
        <item m="1" x="749"/>
        <item m="1" x="210"/>
        <item m="1" x="719"/>
        <item m="1" x="181"/>
        <item m="1" x="865"/>
        <item m="1" x="325"/>
        <item m="1" x="834"/>
        <item m="1" x="294"/>
        <item m="1" x="805"/>
        <item m="1" x="264"/>
        <item m="1" x="774"/>
        <item m="1" x="233"/>
        <item m="1" x="744"/>
        <item m="1" x="204"/>
        <item m="1" x="890"/>
        <item m="1" x="352"/>
        <item m="1" x="861"/>
        <item m="1" x="320"/>
        <item m="1" x="829"/>
        <item m="1" x="289"/>
        <item m="1" x="799"/>
        <item m="1" x="259"/>
        <item m="1" x="769"/>
        <item m="1" x="227"/>
        <item m="1" x="911"/>
        <item m="1" x="376"/>
        <item m="1" x="886"/>
        <item m="1" x="347"/>
        <item m="1" x="854"/>
        <item m="1" x="315"/>
        <item m="1" x="823"/>
        <item m="1" x="283"/>
        <item m="1" x="794"/>
        <item m="1" x="253"/>
        <item m="1" x="928"/>
        <item m="1" x="397"/>
        <item m="1" x="906"/>
        <item m="1" x="371"/>
        <item m="1" x="879"/>
        <item m="1" x="341"/>
        <item m="1" x="848"/>
        <item m="1" x="309"/>
        <item m="1" x="819"/>
        <item m="1" x="279"/>
        <item m="1" x="942"/>
        <item m="1" x="413"/>
        <item m="1" x="924"/>
        <item m="1" x="392"/>
        <item m="1" x="901"/>
        <item m="1" x="366"/>
        <item m="1" x="874"/>
        <item m="1" x="337"/>
        <item m="1" x="845"/>
        <item m="1" x="306"/>
        <item m="1" x="952"/>
        <item m="1" x="424"/>
        <item m="1" x="939"/>
        <item m="1" x="409"/>
        <item m="1" x="920"/>
        <item m="1" x="388"/>
        <item m="1" x="897"/>
        <item m="1" x="362"/>
        <item m="1" x="871"/>
        <item m="1" x="334"/>
        <item m="1" x="960"/>
        <item m="1" x="432"/>
        <item m="1" x="949"/>
        <item m="1" x="420"/>
        <item m="1" x="935"/>
        <item m="1" x="405"/>
        <item m="1" x="917"/>
        <item m="1" x="385"/>
        <item m="1" x="894"/>
        <item m="1" x="359"/>
        <item m="1" x="965"/>
        <item m="1" x="436"/>
        <item m="1" x="958"/>
        <item m="1" x="429"/>
        <item m="1" x="946"/>
        <item m="1" x="417"/>
        <item m="1" x="932"/>
        <item m="1" x="402"/>
        <item m="1" x="914"/>
        <item m="1" x="382"/>
        <item m="1" x="868"/>
        <item m="1" x="330"/>
        <item m="1" x="840"/>
        <item m="1" x="300"/>
        <item m="1" x="811"/>
        <item m="1" x="270"/>
        <item m="1" x="780"/>
        <item m="1" x="239"/>
        <item m="1" x="750"/>
        <item m="1" x="211"/>
        <item m="1" x="892"/>
        <item m="1" x="356"/>
        <item m="1" x="866"/>
        <item m="1" x="326"/>
        <item m="1" x="835"/>
        <item m="1" x="295"/>
        <item m="1" x="806"/>
        <item m="1" x="265"/>
        <item m="1" x="775"/>
        <item m="1" x="234"/>
        <item m="1" x="913"/>
        <item m="1" x="380"/>
        <item m="1" x="891"/>
        <item m="1" x="353"/>
        <item m="1" x="862"/>
        <item m="1" x="321"/>
        <item m="1" x="830"/>
        <item m="1" x="290"/>
        <item m="1" x="800"/>
        <item m="1" x="260"/>
        <item m="1" x="931"/>
        <item m="1" x="401"/>
        <item m="1" x="912"/>
        <item m="1" x="377"/>
        <item m="1" x="887"/>
        <item m="1" x="348"/>
        <item m="1" x="855"/>
        <item m="1" x="316"/>
        <item m="1" x="824"/>
        <item m="1" x="284"/>
        <item m="1" x="944"/>
        <item m="1" x="416"/>
        <item m="1" x="929"/>
        <item m="1" x="398"/>
        <item m="1" x="907"/>
        <item m="1" x="372"/>
        <item m="1" x="880"/>
        <item m="1" x="342"/>
        <item m="1" x="849"/>
        <item m="1" x="310"/>
        <item m="1" x="954"/>
        <item m="1" x="428"/>
        <item m="1" x="943"/>
        <item m="1" x="414"/>
        <item m="1" x="925"/>
        <item m="1" x="393"/>
        <item m="1" x="902"/>
        <item m="1" x="367"/>
        <item m="1" x="875"/>
        <item m="1" x="338"/>
        <item m="1" x="962"/>
        <item m="1" x="435"/>
        <item m="1" x="953"/>
        <item m="1" x="425"/>
        <item m="1" x="940"/>
        <item m="1" x="410"/>
        <item m="1" x="921"/>
        <item m="1" x="389"/>
        <item m="1" x="898"/>
        <item m="1" x="363"/>
        <item m="1" x="966"/>
        <item m="1" x="438"/>
        <item m="1" x="961"/>
        <item m="1" x="433"/>
        <item m="1" x="950"/>
        <item m="1" x="421"/>
        <item m="1" x="936"/>
        <item m="1" x="406"/>
        <item m="1" x="246"/>
        <item m="1" x="757"/>
        <item m="1" x="219"/>
        <item m="1" x="726"/>
        <item m="1" x="187"/>
        <item m="1" x="701"/>
        <item m="1" x="170"/>
        <item m="1" x="685"/>
        <item m="1" x="1050"/>
        <item m="1" x="511"/>
        <item m="1" x="1028"/>
        <item m="1" x="486"/>
        <item m="1" x="1000"/>
        <item m="1" x="462"/>
        <item m="1" x="984"/>
        <item m="1" x="447"/>
        <item m="1" x="968"/>
        <item m="1" x="560"/>
        <item m="1" x="786"/>
        <item m="1" x="245"/>
        <item m="1" x="756"/>
        <item m="1" x="218"/>
        <item m="1" x="725"/>
        <item m="1" x="186"/>
        <item m="1" x="700"/>
        <item m="1" x="169"/>
        <item m="1" x="684"/>
        <item m="1" x="298"/>
        <item m="1" x="809"/>
        <item m="1" x="268"/>
        <item m="1" x="778"/>
        <item m="1" x="237"/>
        <item m="1" x="748"/>
        <item m="1" x="209"/>
        <item m="1" x="718"/>
        <item m="1" x="179"/>
        <item m="1" x="694"/>
        <item m="1" x="324"/>
        <item m="1" x="833"/>
        <item m="1" x="293"/>
        <item m="1" x="804"/>
        <item m="1" x="263"/>
        <item m="1" x="773"/>
        <item m="1" x="231"/>
        <item m="1" x="742"/>
        <item m="1" x="202"/>
        <item m="1" x="711"/>
        <item m="1" x="351"/>
        <item m="1" x="859"/>
        <item m="1" x="319"/>
        <item m="1" x="828"/>
        <item m="1" x="287"/>
        <item m="1" x="797"/>
        <item m="1" x="257"/>
        <item m="1" x="767"/>
        <item m="1" x="226"/>
        <item m="1" x="737"/>
        <item m="1" x="375"/>
        <item m="1" x="884"/>
        <item m="1" x="345"/>
        <item m="1" x="852"/>
        <item m="1" x="313"/>
        <item m="1" x="821"/>
        <item m="1" x="282"/>
        <item m="1" x="793"/>
        <item m="1" x="252"/>
        <item m="1" x="762"/>
        <item m="1" x="395"/>
        <item m="1" x="904"/>
        <item m="1" x="369"/>
        <item m="1" x="877"/>
        <item m="1" x="340"/>
        <item m="1" x="847"/>
        <item m="1" x="308"/>
        <item m="1" x="818"/>
        <item m="1" x="278"/>
        <item m="1" x="790"/>
        <item m="1" x="412"/>
        <item m="1" x="923"/>
        <item m="1" x="391"/>
        <item m="1" x="900"/>
        <item m="1" x="365"/>
        <item m="1" x="873"/>
        <item m="1" x="336"/>
        <item m="1" x="844"/>
        <item m="1" x="305"/>
        <item m="1" x="816"/>
        <item m="1" x="423"/>
        <item m="1" x="938"/>
        <item m="1" x="408"/>
        <item m="1" x="919"/>
        <item m="1" x="387"/>
        <item m="1" x="896"/>
        <item m="1" x="361"/>
        <item m="1" x="870"/>
        <item m="1" x="333"/>
        <item m="1" x="842"/>
        <item m="1" x="431"/>
        <item m="1" x="948"/>
        <item m="1" x="419"/>
        <item m="1" x="934"/>
        <item m="1" x="404"/>
        <item m="1" x="916"/>
        <item m="1" x="384"/>
        <item m="1" x="538"/>
        <item m="1" x="1049"/>
        <item m="1" x="510"/>
        <item m="1" x="1027"/>
        <item m="1" x="485"/>
        <item m="1" x="999"/>
        <item m="1" x="461"/>
        <item m="1" x="983"/>
        <item m="1" x="446"/>
        <item m="1" x="1097"/>
        <item m="1" x="559"/>
        <item m="1" x="1073"/>
        <item m="1" x="530"/>
        <item m="1" x="1041"/>
        <item m="1" x="502"/>
        <item m="1" x="1020"/>
        <item m="1" x="478"/>
        <item m="1" x="992"/>
        <item m="1" x="455"/>
        <item m="1" x="1120"/>
        <item m="1" x="581"/>
        <item m="1" x="1091"/>
        <item m="1" x="553"/>
        <item m="1" x="1068"/>
        <item m="1" x="525"/>
        <item m="1" x="1036"/>
        <item m="1" x="496"/>
        <item m="1" x="1014"/>
        <item m="1" x="473"/>
        <item m="1" x="80"/>
        <item m="1" x="598"/>
        <item m="1" x="1116"/>
        <item m="1" x="577"/>
        <item m="1" x="1087"/>
        <item m="1" x="548"/>
        <item m="1" x="275"/>
        <item m="1" x="785"/>
        <item m="1" x="244"/>
        <item m="1" x="755"/>
        <item m="1" x="217"/>
        <item m="1" x="724"/>
        <item m="1" x="185"/>
        <item m="1" x="699"/>
        <item m="1" x="1080"/>
        <item m="1" x="537"/>
        <item m="1" x="1048"/>
        <item m="1" x="509"/>
        <item m="1" x="1026"/>
        <item m="1" x="484"/>
        <item m="1" x="998"/>
        <item m="1" x="460"/>
        <item m="1" x="982"/>
        <item m="1" x="586"/>
        <item m="1" x="1096"/>
        <item m="1" x="540"/>
        <item m="1" x="1053"/>
        <item m="1" x="513"/>
        <item m="1" x="250"/>
        <item m="1" x="761"/>
        <item m="1" x="223"/>
        <item m="1" x="730"/>
        <item m="1" x="191"/>
        <item m="1" x="1055"/>
        <item m="1" x="516"/>
        <item m="1" x="1032"/>
        <item m="1" x="491"/>
        <item m="1" x="1005"/>
        <item m="1" x="467"/>
        <item m="1" x="989"/>
        <item m="1" x="451"/>
        <item m="1" x="970"/>
        <item m="1" x="566"/>
        <item m="1" x="1078"/>
        <item m="1" x="789"/>
        <item m="1" x="249"/>
        <item m="1" x="760"/>
        <item m="1" x="222"/>
        <item m="1" x="729"/>
        <item m="1" x="190"/>
        <item m="1" x="704"/>
        <item m="1" x="174"/>
        <item m="1" x="688"/>
        <item m="1" x="303"/>
        <item m="1" x="814"/>
        <item m="1" x="273"/>
        <item m="1" x="783"/>
        <item m="1" x="242"/>
        <item m="1" x="753"/>
        <item m="1" x="215"/>
        <item m="1" x="722"/>
        <item m="1" x="183"/>
        <item m="1" x="542"/>
        <item m="1" x="1054"/>
        <item m="1" x="515"/>
        <item m="1" x="1031"/>
        <item m="1" x="490"/>
        <item m="1" x="1004"/>
        <item m="1" x="466"/>
        <item m="1" x="988"/>
        <item m="1" x="450"/>
        <item m="1" x="1102"/>
        <item m="1" x="565"/>
        <item m="1" x="1077"/>
        <item m="1" x="535"/>
        <item m="1" x="1046"/>
        <item m="1" x="507"/>
        <item m="1" x="1024"/>
        <item m="1" x="482"/>
        <item m="1" x="996"/>
        <item m="1" x="731"/>
        <item m="1" x="558"/>
        <item m="1" x="168"/>
        <item x="33"/>
        <item x="34"/>
        <item x="35"/>
        <item x="36"/>
        <item m="1" x="945"/>
        <item m="1" x="957"/>
        <item m="1" x="964"/>
        <item m="1" x="860"/>
        <item m="1" x="885"/>
        <item m="1" x="905"/>
        <item m="1" x="620"/>
        <item m="1" x="92"/>
        <item m="1" x="671"/>
        <item m="1" x="141"/>
        <item m="1" x="662"/>
        <item m="1" x="137"/>
        <item m="1" x="654"/>
        <item m="1" x="123"/>
        <item m="1" x="643"/>
        <item m="1" x="1030"/>
        <item m="1" x="488"/>
        <item m="1" x="1003"/>
        <item m="1" x="464"/>
        <item m="1" x="987"/>
        <item m="1" x="448"/>
        <item m="1" x="1100"/>
        <item m="1" x="562"/>
        <item m="1" x="1075"/>
        <item m="1" x="532"/>
        <item m="1" x="1044"/>
        <item m="1" x="504"/>
        <item m="1" x="1023"/>
        <item m="1" x="480"/>
        <item m="1" x="995"/>
        <item m="1" x="457"/>
        <item m="1" x="1122"/>
        <item m="1" x="583"/>
        <item m="1" x="1094"/>
        <item m="1" x="555"/>
        <item m="1" x="1071"/>
        <item m="1" x="527"/>
        <item m="1" x="1039"/>
        <item m="1" x="499"/>
        <item m="1" x="1017"/>
        <item m="1" x="475"/>
        <item m="1" x="83"/>
        <item m="1" x="600"/>
        <item m="1" x="1119"/>
        <item m="1" x="579"/>
        <item m="1" x="1090"/>
        <item m="1" x="551"/>
        <item m="1" x="1067"/>
        <item m="1" x="523"/>
        <item m="1" x="1034"/>
        <item m="1" x="494"/>
        <item m="1" x="100"/>
        <item m="1" x="614"/>
        <item m="1" x="79"/>
        <item m="1" x="596"/>
        <item m="1" x="1115"/>
        <item m="1" x="575"/>
        <item m="1" x="1085"/>
        <item m="1" x="546"/>
        <item m="1" x="1064"/>
        <item m="1" x="520"/>
        <item m="1" x="107"/>
        <item m="1" x="626"/>
        <item m="1" x="97"/>
        <item m="1" x="611"/>
        <item m="1" x="75"/>
        <item m="1" x="592"/>
        <item m="1" x="1112"/>
        <item m="1" x="572"/>
        <item m="1" x="1083"/>
        <item m="1" x="544"/>
        <item m="1" x="121"/>
        <item m="1" x="788"/>
        <item m="1" x="248"/>
        <item m="1" x="759"/>
        <item m="1" x="221"/>
        <item m="1" x="728"/>
        <item m="1" x="189"/>
        <item m="1" x="703"/>
        <item m="1" x="172"/>
        <item m="1" x="687"/>
        <item m="1" x="301"/>
        <item m="1" x="812"/>
        <item m="1" x="271"/>
        <item m="1" x="781"/>
        <item m="1" x="240"/>
        <item m="1" x="751"/>
        <item m="1" x="212"/>
        <item m="1" x="720"/>
        <item m="1" x="182"/>
        <item m="1" x="696"/>
        <item m="1" x="327"/>
        <item m="1" x="836"/>
        <item m="1" x="296"/>
        <item m="1" x="807"/>
        <item m="1" x="266"/>
        <item m="1" x="776"/>
        <item m="1" x="235"/>
        <item m="1" x="745"/>
        <item m="1" x="205"/>
        <item m="1" x="715"/>
        <item m="1" x="354"/>
        <item m="1" x="863"/>
        <item m="1" x="322"/>
        <item m="1" x="831"/>
        <item m="1" x="291"/>
        <item m="1" x="801"/>
        <item m="1" x="261"/>
        <item m="1" x="770"/>
        <item m="1" x="228"/>
        <item m="1" x="740"/>
        <item m="1" x="378"/>
        <item m="1" x="888"/>
        <item m="1" x="349"/>
        <item m="1" x="856"/>
        <item m="1" x="317"/>
        <item m="1" x="825"/>
        <item m="1" x="285"/>
        <item m="1" x="795"/>
        <item m="1" x="254"/>
        <item m="1" x="765"/>
        <item m="1" x="399"/>
        <item m="1" x="908"/>
        <item m="1" x="373"/>
        <item m="1" x="881"/>
        <item m="1" x="343"/>
        <item m="1" x="850"/>
        <item m="1" x="311"/>
        <item m="1" x="820"/>
        <item m="1" x="280"/>
        <item m="1" x="792"/>
        <item m="1" x="415"/>
        <item m="1" x="926"/>
        <item m="1" x="394"/>
        <item m="1" x="903"/>
        <item m="1" x="368"/>
        <item m="1" x="876"/>
        <item m="1" x="339"/>
        <item m="1" x="846"/>
        <item m="1" x="307"/>
        <item m="1" x="817"/>
        <item m="1" x="426"/>
        <item m="1" x="941"/>
        <item m="1" x="411"/>
        <item m="1" x="922"/>
        <item m="1" x="390"/>
        <item m="1" x="899"/>
        <item m="1" x="364"/>
        <item m="1" x="872"/>
        <item m="1" x="335"/>
        <item m="1" x="843"/>
        <item m="1" x="434"/>
        <item m="1" x="951"/>
        <item m="1" x="422"/>
        <item m="1" x="937"/>
        <item m="1" x="407"/>
        <item m="1" x="918"/>
        <item m="1" x="386"/>
        <item m="1" x="895"/>
        <item m="1" x="360"/>
        <item m="1" x="869"/>
        <item m="1" x="437"/>
        <item m="1" x="959"/>
        <item m="1" x="430"/>
        <item m="1" x="947"/>
        <item m="1" x="418"/>
        <item m="1" x="933"/>
        <item m="1" x="403"/>
        <item m="1" x="915"/>
        <item m="1" x="383"/>
        <item m="1" x="893"/>
        <item m="1" x="331"/>
        <item m="1" x="841"/>
        <item m="1" x="302"/>
        <item m="1" x="813"/>
        <item m="1" x="272"/>
        <item m="1" x="782"/>
        <item m="1" x="241"/>
        <item m="1" x="752"/>
        <item m="1" x="213"/>
        <item m="1" x="721"/>
        <item m="1" x="357"/>
        <item m="1" x="867"/>
        <item m="1" x="328"/>
        <item m="1" x="837"/>
        <item x="71"/>
        <item m="1" x="713"/>
        <item m="1" x="738"/>
        <item m="1" x="763"/>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axis="axisRow" compact="0" outline="0" showAll="0" defaultSubtotal="0">
      <items count="1505">
        <item m="1" x="589"/>
        <item m="1" x="728"/>
        <item m="1" x="1036"/>
        <item m="1" x="628"/>
        <item m="1" x="340"/>
        <item m="1" x="978"/>
        <item m="1" x="701"/>
        <item m="1" x="236"/>
        <item m="1" x="876"/>
        <item m="1" x="1070"/>
        <item m="1" x="706"/>
        <item m="1" x="1364"/>
        <item m="1" x="824"/>
        <item m="1" x="330"/>
        <item m="1" x="609"/>
        <item m="1" x="405"/>
        <item m="1" x="473"/>
        <item m="1" x="272"/>
        <item m="1" x="240"/>
        <item m="1" x="1381"/>
        <item m="1" x="353"/>
        <item m="1" x="137"/>
        <item m="1" x="1190"/>
        <item m="1" x="526"/>
        <item m="1" x="1422"/>
        <item m="1" x="830"/>
        <item m="1" x="339"/>
        <item m="1" x="1118"/>
        <item m="1" x="723"/>
        <item m="1" x="118"/>
        <item m="1" x="119"/>
        <item m="1" x="574"/>
        <item m="1" x="283"/>
        <item m="1" x="284"/>
        <item m="1" x="1001"/>
        <item m="1" x="1372"/>
        <item m="1" x="1135"/>
        <item m="1" x="310"/>
        <item m="1" x="1220"/>
        <item m="1" x="975"/>
        <item m="1" x="264"/>
        <item m="1" x="1309"/>
        <item m="1" x="458"/>
        <item m="1" x="779"/>
        <item m="1" x="201"/>
        <item m="1" x="827"/>
        <item m="1" x="1086"/>
        <item m="1" x="408"/>
        <item m="1" x="590"/>
        <item m="1" x="1425"/>
        <item m="1" x="492"/>
        <item m="1" x="1203"/>
        <item m="1" x="600"/>
        <item x="11"/>
        <item m="1" x="345"/>
        <item m="1" x="983"/>
        <item m="1" x="358"/>
        <item m="1" x="258"/>
        <item m="1" x="1023"/>
        <item m="1" x="675"/>
        <item m="1" x="144"/>
        <item m="1" x="267"/>
        <item m="1" x="1213"/>
        <item m="1" x="569"/>
        <item m="1" x="1030"/>
        <item m="1" x="289"/>
        <item m="1" x="286"/>
        <item m="1" x="1028"/>
        <item m="1" x="1006"/>
        <item m="1" x="529"/>
        <item m="1" x="452"/>
        <item m="1" x="523"/>
        <item m="1" x="278"/>
        <item m="1" x="1265"/>
        <item m="1" x="460"/>
        <item m="1" x="302"/>
        <item m="1" x="1106"/>
        <item m="1" x="1002"/>
        <item m="1" x="1087"/>
        <item m="1" x="775"/>
        <item m="1" x="359"/>
        <item m="1" x="627"/>
        <item m="1" x="652"/>
        <item m="1" x="309"/>
        <item m="1" x="869"/>
        <item m="1" x="587"/>
        <item m="1" x="1119"/>
        <item m="1" x="341"/>
        <item m="1" x="762"/>
        <item m="1" x="1178"/>
        <item m="1" x="805"/>
        <item m="1" x="710"/>
        <item m="1" x="711"/>
        <item m="1" x="1095"/>
        <item m="1" x="111"/>
        <item m="1" x="546"/>
        <item m="1" x="1377"/>
        <item m="1" x="1481"/>
        <item m="1" x="518"/>
        <item m="1" x="203"/>
        <item m="1" x="924"/>
        <item m="1" x="544"/>
        <item m="1" x="734"/>
        <item m="1" x="1091"/>
        <item m="1" x="519"/>
        <item m="1" x="727"/>
        <item m="1" x="691"/>
        <item m="1" x="905"/>
        <item m="1" x="767"/>
        <item m="1" x="204"/>
        <item m="1" x="472"/>
        <item m="1" x="1321"/>
        <item m="1" x="224"/>
        <item m="1" x="679"/>
        <item m="1" x="1153"/>
        <item m="1" x="206"/>
        <item sd="0" m="1" x="621"/>
        <item m="1" x="1192"/>
        <item m="1" x="485"/>
        <item m="1" x="619"/>
        <item m="1" x="200"/>
        <item m="1" x="610"/>
        <item m="1" x="952"/>
        <item m="1" x="1441"/>
        <item m="1" x="1262"/>
        <item m="1" x="1201"/>
        <item m="1" x="1051"/>
        <item m="1" x="1328"/>
        <item m="1" x="1189"/>
        <item m="1" x="499"/>
        <item m="1" x="490"/>
        <item m="1" x="336"/>
        <item m="1" x="813"/>
        <item m="1" x="1311"/>
        <item m="1" x="645"/>
        <item m="1" x="1229"/>
        <item m="1" x="211"/>
        <item m="1" x="296"/>
        <item m="1" x="1249"/>
        <item m="1" x="623"/>
        <item m="1" x="1259"/>
        <item m="1" x="1396"/>
        <item m="1" x="588"/>
        <item m="1" x="383"/>
        <item m="1" x="1149"/>
        <item m="1" x="394"/>
        <item m="1" x="425"/>
        <item m="1" x="640"/>
        <item m="1" x="314"/>
        <item m="1" x="1410"/>
        <item m="1" x="271"/>
        <item m="1" x="498"/>
        <item m="1" x="885"/>
        <item m="1" x="385"/>
        <item m="1" x="1038"/>
        <item m="1" x="178"/>
        <item m="1" x="346"/>
        <item m="1" x="776"/>
        <item m="1" x="146"/>
        <item m="1" x="934"/>
        <item m="1" x="194"/>
        <item m="1" x="395"/>
        <item m="1" x="707"/>
        <item m="1" x="1409"/>
        <item m="1" x="708"/>
        <item m="1" x="1263"/>
        <item m="1" x="823"/>
        <item sd="0" x="47"/>
        <item m="1" x="973"/>
        <item m="1" x="950"/>
        <item m="1" x="936"/>
        <item m="1" x="288"/>
        <item m="1" x="401"/>
        <item m="1" x="1353"/>
        <item m="1" x="285"/>
        <item m="1" x="455"/>
        <item m="1" x="1145"/>
        <item m="1" x="954"/>
        <item m="1" x="542"/>
        <item m="1" x="115"/>
        <item m="1" x="252"/>
        <item m="1" x="131"/>
        <item m="1" x="213"/>
        <item m="1" x="570"/>
        <item m="1" x="229"/>
        <item m="1" x="270"/>
        <item m="1" x="300"/>
        <item m="1" x="979"/>
        <item m="1" x="1142"/>
        <item m="1" x="1179"/>
        <item m="1" x="1335"/>
        <item m="1" x="120"/>
        <item m="1" x="1180"/>
        <item m="1" x="1336"/>
        <item m="1" x="121"/>
        <item m="1" x="325"/>
        <item m="1" x="470"/>
        <item m="1" x="1147"/>
        <item m="1" x="1341"/>
        <item m="1" x="1446"/>
        <item x="3"/>
        <item m="1" x="1362"/>
        <item m="1" x="608"/>
        <item m="1" x="981"/>
        <item m="1" x="1040"/>
        <item m="1" x="1317"/>
        <item m="1" x="1099"/>
        <item m="1" x="481"/>
        <item m="1" x="837"/>
        <item m="1" x="736"/>
        <item m="1" x="475"/>
        <item m="1" x="469"/>
        <item m="1" x="1027"/>
        <item m="1" x="760"/>
        <item m="1" x="230"/>
        <item m="1" x="995"/>
        <item m="1" x="1208"/>
        <item m="1" x="503"/>
        <item m="1" x="388"/>
        <item m="1" x="953"/>
        <item m="1" x="962"/>
        <item m="1" x="686"/>
        <item m="1" x="1283"/>
        <item m="1" x="1108"/>
        <item m="1" x="1264"/>
        <item m="1" x="1133"/>
        <item m="1" x="1032"/>
        <item m="1" x="769"/>
        <item m="1" x="1450"/>
        <item m="1" x="702"/>
        <item m="1" x="217"/>
        <item m="1" x="371"/>
        <item x="10"/>
        <item m="1" x="1495"/>
        <item m="1" x="362"/>
        <item m="1" x="172"/>
        <item m="1" x="515"/>
        <item m="1" x="1488"/>
        <item m="1" x="500"/>
        <item m="1" x="1401"/>
        <item m="1" x="157"/>
        <item m="1" x="568"/>
        <item m="1" x="581"/>
        <item m="1" x="630"/>
        <item m="1" x="368"/>
        <item m="1" x="1400"/>
        <item m="1" x="1390"/>
        <item m="1" x="1089"/>
        <item m="1" x="576"/>
        <item m="1" x="372"/>
        <item m="1" x="752"/>
        <item m="1" x="255"/>
        <item m="1" x="836"/>
        <item m="1" x="853"/>
        <item m="1" x="1301"/>
        <item m="1" x="317"/>
        <item m="1" x="462"/>
        <item m="1" x="257"/>
        <item m="1" x="210"/>
        <item m="1" x="1069"/>
        <item m="1" x="1501"/>
        <item m="1" x="265"/>
        <item m="1" x="1222"/>
        <item m="1" x="774"/>
        <item m="1" x="479"/>
        <item m="1" x="968"/>
        <item m="1" x="858"/>
        <item m="1" x="1462"/>
        <item m="1" x="189"/>
        <item m="1" x="366"/>
        <item m="1" x="397"/>
        <item m="1" x="1167"/>
        <item m="1" x="646"/>
        <item m="1" x="866"/>
        <item m="1" x="955"/>
        <item m="1" x="1157"/>
        <item m="1" x="899"/>
        <item m="1" x="1434"/>
        <item m="1" x="369"/>
        <item m="1" x="450"/>
        <item x="30"/>
        <item m="1" x="844"/>
        <item m="1" x="1352"/>
        <item m="1" x="1015"/>
        <item m="1" x="994"/>
        <item m="1" x="489"/>
        <item m="1" x="871"/>
        <item m="1" x="248"/>
        <item m="1" x="976"/>
        <item m="1" x="578"/>
        <item m="1" x="328"/>
        <item m="1" x="681"/>
        <item m="1" x="167"/>
        <item m="1" x="712"/>
        <item m="1" x="605"/>
        <item m="1" x="1168"/>
        <item m="1" x="1219"/>
        <item m="1" x="1376"/>
        <item m="1" x="537"/>
        <item m="1" x="988"/>
        <item m="1" x="234"/>
        <item m="1" x="944"/>
        <item m="1" x="703"/>
        <item m="1" x="631"/>
        <item m="1" x="453"/>
        <item m="1" x="1034"/>
        <item m="1" x="841"/>
        <item m="1" x="1115"/>
        <item m="1" x="316"/>
        <item m="1" x="847"/>
        <item m="1" x="848"/>
        <item m="1" x="946"/>
        <item m="1" x="1419"/>
        <item m="1" x="1114"/>
        <item m="1" x="329"/>
        <item m="1" x="969"/>
        <item m="1" x="1185"/>
        <item m="1" x="129"/>
        <item m="1" x="1417"/>
        <item m="1" x="1256"/>
        <item m="1" x="1412"/>
        <item m="1" x="1093"/>
        <item m="1" x="1363"/>
        <item m="1" x="1475"/>
        <item m="1" x="1329"/>
        <item m="1" x="1338"/>
        <item m="1" x="766"/>
        <item m="1" x="951"/>
        <item m="1" x="777"/>
        <item m="1" x="1166"/>
        <item m="1" x="729"/>
        <item m="1" x="1281"/>
        <item m="1" x="436"/>
        <item m="1" x="602"/>
        <item m="1" x="1429"/>
        <item m="1" x="972"/>
        <item m="1" x="342"/>
        <item m="1" x="116"/>
        <item m="1" x="781"/>
        <item m="1" x="622"/>
        <item m="1" x="182"/>
        <item m="1" x="806"/>
        <item m="1" x="911"/>
        <item m="1" x="1170"/>
        <item x="32"/>
        <item m="1" x="357"/>
        <item m="1" x="1138"/>
        <item m="1" x="1005"/>
        <item m="1" x="1020"/>
        <item m="1" x="352"/>
        <item m="1" x="671"/>
        <item m="1" x="678"/>
        <item m="1" x="838"/>
        <item m="1" x="803"/>
        <item m="1" x="804"/>
        <item m="1" x="322"/>
        <item m="1" x="262"/>
        <item m="1" x="320"/>
        <item m="1" x="337"/>
        <item m="1" x="763"/>
        <item m="1" x="764"/>
        <item m="1" x="1483"/>
        <item m="1" x="1484"/>
        <item m="1" x="1128"/>
        <item m="1" x="722"/>
        <item m="1" x="457"/>
        <item m="1" x="1100"/>
        <item m="1" x="495"/>
        <item m="1" x="1227"/>
        <item m="1" x="491"/>
        <item m="1" x="1415"/>
        <item m="1" x="402"/>
        <item m="1" x="382"/>
        <item m="1" x="249"/>
        <item m="1" x="802"/>
        <item m="1" x="373"/>
        <item m="1" x="1375"/>
        <item m="1" x="1391"/>
        <item m="1" x="654"/>
        <item m="1" x="528"/>
        <item m="1" x="606"/>
        <item m="1" x="1485"/>
        <item m="1" x="128"/>
        <item m="1" x="1257"/>
        <item m="1" x="109"/>
        <item m="1" x="694"/>
        <item m="1" x="584"/>
        <item m="1" x="193"/>
        <item m="1" x="575"/>
        <item m="1" x="696"/>
        <item m="1" x="160"/>
        <item m="1" x="1411"/>
        <item m="1" x="787"/>
        <item m="1" x="601"/>
        <item m="1" x="1277"/>
        <item m="1" x="922"/>
        <item m="1" x="1072"/>
        <item m="1" x="1241"/>
        <item m="1" x="202"/>
        <item m="1" x="1337"/>
        <item m="1" x="501"/>
        <item m="1" x="620"/>
        <item m="1" x="870"/>
        <item m="1" x="1325"/>
        <item m="1" x="242"/>
        <item m="1" x="260"/>
        <item m="1" x="1431"/>
        <item m="1" x="961"/>
        <item m="1" x="888"/>
        <item m="1" x="742"/>
        <item m="1" x="207"/>
        <item m="1" x="1198"/>
        <item m="1" x="788"/>
        <item m="1" x="558"/>
        <item m="1" x="674"/>
        <item m="1" x="1420"/>
        <item m="1" x="980"/>
        <item m="1" x="232"/>
        <item m="1" x="507"/>
        <item m="1" x="104"/>
        <item m="1" x="333"/>
        <item m="1" x="171"/>
        <item m="1" x="292"/>
        <item m="1" x="1439"/>
        <item m="1" x="199"/>
        <item m="1" x="790"/>
        <item m="1" x="1346"/>
        <item m="1" x="1065"/>
        <item m="1" x="514"/>
        <item m="1" x="822"/>
        <item m="1" x="1244"/>
        <item m="1" x="1137"/>
        <item m="1" x="348"/>
        <item m="1" x="536"/>
        <item m="1" x="1156"/>
        <item m="1" x="755"/>
        <item m="1" x="798"/>
        <item m="1" x="845"/>
        <item m="1" x="1300"/>
        <item m="1" x="512"/>
        <item m="1" x="1399"/>
        <item m="1" x="356"/>
        <item m="1" x="280"/>
        <item m="1" x="313"/>
        <item m="1" x="463"/>
        <item m="1" x="1295"/>
        <item m="1" x="945"/>
        <item m="1" x="295"/>
        <item m="1" x="438"/>
        <item m="1" x="386"/>
        <item m="1" x="276"/>
        <item m="1" x="1048"/>
        <item m="1" x="277"/>
        <item m="1" x="1046"/>
        <item m="1" x="103"/>
        <item m="1" x="650"/>
        <item m="1" x="451"/>
        <item m="1" x="1011"/>
        <item m="1" x="251"/>
        <item m="1" x="161"/>
        <item m="1" x="1255"/>
        <item m="1" x="807"/>
        <item m="1" x="461"/>
        <item m="1" x="1405"/>
        <item m="1" x="403"/>
        <item m="1" x="919"/>
        <item m="1" x="571"/>
        <item m="1" x="1084"/>
        <item m="1" x="1082"/>
        <item m="1" x="1394"/>
        <item m="1" x="965"/>
        <item m="1" x="1215"/>
        <item m="1" x="446"/>
        <item m="1" x="233"/>
        <item m="1" x="753"/>
        <item m="1" x="987"/>
        <item m="1" x="1022"/>
        <item m="1" x="1164"/>
        <item m="1" x="541"/>
        <item m="1" x="1500"/>
        <item m="1" x="165"/>
        <item m="1" x="231"/>
        <item m="1" x="1144"/>
        <item m="1" x="412"/>
        <item m="1" x="817"/>
        <item m="1" x="586"/>
        <item m="1" x="1207"/>
        <item m="1" x="604"/>
        <item m="1" x="1502"/>
        <item m="1" x="1306"/>
        <item m="1" x="1085"/>
        <item m="1" x="1214"/>
        <item m="1" x="1242"/>
        <item m="1" x="1282"/>
        <item m="1" x="1303"/>
        <item m="1" x="293"/>
        <item m="1" x="294"/>
        <item m="1" x="1136"/>
        <item m="1" x="1103"/>
        <item m="1" x="854"/>
        <item m="1" x="530"/>
        <item m="1" x="471"/>
        <item m="1" x="493"/>
        <item m="1" x="105"/>
        <item m="1" x="531"/>
        <item m="1" x="406"/>
        <item m="1" x="1297"/>
        <item m="1" x="1188"/>
        <item m="1" x="563"/>
        <item m="1" x="441"/>
        <item m="1" x="1226"/>
        <item m="1" x="1331"/>
        <item m="1" x="347"/>
        <item m="1" x="572"/>
        <item m="1" x="1092"/>
        <item m="1" x="577"/>
        <item m="1" x="993"/>
        <item m="1" x="535"/>
        <item m="1" x="389"/>
        <item m="1" x="1113"/>
        <item m="1" x="559"/>
        <item m="1" x="1271"/>
        <item m="1" x="1270"/>
        <item m="1" x="410"/>
        <item m="1" x="908"/>
        <item m="1" x="662"/>
        <item m="1" x="1210"/>
        <item m="1" x="1356"/>
        <item m="1" x="134"/>
        <item m="1" x="275"/>
        <item m="1" x="984"/>
        <item m="1" x="521"/>
        <item m="1" x="520"/>
        <item m="1" x="1447"/>
        <item m="1" x="1448"/>
        <item m="1" x="1129"/>
        <item m="1" x="1342"/>
        <item m="1" x="868"/>
        <item m="1" x="967"/>
        <item m="1" x="174"/>
        <item m="1" x="184"/>
        <item m="1" x="474"/>
        <item m="1" x="1223"/>
        <item m="1" x="127"/>
        <item m="1" x="1224"/>
        <item m="1" x="758"/>
        <item m="1" x="1314"/>
        <item m="1" x="365"/>
        <item m="1" x="225"/>
        <item m="1" x="1397"/>
        <item m="1" x="1090"/>
        <item m="1" x="477"/>
        <item m="1" x="948"/>
        <item m="1" x="741"/>
        <item m="1" x="704"/>
        <item m="1" x="852"/>
        <item m="1" x="1308"/>
        <item m="1" x="1280"/>
        <item m="1" x="898"/>
        <item m="1" x="179"/>
        <item m="1" x="417"/>
        <item m="1" x="947"/>
        <item m="1" x="349"/>
        <item m="1" x="772"/>
        <item m="1" x="1236"/>
        <item m="1" x="253"/>
        <item m="1" x="192"/>
        <item m="1" x="1302"/>
        <item m="1" x="638"/>
        <item m="1" x="909"/>
        <item m="1" x="447"/>
        <item m="1" x="635"/>
        <item m="1" x="716"/>
        <item m="1" x="423"/>
        <item m="1" x="561"/>
        <item m="1" x="404"/>
        <item m="1" x="685"/>
        <item m="1" x="1047"/>
        <item m="1" x="1003"/>
        <item m="1" x="1493"/>
        <item m="1" x="689"/>
        <item m="1" x="261"/>
        <item m="1" x="756"/>
        <item m="1" x="1284"/>
        <item m="1" x="956"/>
        <item m="1" x="773"/>
        <item m="1" x="169"/>
        <item m="1" x="796"/>
        <item m="1" x="486"/>
        <item m="1" x="476"/>
        <item m="1" x="724"/>
        <item m="1" x="170"/>
        <item m="1" x="239"/>
        <item m="1" x="1389"/>
        <item m="1" x="1435"/>
        <item m="1" x="1035"/>
        <item m="1" x="1385"/>
        <item m="1" x="719"/>
        <item m="1" x="1140"/>
        <item m="1" x="117"/>
        <item m="1" x="1479"/>
        <item m="1" x="778"/>
        <item m="1" x="720"/>
        <item m="1" x="1120"/>
        <item m="1" x="903"/>
        <item m="1" x="344"/>
        <item m="1" x="637"/>
        <item m="1" x="1132"/>
        <item m="1" x="585"/>
        <item m="1" x="698"/>
        <item m="1" x="877"/>
        <item m="1" x="195"/>
        <item m="1" x="918"/>
        <item m="1" x="687"/>
        <item m="1" x="1260"/>
        <item m="1" x="1503"/>
        <item m="1" x="1031"/>
        <item m="1" x="828"/>
        <item m="1" x="1305"/>
        <item m="1" x="1202"/>
        <item m="1" x="173"/>
        <item m="1" x="737"/>
        <item m="1" x="656"/>
        <item m="1" x="533"/>
        <item m="1" x="989"/>
        <item m="1" x="839"/>
        <item m="1" x="1161"/>
        <item m="1" x="449"/>
        <item m="1" x="307"/>
        <item m="1" x="219"/>
        <item m="1" x="607"/>
        <item m="1" x="431"/>
        <item m="1" x="163"/>
        <item m="1" x="1045"/>
        <item m="1" x="456"/>
        <item m="1" x="851"/>
        <item m="1" x="649"/>
        <item m="1" x="483"/>
        <item m="1" x="982"/>
        <item m="1" x="1101"/>
        <item m="1" x="1018"/>
        <item m="1" x="1245"/>
        <item x="15"/>
        <item m="1" x="363"/>
        <item m="1" x="1239"/>
        <item m="1" x="846"/>
        <item m="1" x="1322"/>
        <item m="1" x="303"/>
        <item m="1" x="913"/>
        <item m="1" x="1110"/>
        <item m="1" x="1347"/>
        <item m="1" x="1251"/>
        <item m="1" x="381"/>
        <item m="1" x="991"/>
        <item m="1" x="1126"/>
        <item m="1" x="560"/>
        <item m="1" x="376"/>
        <item m="1" x="651"/>
        <item m="1" x="237"/>
        <item m="1" x="1152"/>
        <item m="1" x="926"/>
        <item m="1" x="222"/>
        <item m="1" x="1134"/>
        <item m="1" x="1163"/>
        <item m="1" x="135"/>
        <item m="1" x="335"/>
        <item m="1" x="709"/>
        <item m="1" x="188"/>
        <item m="1" x="439"/>
        <item m="1" x="1014"/>
        <item m="1" x="326"/>
        <item m="1" x="1258"/>
        <item m="1" x="818"/>
        <item m="1" x="676"/>
        <item m="1" x="971"/>
        <item m="1" x="668"/>
        <item m="1" x="690"/>
        <item m="1" x="664"/>
        <item m="1" x="901"/>
        <item m="1" x="565"/>
        <item m="1" x="287"/>
        <item m="1" x="1275"/>
        <item m="1" x="164"/>
        <item m="1" x="1171"/>
        <item m="1" x="393"/>
        <item m="1" x="865"/>
        <item m="1" x="1473"/>
        <item m="1" x="180"/>
        <item m="1" x="624"/>
        <item m="1" x="123"/>
        <item m="1" x="882"/>
        <item m="1" x="1111"/>
        <item m="1" x="1482"/>
        <item m="1" x="497"/>
        <item m="1" x="422"/>
        <item m="1" x="797"/>
        <item m="1" x="430"/>
        <item m="1" x="1102"/>
        <item m="1" x="1466"/>
        <item m="1" x="319"/>
        <item m="1" x="784"/>
        <item m="1" x="482"/>
        <item m="1" x="1139"/>
        <item m="1" x="250"/>
        <item m="1" x="639"/>
        <item m="1" x="1248"/>
        <item m="1" x="1486"/>
        <item m="1" x="168"/>
        <item m="1" x="831"/>
        <item m="1" x="594"/>
        <item m="1" x="970"/>
        <item m="1" x="1024"/>
        <item m="1" x="1162"/>
        <item m="1" x="930"/>
        <item m="1" x="133"/>
        <item m="1" x="516"/>
        <item m="1" x="384"/>
        <item m="1" x="768"/>
        <item m="1" x="361"/>
        <item m="1" x="1357"/>
        <item m="1" x="1037"/>
        <item m="1" x="1253"/>
        <item m="1" x="440"/>
        <item m="1" x="1494"/>
        <item m="1" x="912"/>
        <item m="1" x="435"/>
        <item m="1" x="1477"/>
        <item m="1" x="1476"/>
        <item m="1" x="185"/>
        <item m="1" x="312"/>
        <item m="1" x="355"/>
        <item m="1" x="1489"/>
        <item m="1" x="591"/>
        <item m="1" x="860"/>
        <item m="1" x="592"/>
        <item m="1" x="739"/>
        <item m="1" x="1359"/>
        <item m="1" x="332"/>
        <item m="1" x="959"/>
        <item m="1" x="175"/>
        <item m="1" x="1272"/>
        <item m="1" x="943"/>
        <item m="1" x="740"/>
        <item m="1" x="459"/>
        <item m="1" x="923"/>
        <item m="1" x="502"/>
        <item m="1" x="198"/>
        <item m="1" x="1141"/>
        <item m="1" x="887"/>
        <item m="1" x="1383"/>
        <item m="1" x="1250"/>
        <item m="1" x="517"/>
        <item m="1" x="415"/>
        <item m="1" x="196"/>
        <item m="1" x="974"/>
        <item m="1" x="122"/>
        <item m="1" x="1299"/>
        <item m="1" x="496"/>
        <item m="1" x="433"/>
        <item m="1" x="872"/>
        <item m="1" x="238"/>
        <item m="1" x="1408"/>
        <item m="1" x="205"/>
        <item m="1" x="857"/>
        <item m="1" x="789"/>
        <item m="1" x="1148"/>
        <item m="1" x="580"/>
        <item m="1" x="1197"/>
        <item m="1" x="113"/>
        <item m="1" x="1423"/>
        <item m="1" x="717"/>
        <item m="1" x="176"/>
        <item m="1" x="142"/>
        <item m="1" x="1487"/>
        <item m="1" x="1169"/>
        <item m="1" x="1266"/>
        <item m="1" x="427"/>
        <item m="1" x="538"/>
        <item m="1" x="1320"/>
        <item m="1" x="291"/>
        <item m="1" x="667"/>
        <item m="1" x="282"/>
        <item m="1" x="765"/>
        <item m="1" x="878"/>
        <item m="1" x="1288"/>
        <item m="1" x="1298"/>
        <item m="1" x="1313"/>
        <item m="1" x="904"/>
        <item m="1" x="886"/>
        <item m="1" x="360"/>
        <item m="1" x="527"/>
        <item m="1" x="1155"/>
        <item m="1" x="110"/>
        <item m="1" x="1285"/>
        <item m="1" x="648"/>
        <item m="1" x="241"/>
        <item m="1" x="791"/>
        <item m="1" x="759"/>
        <item m="1" x="1218"/>
        <item m="1" x="399"/>
        <item m="1" x="929"/>
        <item m="1" x="1294"/>
        <item m="1" x="733"/>
        <item m="1" x="549"/>
        <item m="1" x="454"/>
        <item m="1" x="855"/>
        <item m="1" x="1360"/>
        <item m="1" x="567"/>
        <item m="1" x="304"/>
        <item m="1" x="731"/>
        <item m="1" x="725"/>
        <item m="1" x="1430"/>
        <item m="1" x="1414"/>
        <item m="1" x="1465"/>
        <item m="1" x="1480"/>
        <item m="1" x="364"/>
        <item m="1" x="387"/>
        <item m="1" x="751"/>
        <item m="1" x="540"/>
        <item m="1" x="1361"/>
        <item m="1" x="298"/>
        <item m="1" x="467"/>
        <item m="1" x="1088"/>
        <item m="1" x="566"/>
        <item m="1" x="738"/>
        <item m="1" x="815"/>
        <item m="1" x="599"/>
        <item m="1" x="880"/>
        <item m="1" x="879"/>
        <item m="1" x="323"/>
        <item m="1" x="1316"/>
        <item m="1" x="138"/>
        <item m="1" x="226"/>
        <item m="1" x="927"/>
        <item m="1" x="801"/>
        <item m="1" x="782"/>
        <item m="1" x="245"/>
        <item m="1" x="1200"/>
        <item m="1" x="1469"/>
        <item m="1" x="243"/>
        <item m="1" x="1041"/>
        <item m="1" x="1471"/>
        <item m="1" x="859"/>
        <item m="1" x="1073"/>
        <item m="1" x="1472"/>
        <item m="1" x="1387"/>
        <item m="1" x="963"/>
        <item m="1" x="1217"/>
        <item m="1" x="468"/>
        <item m="1" x="1378"/>
        <item m="1" x="1009"/>
        <item m="1" x="1112"/>
        <item m="1" x="1228"/>
        <item m="1" x="1384"/>
        <item m="1" x="414"/>
        <item m="1" x="256"/>
        <item m="1" x="1221"/>
        <item m="1" x="1438"/>
        <item m="1" x="1187"/>
        <item m="1" x="1199"/>
        <item x="55"/>
        <item m="1" x="1382"/>
        <item m="1" x="214"/>
        <item m="1" x="949"/>
        <item m="1" x="1491"/>
        <item m="1" x="1158"/>
        <item m="1" x="416"/>
        <item m="1" x="820"/>
        <item m="1" x="484"/>
        <item m="1" x="921"/>
        <item m="1" x="159"/>
        <item m="1" x="351"/>
        <item m="1" x="442"/>
        <item m="1" x="443"/>
        <item m="1" x="444"/>
        <item m="1" x="274"/>
        <item m="1" x="273"/>
        <item m="1" x="379"/>
        <item m="1" x="643"/>
        <item m="1" x="1044"/>
        <item m="1" x="315"/>
        <item m="1" x="1492"/>
        <item m="1" x="254"/>
        <item m="1" x="508"/>
        <item m="1" x="190"/>
        <item m="1" x="140"/>
        <item m="1" x="1279"/>
        <item m="1" x="1104"/>
        <item m="1" x="532"/>
        <item m="1" x="246"/>
        <item m="1" x="1296"/>
        <item m="1" x="420"/>
        <item m="1" x="1343"/>
        <item m="1" x="155"/>
        <item m="1" x="413"/>
        <item m="1" x="1026"/>
        <item m="1" x="786"/>
        <item m="1" x="1323"/>
        <item m="1" x="1000"/>
        <item m="1" x="761"/>
        <item m="1" x="1379"/>
        <item m="1" x="705"/>
        <item m="1" x="1274"/>
        <item m="1" x="1427"/>
        <item m="1" x="197"/>
        <item m="1" x="1461"/>
        <item m="1" x="653"/>
        <item m="1" x="856"/>
        <item m="1" x="398"/>
        <item m="1" x="1267"/>
        <item m="1" x="126"/>
        <item m="1" x="1373"/>
        <item m="1" x="695"/>
        <item m="1" x="1172"/>
        <item m="1" x="1173"/>
        <item m="1" x="1174"/>
        <item m="1" x="1175"/>
        <item m="1" x="1176"/>
        <item m="1" x="1177"/>
        <item m="1" x="1463"/>
        <item m="1" x="1464"/>
        <item m="1" x="1230"/>
        <item m="1" x="1231"/>
        <item m="1" x="1232"/>
        <item m="1" x="1233"/>
        <item m="1" x="1234"/>
        <item m="1" x="1235"/>
        <item m="1" x="670"/>
        <item m="1" x="562"/>
        <item m="1" x="1122"/>
        <item m="1" x="799"/>
        <item m="1" x="1497"/>
        <item m="1" x="1498"/>
        <item m="1" x="1496"/>
        <item m="1" x="1499"/>
        <item m="1" x="1097"/>
        <item m="1" x="1098"/>
        <item m="1" x="1395"/>
        <item m="1" x="488"/>
        <item m="1" x="726"/>
        <item m="1" x="1348"/>
        <item m="1" x="832"/>
        <item m="1" x="1123"/>
        <item m="1" x="829"/>
        <item m="1" x="411"/>
        <item m="1" x="693"/>
        <item m="1" x="1269"/>
        <item m="1" x="1182"/>
        <item m="1" x="108"/>
        <item m="1" x="1358"/>
        <item m="1" x="297"/>
        <item m="1" x="977"/>
        <item m="1" x="1053"/>
        <item m="1" x="1054"/>
        <item m="1" x="1055"/>
        <item m="1" x="1056"/>
        <item m="1" x="1057"/>
        <item m="1" x="1058"/>
        <item m="1" x="1059"/>
        <item m="1" x="1060"/>
        <item m="1" x="1061"/>
        <item m="1" x="1062"/>
        <item m="1" x="1063"/>
        <item m="1" x="1064"/>
        <item m="1" x="147"/>
        <item m="1" x="148"/>
        <item m="1" x="149"/>
        <item m="1" x="150"/>
        <item m="1" x="151"/>
        <item m="1" x="152"/>
        <item m="1" x="153"/>
        <item m="1" x="154"/>
        <item m="1" x="611"/>
        <item m="1" x="612"/>
        <item m="1" x="613"/>
        <item m="1" x="614"/>
        <item m="1" x="615"/>
        <item m="1" x="616"/>
        <item m="1" x="617"/>
        <item m="1" x="618"/>
        <item m="1" x="890"/>
        <item m="1" x="891"/>
        <item m="1" x="892"/>
        <item m="1" x="893"/>
        <item m="1" x="894"/>
        <item m="1" x="895"/>
        <item m="1" x="896"/>
        <item m="1" x="897"/>
        <item m="1" x="1350"/>
        <item m="1" x="1351"/>
        <item m="1" x="937"/>
        <item m="1" x="938"/>
        <item m="1" x="939"/>
        <item m="1" x="940"/>
        <item m="1" x="941"/>
        <item m="1" x="942"/>
        <item m="1" x="1365"/>
        <item m="1" x="1366"/>
        <item m="1" x="1367"/>
        <item m="1" x="1368"/>
        <item m="1" x="1369"/>
        <item m="1" x="1370"/>
        <item m="1" x="743"/>
        <item m="1" x="744"/>
        <item m="1" x="745"/>
        <item m="1" x="746"/>
        <item m="1" x="747"/>
        <item m="1" x="748"/>
        <item m="1" x="749"/>
        <item m="1" x="750"/>
        <item m="1" x="1453"/>
        <item m="1" x="1454"/>
        <item m="1" x="1455"/>
        <item m="1" x="1456"/>
        <item m="1" x="1457"/>
        <item m="1" x="1458"/>
        <item m="1" x="1459"/>
        <item m="1" x="1460"/>
        <item m="1" x="550"/>
        <item m="1" x="551"/>
        <item m="1" x="552"/>
        <item m="1" x="553"/>
        <item m="1" x="554"/>
        <item m="1" x="555"/>
        <item m="1" x="556"/>
        <item m="1" x="557"/>
        <item m="1" x="1074"/>
        <item m="1" x="1075"/>
        <item m="1" x="1076"/>
        <item m="1" x="1077"/>
        <item m="1" x="1033"/>
        <item m="1" x="809"/>
        <item m="1" x="632"/>
        <item m="1" x="633"/>
        <item m="1" x="634"/>
        <item m="1" x="636"/>
        <item m="1" x="935"/>
        <item m="1" x="834"/>
        <item m="1" x="324"/>
        <item m="1" x="426"/>
        <item m="1" x="1042"/>
        <item m="1" x="136"/>
        <item m="1" x="850"/>
        <item m="1" x="396"/>
        <item m="1" x="780"/>
        <item m="1" x="957"/>
        <item m="1" x="1312"/>
        <item m="1" x="505"/>
        <item m="1" x="1181"/>
        <item m="1" x="1444"/>
        <item m="1" x="1191"/>
        <item m="1" x="1416"/>
        <item m="1" x="867"/>
        <item m="1" x="227"/>
        <item m="1" x="1080"/>
        <item m="1" x="1081"/>
        <item m="1" x="478"/>
        <item m="1" x="795"/>
        <item m="1" x="221"/>
        <item m="1" x="1068"/>
        <item m="1" x="792"/>
        <item m="1" x="595"/>
        <item m="1" x="1184"/>
        <item m="1" x="660"/>
        <item m="1" x="697"/>
        <item m="1" x="511"/>
        <item m="1" x="1240"/>
        <item m="1" x="1205"/>
        <item m="1" x="1392"/>
        <item m="1" x="106"/>
        <item m="1" x="1013"/>
        <item m="1" x="1326"/>
        <item m="1" x="785"/>
        <item m="1" x="819"/>
        <item m="1" x="990"/>
        <item m="1" x="1107"/>
        <item m="1" x="1237"/>
        <item m="1" x="1165"/>
        <item m="1" x="1478"/>
        <item m="1" x="881"/>
        <item m="1" x="642"/>
        <item m="1" x="812"/>
        <item m="1" x="1276"/>
        <item m="1" x="513"/>
        <item m="1" x="424"/>
        <item m="1" x="1504"/>
        <item m="1" x="1109"/>
        <item m="1" x="419"/>
        <item m="1" x="669"/>
        <item m="1" x="665"/>
        <item m="1" x="1468"/>
        <item m="1" x="666"/>
        <item m="1" x="721"/>
        <item m="1" x="800"/>
        <item m="1" x="209"/>
        <item m="1" x="1403"/>
        <item m="1" x="1421"/>
        <item m="1" x="543"/>
        <item m="1" x="1304"/>
        <item m="1" x="997"/>
        <item m="1" x="998"/>
        <item m="1" x="999"/>
        <item m="1" x="378"/>
        <item m="1" x="1426"/>
        <item m="1" x="139"/>
        <item m="1" x="162"/>
        <item m="1" x="1490"/>
        <item m="1" x="864"/>
        <item m="1" x="1125"/>
        <item m="1" x="421"/>
        <item m="1" x="1344"/>
        <item m="1" x="1286"/>
        <item m="1" x="582"/>
        <item m="1" x="1124"/>
        <item m="1" x="466"/>
        <item m="1" x="659"/>
        <item m="1" x="114"/>
        <item m="1" x="771"/>
        <item m="1" x="1467"/>
        <item m="1" x="186"/>
        <item m="1" x="269"/>
        <item m="1" x="1293"/>
        <item m="1" x="1428"/>
        <item m="1" x="714"/>
        <item m="1" x="407"/>
        <item m="1" x="268"/>
        <item m="1" x="428"/>
        <item m="1" x="464"/>
        <item m="1" x="1043"/>
        <item m="1" x="143"/>
        <item m="1" x="343"/>
        <item m="1" x="1243"/>
        <item m="1" x="1007"/>
        <item m="1" x="629"/>
        <item m="1" x="958"/>
        <item m="1" x="1254"/>
        <item m="1" x="1333"/>
        <item m="1" x="1290"/>
        <item m="1" x="1355"/>
        <item m="1" x="1327"/>
        <item m="1" x="840"/>
        <item m="1" x="112"/>
        <item m="1" x="1160"/>
        <item m="1" x="434"/>
        <item m="1" x="183"/>
        <item m="1" x="985"/>
        <item m="1" x="525"/>
        <item x="1"/>
        <item x="2"/>
        <item x="4"/>
        <item x="5"/>
        <item x="6"/>
        <item x="7"/>
        <item x="8"/>
        <item x="9"/>
        <item m="1" x="843"/>
        <item m="1" x="794"/>
        <item m="1" x="907"/>
        <item m="1" x="644"/>
        <item x="12"/>
        <item x="13"/>
        <item x="14"/>
        <item m="1" x="757"/>
        <item x="17"/>
        <item x="18"/>
        <item x="19"/>
        <item x="20"/>
        <item x="23"/>
        <item x="24"/>
        <item x="25"/>
        <item x="26"/>
        <item m="1" x="1324"/>
        <item m="1" x="933"/>
        <item m="1" x="1289"/>
        <item x="28"/>
        <item x="29"/>
        <item x="31"/>
        <item x="33"/>
        <item m="1" x="311"/>
        <item x="35"/>
        <item x="36"/>
        <item sd="0" x="37"/>
        <item x="38"/>
        <item x="39"/>
        <item x="40"/>
        <item x="45"/>
        <item m="1" x="166"/>
        <item m="1" x="655"/>
        <item m="1" x="487"/>
        <item m="1" x="220"/>
        <item x="48"/>
        <item x="49"/>
        <item m="1" x="299"/>
        <item x="51"/>
        <item m="1" x="583"/>
        <item m="1" x="1078"/>
        <item m="1" x="688"/>
        <item m="1" x="480"/>
        <item m="1" x="1021"/>
        <item x="54"/>
        <item m="1" x="906"/>
        <item sd="0" m="1" x="132"/>
        <item m="1" x="1216"/>
        <item m="1" x="1083"/>
        <item m="1" x="279"/>
        <item m="1" x="1016"/>
        <item m="1" x="301"/>
        <item m="1" x="1386"/>
        <item m="1" x="1121"/>
        <item m="1" x="1159"/>
        <item m="1" x="826"/>
        <item m="1" x="1339"/>
        <item m="1" x="677"/>
        <item m="1" x="1012"/>
        <item m="1" x="1452"/>
        <item m="1" x="718"/>
        <item m="1" x="700"/>
        <item m="1" x="208"/>
        <item m="1" x="1374"/>
        <item m="1" x="1117"/>
        <item m="1" x="914"/>
        <item m="1" x="579"/>
        <item m="1" x="181"/>
        <item m="1" x="825"/>
        <item m="1" x="1146"/>
        <item m="1" x="1211"/>
        <item m="1" x="334"/>
        <item m="1" x="920"/>
        <item m="1" x="597"/>
        <item m="1" x="400"/>
        <item m="1" x="547"/>
        <item m="1" x="925"/>
        <item m="1" x="1010"/>
        <item m="1" x="1238"/>
        <item m="1" x="931"/>
        <item m="1" x="1449"/>
        <item m="1" x="1206"/>
        <item m="1" x="350"/>
        <item m="1" x="259"/>
        <item m="1" x="808"/>
        <item m="1" x="964"/>
        <item m="1" x="494"/>
        <item x="62"/>
        <item x="59"/>
        <item x="63"/>
        <item m="1" x="770"/>
        <item m="1" x="917"/>
        <item m="1" x="1406"/>
        <item x="67"/>
        <item m="1" x="374"/>
        <item m="1" x="996"/>
        <item m="1" x="504"/>
        <item m="1" x="884"/>
        <item m="1" x="966"/>
        <item m="1" x="290"/>
        <item m="1" x="1436"/>
        <item m="1" x="1437"/>
        <item m="1" x="266"/>
        <item m="1" x="409"/>
        <item x="78"/>
        <item m="1" x="1071"/>
        <item m="1" x="663"/>
        <item m="1" x="683"/>
        <item m="1" x="658"/>
        <item m="1" x="889"/>
        <item m="1" x="1252"/>
        <item x="86"/>
        <item m="1" x="986"/>
        <item x="88"/>
        <item m="1" x="1150"/>
        <item m="1" x="1151"/>
        <item x="95"/>
        <item m="1" x="641"/>
        <item m="1" x="1371"/>
        <item x="98"/>
        <item m="1" x="1079"/>
        <item m="1" x="1067"/>
        <item m="1" x="811"/>
        <item m="1" x="680"/>
        <item m="1" x="598"/>
        <item m="1" x="1345"/>
        <item m="1" x="863"/>
        <item m="1" x="318"/>
        <item m="1" x="1349"/>
        <item m="1" x="916"/>
        <item m="1" x="1440"/>
        <item m="1" x="338"/>
        <item m="1" x="1310"/>
        <item m="1" x="932"/>
        <item m="1" x="218"/>
        <item m="1" x="187"/>
        <item m="1" x="1008"/>
        <item m="1" x="593"/>
        <item m="1" x="1287"/>
        <item m="1" x="1247"/>
        <item m="1" x="1186"/>
        <item x="90"/>
        <item x="96"/>
        <item x="99"/>
        <item m="1" x="1196"/>
        <item m="1" x="392"/>
        <item m="1" x="380"/>
        <item m="1" x="1451"/>
        <item m="1" x="1131"/>
        <item m="1" x="672"/>
        <item m="1" x="509"/>
        <item m="1" x="960"/>
        <item m="1" x="1330"/>
        <item m="1" x="177"/>
        <item m="1" x="692"/>
        <item m="1" x="814"/>
        <item m="1" x="228"/>
        <item m="1" x="107"/>
        <item m="1" x="1432"/>
        <item m="1" x="1433"/>
        <item m="1" x="783"/>
        <item m="1" x="1315"/>
        <item m="1" x="141"/>
        <item m="1" x="158"/>
        <item m="1" x="370"/>
        <item m="1" x="1212"/>
        <item m="1" x="1183"/>
        <item m="1" x="735"/>
        <item m="1" x="390"/>
        <item m="1" x="391"/>
        <item m="1" x="1025"/>
        <item m="1" x="793"/>
        <item m="1" x="125"/>
        <item m="1" x="862"/>
        <item m="1" x="1209"/>
        <item m="1" x="1292"/>
        <item m="1" x="873"/>
        <item m="1" x="732"/>
        <item m="1" x="321"/>
        <item m="1" x="810"/>
        <item m="1" x="874"/>
        <item m="1" x="861"/>
        <item m="1" x="1019"/>
        <item m="1" x="875"/>
        <item m="1" x="715"/>
        <item m="1" x="1402"/>
        <item m="1" x="1445"/>
        <item m="1" x="305"/>
        <item m="1" x="306"/>
        <item m="1" x="308"/>
        <item m="1" x="1398"/>
        <item m="1" x="524"/>
        <item m="1" x="928"/>
        <item m="1" x="1404"/>
        <item m="1" x="1143"/>
        <item m="1" x="545"/>
        <item m="1" x="1004"/>
        <item m="1" x="244"/>
        <item x="87"/>
        <item m="1" x="432"/>
        <item m="1" x="1380"/>
        <item m="1" x="573"/>
        <item m="1" x="625"/>
        <item m="1" x="331"/>
        <item m="1" x="212"/>
        <item m="1" x="429"/>
        <item m="1" x="883"/>
        <item m="1" x="534"/>
        <item m="1" x="1340"/>
        <item m="1" x="418"/>
        <item m="1" x="1039"/>
        <item m="1" x="699"/>
        <item m="1" x="327"/>
        <item x="58"/>
        <item m="1" x="375"/>
        <item m="1" x="1246"/>
        <item m="1" x="1195"/>
        <item m="1" x="1334"/>
        <item m="1" x="626"/>
        <item m="1" x="1066"/>
        <item m="1" x="564"/>
        <item m="1" x="1225"/>
        <item m="1" x="1413"/>
        <item x="68"/>
        <item m="1" x="1105"/>
        <item m="1" x="910"/>
        <item m="1" x="1278"/>
        <item m="1" x="661"/>
        <item m="1" x="130"/>
        <item m="1" x="156"/>
        <item m="1" x="215"/>
        <item m="1" x="1388"/>
        <item m="1" x="465"/>
        <item m="1" x="1418"/>
        <item m="1" x="1261"/>
        <item m="1" x="281"/>
        <item m="1" x="1194"/>
        <item m="1" x="603"/>
        <item m="1" x="1470"/>
        <item m="1" x="713"/>
        <item m="1" x="842"/>
        <item m="1" x="367"/>
        <item m="1" x="1127"/>
        <item m="1" x="263"/>
        <item m="1" x="1096"/>
        <item m="1" x="835"/>
        <item m="1" x="1204"/>
        <item m="1" x="145"/>
        <item m="1" x="730"/>
        <item m="1" x="596"/>
        <item m="1" x="1268"/>
        <item m="1" x="216"/>
        <item m="1" x="684"/>
        <item m="1" x="354"/>
        <item m="1" x="437"/>
        <item x="85"/>
        <item m="1" x="1130"/>
        <item m="1" x="1094"/>
        <item m="1" x="548"/>
        <item m="1" x="1273"/>
        <item m="1" x="1474"/>
        <item m="1" x="539"/>
        <item m="1" x="647"/>
        <item m="1" x="506"/>
        <item m="1" x="992"/>
        <item m="1" x="235"/>
        <item m="1" x="1319"/>
        <item m="1" x="821"/>
        <item m="1" x="833"/>
        <item m="1" x="1116"/>
        <item m="1" x="1307"/>
        <item m="1" x="1332"/>
        <item m="1" x="1193"/>
        <item m="1" x="522"/>
        <item m="1" x="1407"/>
        <item m="1" x="1017"/>
        <item m="1" x="1354"/>
        <item m="1" x="1318"/>
        <item m="1" x="754"/>
        <item m="1" x="1052"/>
        <item m="1" x="1424"/>
        <item m="1" x="223"/>
        <item m="1" x="124"/>
        <item m="1" x="849"/>
        <item m="1" x="816"/>
        <item m="1" x="510"/>
        <item m="1" x="1291"/>
        <item m="1" x="247"/>
        <item m="1" x="377"/>
        <item m="1" x="682"/>
        <item m="1" x="1029"/>
        <item m="1" x="1154"/>
        <item m="1" x="915"/>
        <item m="1" x="191"/>
        <item m="1" x="657"/>
        <item x="100"/>
        <item m="1" x="1393"/>
        <item m="1" x="902"/>
        <item m="1" x="900"/>
        <item m="1" x="673"/>
        <item m="1" x="448"/>
        <item x="0"/>
        <item x="16"/>
        <item m="1" x="1050"/>
        <item x="46"/>
        <item m="1" x="445"/>
        <item x="52"/>
        <item x="53"/>
        <item x="56"/>
        <item x="57"/>
        <item x="60"/>
        <item x="61"/>
        <item x="64"/>
        <item x="65"/>
        <item x="66"/>
        <item x="69"/>
        <item x="70"/>
        <item x="71"/>
        <item x="72"/>
        <item x="73"/>
        <item x="74"/>
        <item x="75"/>
        <item x="76"/>
        <item x="77"/>
        <item x="79"/>
        <item x="80"/>
        <item x="81"/>
        <item x="82"/>
        <item x="83"/>
        <item x="84"/>
        <item x="89"/>
        <item x="91"/>
        <item x="92"/>
        <item x="93"/>
        <item x="94"/>
        <item x="97"/>
        <item x="101"/>
        <item x="102"/>
        <item m="1" x="1049"/>
        <item x="27"/>
        <item x="21"/>
        <item x="22"/>
        <item x="41"/>
        <item m="1" x="1443"/>
        <item x="42"/>
        <item x="43"/>
        <item x="44"/>
        <item x="50"/>
        <item m="1" x="1442"/>
        <item x="34"/>
      </items>
    </pivotField>
    <pivotField axis="axisRow" compact="0" outline="0" showAll="0" defaultSubtotal="0">
      <items count="17">
        <item m="1" x="12"/>
        <item m="1" x="7"/>
        <item x="1"/>
        <item x="3"/>
        <item m="1" x="9"/>
        <item x="4"/>
        <item m="1" x="5"/>
        <item m="1" x="14"/>
        <item x="2"/>
        <item m="1" x="6"/>
        <item x="0"/>
        <item m="1" x="8"/>
        <item m="1" x="13"/>
        <item m="1" x="10"/>
        <item m="1" x="16"/>
        <item m="1" x="11"/>
        <item m="1" x="15"/>
      </items>
    </pivotField>
    <pivotField dataField="1" compact="0" outline="0" showAll="0" defaultSubtotal="0"/>
    <pivotField dataField="1" compact="0" outline="0" showAll="0" defaultSubtotal="0"/>
    <pivotField dataField="1" compact="0" outline="0" showAll="0" defaultSubtotal="0"/>
    <pivotField compact="0" outline="0" subtotalTop="0" showAll="0" defaultSubtotal="0"/>
    <pivotField compact="0" outline="0" subtotalTop="0" showAll="0" defaultSubtotal="0"/>
    <pivotField compact="0" outline="0" showAll="0" defaultSubtotal="0">
      <items count="30">
        <item h="1" x="0"/>
        <item h="1" m="1" x="17"/>
        <item h="1" m="1" x="23"/>
        <item h="1" m="1" x="19"/>
        <item h="1" x="1"/>
        <item h="1" m="1" x="28"/>
        <item h="1" m="1" x="7"/>
        <item h="1" m="1" x="25"/>
        <item h="1" m="1" x="26"/>
        <item h="1" m="1" x="29"/>
        <item h="1" m="1" x="11"/>
        <item h="1" m="1" x="15"/>
        <item h="1" m="1" x="21"/>
        <item h="1" m="1" x="24"/>
        <item h="1" m="1" x="6"/>
        <item h="1" m="1" x="16"/>
        <item h="1" m="1" x="22"/>
        <item x="2"/>
        <item h="1" m="1" x="9"/>
        <item h="1" m="1" x="4"/>
        <item h="1" m="1" x="8"/>
        <item h="1" m="1" x="13"/>
        <item h="1" m="1" x="27"/>
        <item h="1" m="1" x="14"/>
        <item h="1" m="1" x="20"/>
        <item h="1" m="1" x="18"/>
        <item h="1" m="1" x="10"/>
        <item h="1" m="1" x="3"/>
        <item h="1" m="1" x="12"/>
        <item h="1" m="1" x="5"/>
      </items>
    </pivotField>
    <pivotField compact="0" outline="0" subtotalTop="0" showAll="0" defaultSubtotal="0">
      <items count="63">
        <item h="1" m="1" x="3"/>
        <item h="1" x="0"/>
        <item h="1" m="1" x="39"/>
        <item h="1" m="1" x="33"/>
        <item h="1" m="1" x="45"/>
        <item h="1" m="1" x="35"/>
        <item h="1" m="1" x="53"/>
        <item h="1" m="1" x="13"/>
        <item h="1" x="1"/>
        <item h="1" m="1" x="61"/>
        <item h="1" m="1" x="59"/>
        <item h="1" m="1" x="56"/>
        <item h="1" m="1" x="46"/>
        <item h="1" m="1" x="9"/>
        <item h="1" m="1" x="62"/>
        <item h="1" m="1" x="60"/>
        <item h="1" m="1" x="16"/>
        <item h="1" m="1" x="37"/>
        <item h="1" m="1" x="27"/>
        <item h="1" m="1" x="40"/>
        <item h="1" m="1" x="32"/>
        <item h="1" m="1" x="55"/>
        <item h="1" m="1" x="38"/>
        <item h="1" m="1" x="43"/>
        <item h="1" m="1" x="11"/>
        <item h="1" m="1" x="21"/>
        <item h="1" m="1" x="44"/>
        <item h="1" m="1" x="54"/>
        <item x="2"/>
        <item h="1" m="1" x="18"/>
        <item h="1" m="1" x="5"/>
        <item h="1" m="1" x="48"/>
        <item h="1" m="1" x="10"/>
        <item h="1" m="1" x="12"/>
        <item h="1" m="1" x="17"/>
        <item h="1" m="1" x="20"/>
        <item h="1" m="1" x="25"/>
        <item h="1" m="1" x="22"/>
        <item h="1" m="1" x="28"/>
        <item h="1" m="1" x="31"/>
        <item h="1" m="1" x="51"/>
        <item h="1" m="1" x="29"/>
        <item h="1" m="1" x="8"/>
        <item h="1" m="1" x="57"/>
        <item h="1" m="1" x="42"/>
        <item h="1" m="1" x="41"/>
        <item h="1" m="1" x="24"/>
        <item h="1" m="1" x="4"/>
        <item h="1" m="1" x="36"/>
        <item h="1" m="1" x="52"/>
        <item h="1" m="1" x="19"/>
        <item h="1" m="1" x="23"/>
        <item h="1" m="1" x="47"/>
        <item h="1" m="1" x="26"/>
        <item h="1" m="1" x="58"/>
        <item h="1" m="1" x="34"/>
        <item h="1" m="1" x="6"/>
        <item h="1" m="1" x="14"/>
        <item h="1" m="1" x="15"/>
        <item h="1" m="1" x="50"/>
        <item h="1" m="1" x="30"/>
        <item h="1" m="1" x="49"/>
        <item h="1" m="1" x="7"/>
      </items>
    </pivotField>
    <pivotField compact="0" outline="0" showAll="0" defaultSubtotal="0"/>
    <pivotField compact="0" outline="0" subtotalTop="0" showAll="0" defaultSubtotal="0"/>
  </pivotFields>
  <rowFields count="4">
    <field x="0"/>
    <field x="1"/>
    <field x="2"/>
    <field x="3"/>
  </rowFields>
  <rowItems count="6">
    <i>
      <x v="101"/>
      <x v="182"/>
      <x v="1450"/>
      <x v="10"/>
    </i>
    <i t="blank">
      <x v="101"/>
    </i>
    <i>
      <x v="102"/>
      <x v="182"/>
      <x v="1491"/>
      <x v="10"/>
    </i>
    <i t="blank">
      <x v="102"/>
    </i>
    <i>
      <x v="103"/>
      <x v="1086"/>
      <x v="1492"/>
      <x v="2"/>
    </i>
    <i t="blank">
      <x v="103"/>
    </i>
  </rowItems>
  <colFields count="1">
    <field x="-2"/>
  </colFields>
  <colItems count="3">
    <i>
      <x/>
    </i>
    <i i="1">
      <x v="1"/>
    </i>
    <i i="2">
      <x v="2"/>
    </i>
  </colItems>
  <dataFields count="3">
    <dataField name="QTY " fld="4" baseField="3" baseItem="10"/>
    <dataField name="RATE (RM)" fld="5" baseField="0" baseItem="4" numFmtId="4"/>
    <dataField name="AMOUNT (RM)" fld="6" baseField="0" baseItem="4" numFmtId="4"/>
  </dataFields>
  <formats count="398">
    <format dxfId="410">
      <pivotArea field="0" type="button" dataOnly="0" labelOnly="1" outline="0" axis="axisRow" fieldPosition="0"/>
    </format>
    <format dxfId="409">
      <pivotArea field="1" type="button" dataOnly="0" labelOnly="1" outline="0" axis="axisRow" fieldPosition="1"/>
    </format>
    <format dxfId="408">
      <pivotArea field="2" type="button" dataOnly="0" labelOnly="1" outline="0" axis="axisRow" fieldPosition="2"/>
    </format>
    <format dxfId="407">
      <pivotArea dataOnly="0" labelOnly="1" outline="0" fieldPosition="0">
        <references count="1">
          <reference field="4294967294" count="3">
            <x v="0"/>
            <x v="1"/>
            <x v="2"/>
          </reference>
        </references>
      </pivotArea>
    </format>
    <format dxfId="406">
      <pivotArea dataOnly="0" labelOnly="1" outline="0" fieldPosition="0">
        <references count="1">
          <reference field="2" count="0"/>
        </references>
      </pivotArea>
    </format>
    <format dxfId="405">
      <pivotArea outline="0" fieldPosition="0">
        <references count="1">
          <reference field="4294967294" count="1" selected="0">
            <x v="0"/>
          </reference>
        </references>
      </pivotArea>
    </format>
    <format dxfId="404">
      <pivotArea dataOnly="0" labelOnly="1" outline="0" fieldPosition="0">
        <references count="1">
          <reference field="4294967294" count="1">
            <x v="0"/>
          </reference>
        </references>
      </pivotArea>
    </format>
    <format dxfId="403">
      <pivotArea dataOnly="0" labelOnly="1" outline="0" fieldPosition="0">
        <references count="1">
          <reference field="1" count="0"/>
        </references>
      </pivotArea>
    </format>
    <format dxfId="402">
      <pivotArea field="3" type="button" dataOnly="0" labelOnly="1" outline="0" axis="axisRow" fieldPosition="3"/>
    </format>
    <format dxfId="401">
      <pivotArea field="3" type="button" dataOnly="0" labelOnly="1" outline="0" axis="axisRow" fieldPosition="3"/>
    </format>
    <format dxfId="400">
      <pivotArea dataOnly="0" labelOnly="1" outline="0" fieldPosition="0">
        <references count="3">
          <reference field="0" count="1" selected="0">
            <x v="16"/>
          </reference>
          <reference field="1" count="1" selected="0">
            <x v="183"/>
          </reference>
          <reference field="2" count="1">
            <x v="631"/>
          </reference>
        </references>
      </pivotArea>
    </format>
    <format dxfId="399">
      <pivotArea dataOnly="0" labelOnly="1" outline="0" fieldPosition="0">
        <references count="3">
          <reference field="0" count="1" selected="0">
            <x v="20"/>
          </reference>
          <reference field="1" count="1" selected="0">
            <x v="183"/>
          </reference>
          <reference field="2" count="1">
            <x v="634"/>
          </reference>
        </references>
      </pivotArea>
    </format>
    <format dxfId="398">
      <pivotArea dataOnly="0" labelOnly="1" outline="0" fieldPosition="0">
        <references count="3">
          <reference field="0" count="1" selected="0">
            <x v="22"/>
          </reference>
          <reference field="1" count="1" selected="0">
            <x v="183"/>
          </reference>
          <reference field="2" count="1">
            <x v="636"/>
          </reference>
        </references>
      </pivotArea>
    </format>
    <format dxfId="397">
      <pivotArea dataOnly="0" labelOnly="1" outline="0" fieldPosition="0">
        <references count="3">
          <reference field="0" count="1" selected="0">
            <x v="24"/>
          </reference>
          <reference field="1" count="1" selected="0">
            <x v="183"/>
          </reference>
          <reference field="2" count="1">
            <x v="225"/>
          </reference>
        </references>
      </pivotArea>
    </format>
    <format dxfId="396">
      <pivotArea dataOnly="0" labelOnly="1" outline="0" fieldPosition="0">
        <references count="3">
          <reference field="0" count="1" selected="0">
            <x v="26"/>
          </reference>
          <reference field="1" count="1" selected="0">
            <x v="183"/>
          </reference>
          <reference field="2" count="1">
            <x v="414"/>
          </reference>
        </references>
      </pivotArea>
    </format>
    <format dxfId="395">
      <pivotArea dataOnly="0" labelOnly="1" outline="0" fieldPosition="0">
        <references count="3">
          <reference field="0" count="1" selected="0">
            <x v="29"/>
          </reference>
          <reference field="1" count="1" selected="0">
            <x v="183"/>
          </reference>
          <reference field="2" count="1">
            <x v="640"/>
          </reference>
        </references>
      </pivotArea>
    </format>
    <format dxfId="394">
      <pivotArea dataOnly="0" labelOnly="1" outline="0" fieldPosition="0">
        <references count="3">
          <reference field="0" count="1" selected="0">
            <x v="31"/>
          </reference>
          <reference field="1" count="1" selected="0">
            <x v="183"/>
          </reference>
          <reference field="2" count="1">
            <x v="642"/>
          </reference>
        </references>
      </pivotArea>
    </format>
    <format dxfId="393">
      <pivotArea dataOnly="0" labelOnly="1" outline="0" fieldPosition="0">
        <references count="3">
          <reference field="0" count="1" selected="0">
            <x v="33"/>
          </reference>
          <reference field="1" count="1" selected="0">
            <x v="183"/>
          </reference>
          <reference field="2" count="1">
            <x v="644"/>
          </reference>
        </references>
      </pivotArea>
    </format>
    <format dxfId="392">
      <pivotArea dataOnly="0" labelOnly="1" outline="0" fieldPosition="0">
        <references count="3">
          <reference field="0" count="1" selected="0">
            <x v="35"/>
          </reference>
          <reference field="1" count="1" selected="0">
            <x v="183"/>
          </reference>
          <reference field="2" count="1">
            <x v="646"/>
          </reference>
        </references>
      </pivotArea>
    </format>
    <format dxfId="391">
      <pivotArea dataOnly="0" labelOnly="1" outline="0" fieldPosition="0">
        <references count="3">
          <reference field="0" count="1" selected="0">
            <x v="37"/>
          </reference>
          <reference field="1" count="1" selected="0">
            <x v="183"/>
          </reference>
          <reference field="2" count="1">
            <x v="648"/>
          </reference>
        </references>
      </pivotArea>
    </format>
    <format dxfId="390">
      <pivotArea dataOnly="0" labelOnly="1" outline="0" fieldPosition="0">
        <references count="1">
          <reference field="3" count="0"/>
        </references>
      </pivotArea>
    </format>
    <format dxfId="389">
      <pivotArea dataOnly="0" outline="0" fieldPosition="0">
        <references count="1">
          <reference field="2" count="1">
            <x v="87"/>
          </reference>
        </references>
      </pivotArea>
    </format>
    <format dxfId="388">
      <pivotArea dataOnly="0" outline="0" fieldPosition="0">
        <references count="1">
          <reference field="2" count="1">
            <x v="87"/>
          </reference>
        </references>
      </pivotArea>
    </format>
    <format dxfId="387">
      <pivotArea dataOnly="0" labelOnly="1" outline="0" fieldPosition="0">
        <references count="3">
          <reference field="0" count="1" selected="0">
            <x v="4"/>
          </reference>
          <reference field="1" count="1" selected="0">
            <x v="182"/>
          </reference>
          <reference field="2" count="1">
            <x v="619"/>
          </reference>
        </references>
      </pivotArea>
    </format>
    <format dxfId="386">
      <pivotArea dataOnly="0" labelOnly="1" outline="0" fieldPosition="0">
        <references count="3">
          <reference field="0" count="1" selected="0">
            <x v="6"/>
          </reference>
          <reference field="1" count="1" selected="0">
            <x v="182"/>
          </reference>
          <reference field="2" count="1">
            <x v="621"/>
          </reference>
        </references>
      </pivotArea>
    </format>
    <format dxfId="385">
      <pivotArea dataOnly="0" labelOnly="1" outline="0" fieldPosition="0">
        <references count="3">
          <reference field="0" count="1" selected="0">
            <x v="10"/>
          </reference>
          <reference field="1" count="1" selected="0">
            <x v="182"/>
          </reference>
          <reference field="2" count="1">
            <x v="625"/>
          </reference>
        </references>
      </pivotArea>
    </format>
    <format dxfId="384">
      <pivotArea dataOnly="0" labelOnly="1" outline="0" fieldPosition="0">
        <references count="3">
          <reference field="0" count="1" selected="0">
            <x v="15"/>
          </reference>
          <reference field="1" count="1" selected="0">
            <x v="182"/>
          </reference>
          <reference field="2" count="1">
            <x v="630"/>
          </reference>
        </references>
      </pivotArea>
    </format>
    <format dxfId="383">
      <pivotArea dataOnly="0" labelOnly="1" outline="0" fieldPosition="0">
        <references count="3">
          <reference field="0" count="1" selected="0">
            <x v="16"/>
          </reference>
          <reference field="1" count="1" selected="0">
            <x v="182"/>
          </reference>
          <reference field="2" count="1">
            <x v="631"/>
          </reference>
        </references>
      </pivotArea>
    </format>
    <format dxfId="382">
      <pivotArea dataOnly="0" labelOnly="1" outline="0" fieldPosition="0">
        <references count="3">
          <reference field="0" count="1" selected="0">
            <x v="19"/>
          </reference>
          <reference field="1" count="1" selected="0">
            <x v="182"/>
          </reference>
          <reference field="2" count="1">
            <x v="342"/>
          </reference>
        </references>
      </pivotArea>
    </format>
    <format dxfId="381">
      <pivotArea dataOnly="0" labelOnly="1" outline="0" fieldPosition="0">
        <references count="3">
          <reference field="0" count="1" selected="0">
            <x v="20"/>
          </reference>
          <reference field="1" count="1" selected="0">
            <x v="182"/>
          </reference>
          <reference field="2" count="1">
            <x v="634"/>
          </reference>
        </references>
      </pivotArea>
    </format>
    <format dxfId="380">
      <pivotArea dataOnly="0" labelOnly="1" outline="0" fieldPosition="0">
        <references count="3">
          <reference field="0" count="1" selected="0">
            <x v="22"/>
          </reference>
          <reference field="1" count="1" selected="0">
            <x v="182"/>
          </reference>
          <reference field="2" count="1">
            <x v="636"/>
          </reference>
        </references>
      </pivotArea>
    </format>
    <format dxfId="379">
      <pivotArea dataOnly="0" labelOnly="1" outline="0" fieldPosition="0">
        <references count="3">
          <reference field="0" count="1" selected="0">
            <x v="24"/>
          </reference>
          <reference field="1" count="1" selected="0">
            <x v="182"/>
          </reference>
          <reference field="2" count="1">
            <x v="225"/>
          </reference>
        </references>
      </pivotArea>
    </format>
    <format dxfId="378">
      <pivotArea dataOnly="0" labelOnly="1" outline="0" fieldPosition="0">
        <references count="3">
          <reference field="0" count="1" selected="0">
            <x v="26"/>
          </reference>
          <reference field="1" count="1" selected="0">
            <x v="182"/>
          </reference>
          <reference field="2" count="1">
            <x v="414"/>
          </reference>
        </references>
      </pivotArea>
    </format>
    <format dxfId="377">
      <pivotArea dataOnly="0" labelOnly="1" outline="0" fieldPosition="0">
        <references count="3">
          <reference field="0" count="1" selected="0">
            <x v="28"/>
          </reference>
          <reference field="1" count="1" selected="0">
            <x v="182"/>
          </reference>
          <reference field="2" count="1">
            <x v="229"/>
          </reference>
        </references>
      </pivotArea>
    </format>
    <format dxfId="376">
      <pivotArea dataOnly="0" labelOnly="1" outline="0" fieldPosition="0">
        <references count="3">
          <reference field="0" count="1" selected="0">
            <x v="29"/>
          </reference>
          <reference field="1" count="1" selected="0">
            <x v="182"/>
          </reference>
          <reference field="2" count="1">
            <x v="640"/>
          </reference>
        </references>
      </pivotArea>
    </format>
    <format dxfId="375">
      <pivotArea dataOnly="0" labelOnly="1" outline="0" fieldPosition="0">
        <references count="3">
          <reference field="0" count="1" selected="0">
            <x v="31"/>
          </reference>
          <reference field="1" count="1" selected="0">
            <x v="182"/>
          </reference>
          <reference field="2" count="1">
            <x v="642"/>
          </reference>
        </references>
      </pivotArea>
    </format>
    <format dxfId="374">
      <pivotArea dataOnly="0" labelOnly="1" outline="0" fieldPosition="0">
        <references count="3">
          <reference field="0" count="1" selected="0">
            <x v="33"/>
          </reference>
          <reference field="1" count="1" selected="0">
            <x v="182"/>
          </reference>
          <reference field="2" count="1">
            <x v="644"/>
          </reference>
        </references>
      </pivotArea>
    </format>
    <format dxfId="373">
      <pivotArea dataOnly="0" labelOnly="1" outline="0" fieldPosition="0">
        <references count="3">
          <reference field="0" count="1" selected="0">
            <x v="35"/>
          </reference>
          <reference field="1" count="1" selected="0">
            <x v="182"/>
          </reference>
          <reference field="2" count="1">
            <x v="646"/>
          </reference>
        </references>
      </pivotArea>
    </format>
    <format dxfId="372">
      <pivotArea dataOnly="0" labelOnly="1" outline="0" fieldPosition="0">
        <references count="3">
          <reference field="0" count="1" selected="0">
            <x v="37"/>
          </reference>
          <reference field="1" count="1" selected="0">
            <x v="182"/>
          </reference>
          <reference field="2" count="1">
            <x v="648"/>
          </reference>
        </references>
      </pivotArea>
    </format>
    <format dxfId="371">
      <pivotArea dataOnly="0" labelOnly="1" outline="0" fieldPosition="0">
        <references count="1">
          <reference field="3" count="0"/>
        </references>
      </pivotArea>
    </format>
    <format dxfId="370">
      <pivotArea dataOnly="0" outline="0" fieldPosition="0">
        <references count="1">
          <reference field="4294967294" count="3">
            <x v="0"/>
            <x v="1"/>
            <x v="2"/>
          </reference>
        </references>
      </pivotArea>
    </format>
    <format dxfId="369">
      <pivotArea dataOnly="0" labelOnly="1" outline="0" fieldPosition="0">
        <references count="3">
          <reference field="0" count="1" selected="0">
            <x v="0"/>
          </reference>
          <reference field="1" count="1" selected="0">
            <x v="183"/>
          </reference>
          <reference field="2" count="1">
            <x v="617"/>
          </reference>
        </references>
      </pivotArea>
    </format>
    <format dxfId="368">
      <pivotArea dataOnly="0" labelOnly="1" outline="0" fieldPosition="0">
        <references count="3">
          <reference field="0" count="1" selected="0">
            <x v="1"/>
          </reference>
          <reference field="1" count="1" selected="0">
            <x v="183"/>
          </reference>
          <reference field="2" count="1">
            <x v="123"/>
          </reference>
        </references>
      </pivotArea>
    </format>
    <format dxfId="367">
      <pivotArea dataOnly="0" labelOnly="1" outline="0" fieldPosition="0">
        <references count="3">
          <reference field="0" count="1" selected="0">
            <x v="4"/>
          </reference>
          <reference field="1" count="1" selected="0">
            <x v="183"/>
          </reference>
          <reference field="2" count="1">
            <x v="619"/>
          </reference>
        </references>
      </pivotArea>
    </format>
    <format dxfId="366">
      <pivotArea dataOnly="0" labelOnly="1" outline="0" fieldPosition="0">
        <references count="3">
          <reference field="0" count="1" selected="0">
            <x v="6"/>
          </reference>
          <reference field="1" count="1" selected="0">
            <x v="183"/>
          </reference>
          <reference field="2" count="1">
            <x v="621"/>
          </reference>
        </references>
      </pivotArea>
    </format>
    <format dxfId="365">
      <pivotArea dataOnly="0" labelOnly="1" outline="0" fieldPosition="0">
        <references count="3">
          <reference field="0" count="1" selected="0">
            <x v="8"/>
          </reference>
          <reference field="1" count="1" selected="0">
            <x v="183"/>
          </reference>
          <reference field="2" count="1">
            <x v="623"/>
          </reference>
        </references>
      </pivotArea>
    </format>
    <format dxfId="364">
      <pivotArea dataOnly="0" labelOnly="1" outline="0" fieldPosition="0">
        <references count="3">
          <reference field="0" count="1" selected="0">
            <x v="10"/>
          </reference>
          <reference field="1" count="1" selected="0">
            <x v="183"/>
          </reference>
          <reference field="2" count="1">
            <x v="625"/>
          </reference>
        </references>
      </pivotArea>
    </format>
    <format dxfId="363">
      <pivotArea dataOnly="0" labelOnly="1" outline="0" fieldPosition="0">
        <references count="3">
          <reference field="0" count="1" selected="0">
            <x v="15"/>
          </reference>
          <reference field="1" count="1" selected="0">
            <x v="183"/>
          </reference>
          <reference field="2" count="1">
            <x v="630"/>
          </reference>
        </references>
      </pivotArea>
    </format>
    <format dxfId="362">
      <pivotArea dataOnly="0" labelOnly="1" outline="0" fieldPosition="0">
        <references count="3">
          <reference field="0" count="1" selected="0">
            <x v="19"/>
          </reference>
          <reference field="1" count="1" selected="0">
            <x v="183"/>
          </reference>
          <reference field="2" count="1">
            <x v="342"/>
          </reference>
        </references>
      </pivotArea>
    </format>
    <format dxfId="361">
      <pivotArea dataOnly="0" labelOnly="1" outline="0" fieldPosition="0">
        <references count="3">
          <reference field="0" count="1" selected="0">
            <x v="28"/>
          </reference>
          <reference field="1" count="1" selected="0">
            <x v="183"/>
          </reference>
          <reference field="2" count="1">
            <x v="229"/>
          </reference>
        </references>
      </pivotArea>
    </format>
    <format dxfId="360">
      <pivotArea dataOnly="0" labelOnly="1" outline="0" fieldPosition="0">
        <references count="3">
          <reference field="0" count="1" selected="0">
            <x v="0"/>
          </reference>
          <reference field="1" count="1" selected="0">
            <x v="182"/>
          </reference>
          <reference field="2" count="1">
            <x v="617"/>
          </reference>
        </references>
      </pivotArea>
    </format>
    <format dxfId="359">
      <pivotArea dataOnly="0" labelOnly="1" outline="0" fieldPosition="0">
        <references count="3">
          <reference field="0" count="1" selected="0">
            <x v="1"/>
          </reference>
          <reference field="1" count="1" selected="0">
            <x v="182"/>
          </reference>
          <reference field="2" count="1">
            <x v="123"/>
          </reference>
        </references>
      </pivotArea>
    </format>
    <format dxfId="358">
      <pivotArea dataOnly="0" labelOnly="1" outline="0" fieldPosition="0">
        <references count="3">
          <reference field="0" count="1" selected="0">
            <x v="4"/>
          </reference>
          <reference field="1" count="1" selected="0">
            <x v="182"/>
          </reference>
          <reference field="2" count="1">
            <x v="619"/>
          </reference>
        </references>
      </pivotArea>
    </format>
    <format dxfId="357">
      <pivotArea dataOnly="0" labelOnly="1" outline="0" fieldPosition="0">
        <references count="3">
          <reference field="0" count="1" selected="0">
            <x v="6"/>
          </reference>
          <reference field="1" count="1" selected="0">
            <x v="182"/>
          </reference>
          <reference field="2" count="1">
            <x v="621"/>
          </reference>
        </references>
      </pivotArea>
    </format>
    <format dxfId="356">
      <pivotArea dataOnly="0" labelOnly="1" outline="0" fieldPosition="0">
        <references count="3">
          <reference field="0" count="1" selected="0">
            <x v="8"/>
          </reference>
          <reference field="1" count="1" selected="0">
            <x v="182"/>
          </reference>
          <reference field="2" count="1">
            <x v="623"/>
          </reference>
        </references>
      </pivotArea>
    </format>
    <format dxfId="355">
      <pivotArea dataOnly="0" labelOnly="1" outline="0" fieldPosition="0">
        <references count="3">
          <reference field="0" count="1" selected="0">
            <x v="10"/>
          </reference>
          <reference field="1" count="1" selected="0">
            <x v="182"/>
          </reference>
          <reference field="2" count="1">
            <x v="625"/>
          </reference>
        </references>
      </pivotArea>
    </format>
    <format dxfId="354">
      <pivotArea dataOnly="0" labelOnly="1" outline="0" fieldPosition="0">
        <references count="3">
          <reference field="0" count="1" selected="0">
            <x v="15"/>
          </reference>
          <reference field="1" count="1" selected="0">
            <x v="182"/>
          </reference>
          <reference field="2" count="1">
            <x v="630"/>
          </reference>
        </references>
      </pivotArea>
    </format>
    <format dxfId="353">
      <pivotArea dataOnly="0" labelOnly="1" outline="0" fieldPosition="0">
        <references count="3">
          <reference field="0" count="1" selected="0">
            <x v="19"/>
          </reference>
          <reference field="1" count="1" selected="0">
            <x v="182"/>
          </reference>
          <reference field="2" count="1">
            <x v="342"/>
          </reference>
        </references>
      </pivotArea>
    </format>
    <format dxfId="352">
      <pivotArea dataOnly="0" labelOnly="1" outline="0" fieldPosition="0">
        <references count="3">
          <reference field="0" count="1" selected="0">
            <x v="28"/>
          </reference>
          <reference field="1" count="1" selected="0">
            <x v="182"/>
          </reference>
          <reference field="2" count="1">
            <x v="229"/>
          </reference>
        </references>
      </pivotArea>
    </format>
    <format dxfId="351">
      <pivotArea dataOnly="0" labelOnly="1" outline="0" fieldPosition="0">
        <references count="3">
          <reference field="0" count="1" selected="0">
            <x v="0"/>
          </reference>
          <reference field="1" count="1" selected="0">
            <x v="182"/>
          </reference>
          <reference field="2" count="1">
            <x v="1147"/>
          </reference>
        </references>
      </pivotArea>
    </format>
    <format dxfId="350">
      <pivotArea dataOnly="0" labelOnly="1" outline="0" fieldPosition="0">
        <references count="3">
          <reference field="0" count="1" selected="0">
            <x v="2"/>
          </reference>
          <reference field="1" count="1" selected="0">
            <x v="182"/>
          </reference>
          <reference field="2" count="1">
            <x v="200"/>
          </reference>
        </references>
      </pivotArea>
    </format>
    <format dxfId="349">
      <pivotArea dataOnly="0" labelOnly="1" outline="0" fieldPosition="0">
        <references count="3">
          <reference field="0" count="1" selected="0">
            <x v="9"/>
          </reference>
          <reference field="1" count="1" selected="0">
            <x v="182"/>
          </reference>
          <reference field="2" count="1">
            <x v="232"/>
          </reference>
        </references>
      </pivotArea>
    </format>
    <format dxfId="348">
      <pivotArea dataOnly="0" labelOnly="1" outline="0" fieldPosition="0">
        <references count="3">
          <reference field="0" count="1" selected="0">
            <x v="7"/>
          </reference>
          <reference field="1" count="1" selected="0">
            <x v="182"/>
          </reference>
          <reference field="2" count="1">
            <x v="1153"/>
          </reference>
        </references>
      </pivotArea>
    </format>
    <format dxfId="347">
      <pivotArea dataOnly="0" labelOnly="1" outline="0" fieldPosition="0">
        <references count="3">
          <reference field="0" count="1" selected="0">
            <x v="5"/>
          </reference>
          <reference field="1" count="1" selected="0">
            <x v="182"/>
          </reference>
          <reference field="2" count="1">
            <x v="1151"/>
          </reference>
        </references>
      </pivotArea>
    </format>
    <format dxfId="346">
      <pivotArea dataOnly="0" labelOnly="1" outline="0" fieldPosition="0">
        <references count="3">
          <reference field="0" count="1" selected="0">
            <x v="14"/>
          </reference>
          <reference field="1" count="1" selected="0">
            <x v="182"/>
          </reference>
          <reference field="2" count="1">
            <x v="1159"/>
          </reference>
        </references>
      </pivotArea>
    </format>
    <format dxfId="345">
      <pivotArea dataOnly="0" labelOnly="1" outline="0" fieldPosition="0">
        <references count="3">
          <reference field="0" count="1" selected="0">
            <x v="17"/>
          </reference>
          <reference field="1" count="1" selected="0">
            <x v="182"/>
          </reference>
          <reference field="2" count="1">
            <x v="642"/>
          </reference>
        </references>
      </pivotArea>
    </format>
    <format dxfId="344">
      <pivotArea dataOnly="0" labelOnly="1" outline="0" fieldPosition="0">
        <references count="3">
          <reference field="0" count="1" selected="0">
            <x v="23"/>
          </reference>
          <reference field="1" count="1" selected="0">
            <x v="182"/>
          </reference>
          <reference field="2" count="1">
            <x v="1167"/>
          </reference>
        </references>
      </pivotArea>
    </format>
    <format dxfId="343">
      <pivotArea dataOnly="0" labelOnly="1" outline="0" fieldPosition="0">
        <references count="3">
          <reference field="0" count="1" selected="0">
            <x v="25"/>
          </reference>
          <reference field="1" count="1" selected="0">
            <x v="182"/>
          </reference>
          <reference field="2" count="1">
            <x v="1169"/>
          </reference>
        </references>
      </pivotArea>
    </format>
    <format dxfId="342">
      <pivotArea dataOnly="0" labelOnly="1" outline="0" fieldPosition="0">
        <references count="3">
          <reference field="0" count="1" selected="0">
            <x v="32"/>
          </reference>
          <reference field="1" count="1" selected="0">
            <x v="182"/>
          </reference>
          <reference field="2" count="1">
            <x v="280"/>
          </reference>
        </references>
      </pivotArea>
    </format>
    <format dxfId="341">
      <pivotArea dataOnly="0" labelOnly="1" outline="0" fieldPosition="0">
        <references count="3">
          <reference field="0" count="1" selected="0">
            <x v="38"/>
          </reference>
          <reference field="1" count="1" selected="0">
            <x v="182"/>
          </reference>
          <reference field="2" count="1">
            <x v="1180"/>
          </reference>
        </references>
      </pivotArea>
    </format>
    <format dxfId="340">
      <pivotArea dataOnly="0" labelOnly="1" outline="0" fieldPosition="0">
        <references count="3">
          <reference field="0" count="1" selected="0">
            <x v="44"/>
          </reference>
          <reference field="1" count="1" selected="0">
            <x v="182"/>
          </reference>
          <reference field="2" count="1">
            <x v="1185"/>
          </reference>
        </references>
      </pivotArea>
    </format>
    <format dxfId="339">
      <pivotArea dataOnly="0" labelOnly="1" outline="0" fieldPosition="0">
        <references count="3">
          <reference field="0" count="1" selected="0">
            <x v="49"/>
          </reference>
          <reference field="1" count="1" selected="0">
            <x v="182"/>
          </reference>
          <reference field="2" count="1">
            <x v="167"/>
          </reference>
        </references>
      </pivotArea>
    </format>
    <format dxfId="338">
      <pivotArea dataOnly="0" labelOnly="1" outline="0" fieldPosition="0">
        <references count="3">
          <reference field="0" count="1" selected="0">
            <x v="53"/>
          </reference>
          <reference field="1" count="1" selected="0">
            <x v="182"/>
          </reference>
          <reference field="2" count="1">
            <x v="1193"/>
          </reference>
        </references>
      </pivotArea>
    </format>
    <format dxfId="337">
      <pivotArea dataOnly="0" labelOnly="1" outline="0" fieldPosition="0">
        <references count="1">
          <reference field="2" count="0"/>
        </references>
      </pivotArea>
    </format>
    <format dxfId="336">
      <pivotArea dataOnly="0" labelOnly="1" outline="0" fieldPosition="0">
        <references count="3">
          <reference field="0" count="1" selected="0">
            <x v="19"/>
          </reference>
          <reference field="1" count="1" selected="0">
            <x v="182"/>
          </reference>
          <reference field="2" count="1">
            <x v="1163"/>
          </reference>
        </references>
      </pivotArea>
    </format>
    <format dxfId="335">
      <pivotArea dataOnly="0" labelOnly="1" outline="0" fieldPosition="0">
        <references count="1">
          <reference field="1" count="0"/>
        </references>
      </pivotArea>
    </format>
    <format dxfId="334">
      <pivotArea dataOnly="0" labelOnly="1" outline="0" fieldPosition="0">
        <references count="1">
          <reference field="1" count="0"/>
        </references>
      </pivotArea>
    </format>
    <format dxfId="333">
      <pivotArea dataOnly="0" labelOnly="1" outline="0" fieldPosition="0">
        <references count="1">
          <reference field="3" count="0"/>
        </references>
      </pivotArea>
    </format>
    <format dxfId="332">
      <pivotArea dataOnly="0" outline="0" fieldPosition="0">
        <references count="1">
          <reference field="4294967294" count="3">
            <x v="0"/>
            <x v="1"/>
            <x v="2"/>
          </reference>
        </references>
      </pivotArea>
    </format>
    <format dxfId="331">
      <pivotArea field="0" type="button" dataOnly="0" labelOnly="1" outline="0" axis="axisRow" fieldPosition="0"/>
    </format>
    <format dxfId="330">
      <pivotArea field="1" type="button" dataOnly="0" labelOnly="1" outline="0" axis="axisRow" fieldPosition="1"/>
    </format>
    <format dxfId="329">
      <pivotArea field="2" type="button" dataOnly="0" labelOnly="1" outline="0" axis="axisRow" fieldPosition="2"/>
    </format>
    <format dxfId="328">
      <pivotArea field="3" type="button" dataOnly="0" labelOnly="1" outline="0" axis="axisRow" fieldPosition="3"/>
    </format>
    <format dxfId="327">
      <pivotArea dataOnly="0" labelOnly="1" outline="0" fieldPosition="0">
        <references count="1">
          <reference field="4294967294" count="3">
            <x v="0"/>
            <x v="1"/>
            <x v="2"/>
          </reference>
        </references>
      </pivotArea>
    </format>
    <format dxfId="326">
      <pivotArea dataOnly="0" labelOnly="1" outline="0" fieldPosition="0">
        <references count="3">
          <reference field="0" count="1" selected="0">
            <x v="39"/>
          </reference>
          <reference field="1" count="1" selected="0">
            <x v="182"/>
          </reference>
          <reference field="2" count="1">
            <x v="1181"/>
          </reference>
        </references>
      </pivotArea>
    </format>
    <format dxfId="325">
      <pivotArea field="0" type="button" dataOnly="0" labelOnly="1" outline="0" axis="axisRow" fieldPosition="0"/>
    </format>
    <format dxfId="324">
      <pivotArea field="2" type="button" dataOnly="0" labelOnly="1" outline="0" axis="axisRow" fieldPosition="2"/>
    </format>
    <format dxfId="323">
      <pivotArea field="3" type="button" dataOnly="0" labelOnly="1" outline="0" axis="axisRow" fieldPosition="3"/>
    </format>
    <format dxfId="322">
      <pivotArea dataOnly="0" labelOnly="1" outline="0" fieldPosition="0">
        <references count="1">
          <reference field="4294967294" count="3">
            <x v="0"/>
            <x v="1"/>
            <x v="2"/>
          </reference>
        </references>
      </pivotArea>
    </format>
    <format dxfId="321">
      <pivotArea field="0" type="button" dataOnly="0" labelOnly="1" outline="0" axis="axisRow" fieldPosition="0"/>
    </format>
    <format dxfId="320">
      <pivotArea field="1" type="button" dataOnly="0" labelOnly="1" outline="0" axis="axisRow" fieldPosition="1"/>
    </format>
    <format dxfId="319">
      <pivotArea field="2" type="button" dataOnly="0" labelOnly="1" outline="0" axis="axisRow" fieldPosition="2"/>
    </format>
    <format dxfId="318">
      <pivotArea field="3" type="button" dataOnly="0" labelOnly="1" outline="0" axis="axisRow" fieldPosition="3"/>
    </format>
    <format dxfId="317">
      <pivotArea dataOnly="0" labelOnly="1" outline="0" fieldPosition="0">
        <references count="1">
          <reference field="4294967294" count="3">
            <x v="0"/>
            <x v="1"/>
            <x v="2"/>
          </reference>
        </references>
      </pivotArea>
    </format>
    <format dxfId="316">
      <pivotArea field="1" type="button" dataOnly="0" labelOnly="1" outline="0" axis="axisRow" fieldPosition="1"/>
    </format>
    <format dxfId="315">
      <pivotArea dataOnly="0" labelOnly="1" outline="0" fieldPosition="0">
        <references count="1">
          <reference field="1" count="0"/>
        </references>
      </pivotArea>
    </format>
    <format dxfId="314">
      <pivotArea dataOnly="0" labelOnly="1" outline="0" fieldPosition="0">
        <references count="3">
          <reference field="0" count="1" selected="0">
            <x v="58"/>
          </reference>
          <reference field="1" count="1" selected="0">
            <x v="182"/>
          </reference>
          <reference field="2" count="1">
            <x v="1198"/>
          </reference>
        </references>
      </pivotArea>
    </format>
    <format dxfId="313">
      <pivotArea dataOnly="0" labelOnly="1" outline="0" fieldPosition="0">
        <references count="3">
          <reference field="0" count="1" selected="0">
            <x v="59"/>
          </reference>
          <reference field="1" count="1" selected="0">
            <x v="182"/>
          </reference>
          <reference field="2" count="1">
            <x v="1198"/>
          </reference>
        </references>
      </pivotArea>
    </format>
    <format dxfId="312">
      <pivotArea dataOnly="0" labelOnly="1" outline="0" fieldPosition="0">
        <references count="3">
          <reference field="0" count="1" selected="0">
            <x v="59"/>
          </reference>
          <reference field="1" count="1" selected="0">
            <x v="182"/>
          </reference>
          <reference field="2" count="1">
            <x v="1198"/>
          </reference>
        </references>
      </pivotArea>
    </format>
    <format dxfId="311">
      <pivotArea dataOnly="0" labelOnly="1" outline="0" fieldPosition="0">
        <references count="3">
          <reference field="0" count="1" selected="0">
            <x v="61"/>
          </reference>
          <reference field="1" count="1" selected="0">
            <x v="182"/>
          </reference>
          <reference field="2" count="1">
            <x v="1200"/>
          </reference>
        </references>
      </pivotArea>
    </format>
    <format dxfId="310">
      <pivotArea dataOnly="0" labelOnly="1" outline="0" fieldPosition="0">
        <references count="3">
          <reference field="0" count="1" selected="0">
            <x v="62"/>
          </reference>
          <reference field="1" count="1" selected="0">
            <x v="182"/>
          </reference>
          <reference field="2" count="1">
            <x v="1201"/>
          </reference>
        </references>
      </pivotArea>
    </format>
    <format dxfId="309">
      <pivotArea dataOnly="0" labelOnly="1" outline="0" fieldPosition="0">
        <references count="3">
          <reference field="0" count="1" selected="0">
            <x v="62"/>
          </reference>
          <reference field="1" count="1" selected="0">
            <x v="182"/>
          </reference>
          <reference field="2" count="1">
            <x v="1201"/>
          </reference>
        </references>
      </pivotArea>
    </format>
    <format dxfId="308">
      <pivotArea dataOnly="0" labelOnly="1" outline="0" fieldPosition="0">
        <references count="3">
          <reference field="0" count="1" selected="0">
            <x v="64"/>
          </reference>
          <reference field="1" count="1" selected="0">
            <x v="182"/>
          </reference>
          <reference field="2" count="1">
            <x v="1203"/>
          </reference>
        </references>
      </pivotArea>
    </format>
    <format dxfId="307">
      <pivotArea dataOnly="0" labelOnly="1" outline="0" fieldPosition="0">
        <references count="3">
          <reference field="0" count="1" selected="0">
            <x v="64"/>
          </reference>
          <reference field="1" count="1" selected="0">
            <x v="182"/>
          </reference>
          <reference field="2" count="1">
            <x v="1203"/>
          </reference>
        </references>
      </pivotArea>
    </format>
    <format dxfId="306">
      <pivotArea dataOnly="0" labelOnly="1" outline="0" fieldPosition="0">
        <references count="3">
          <reference field="0" count="1" selected="0">
            <x v="66"/>
          </reference>
          <reference field="1" count="1" selected="0">
            <x v="182"/>
          </reference>
          <reference field="2" count="1">
            <x v="1205"/>
          </reference>
        </references>
      </pivotArea>
    </format>
    <format dxfId="305">
      <pivotArea dataOnly="0" labelOnly="1" outline="0" fieldPosition="0">
        <references count="3">
          <reference field="0" count="1" selected="0">
            <x v="66"/>
          </reference>
          <reference field="1" count="1" selected="0">
            <x v="182"/>
          </reference>
          <reference field="2" count="1">
            <x v="1205"/>
          </reference>
        </references>
      </pivotArea>
    </format>
    <format dxfId="304">
      <pivotArea dataOnly="0" labelOnly="1" outline="0" fieldPosition="0">
        <references count="3">
          <reference field="0" count="1" selected="0">
            <x v="68"/>
          </reference>
          <reference field="1" count="1" selected="0">
            <x v="182"/>
          </reference>
          <reference field="2" count="1">
            <x v="1207"/>
          </reference>
        </references>
      </pivotArea>
    </format>
    <format dxfId="303">
      <pivotArea dataOnly="0" labelOnly="1" outline="0" fieldPosition="0">
        <references count="3">
          <reference field="0" count="1" selected="0">
            <x v="68"/>
          </reference>
          <reference field="1" count="1" selected="0">
            <x v="182"/>
          </reference>
          <reference field="2" count="1">
            <x v="1207"/>
          </reference>
        </references>
      </pivotArea>
    </format>
    <format dxfId="302">
      <pivotArea dataOnly="0" labelOnly="1" outline="0" fieldPosition="0">
        <references count="3">
          <reference field="0" count="1" selected="0">
            <x v="70"/>
          </reference>
          <reference field="1" count="1" selected="0">
            <x v="182"/>
          </reference>
          <reference field="2" count="1">
            <x v="116"/>
          </reference>
        </references>
      </pivotArea>
    </format>
    <format dxfId="301">
      <pivotArea dataOnly="0" labelOnly="1" outline="0" fieldPosition="0">
        <references count="3">
          <reference field="0" count="1" selected="0">
            <x v="70"/>
          </reference>
          <reference field="1" count="1" selected="0">
            <x v="182"/>
          </reference>
          <reference field="2" count="1">
            <x v="116"/>
          </reference>
        </references>
      </pivotArea>
    </format>
    <format dxfId="300">
      <pivotArea dataOnly="0" labelOnly="1" outline="0" fieldPosition="0">
        <references count="3">
          <reference field="0" count="1" selected="0">
            <x v="73"/>
          </reference>
          <reference field="1" count="1" selected="0">
            <x v="182"/>
          </reference>
          <reference field="2" count="1">
            <x v="1211"/>
          </reference>
        </references>
      </pivotArea>
    </format>
    <format dxfId="299">
      <pivotArea dataOnly="0" labelOnly="1" outline="0" fieldPosition="0">
        <references count="3">
          <reference field="0" count="1" selected="0">
            <x v="73"/>
          </reference>
          <reference field="1" count="1" selected="0">
            <x v="182"/>
          </reference>
          <reference field="2" count="1">
            <x v="1211"/>
          </reference>
        </references>
      </pivotArea>
    </format>
    <format dxfId="298">
      <pivotArea dataOnly="0" labelOnly="1" outline="0" fieldPosition="0">
        <references count="3">
          <reference field="0" count="1" selected="0">
            <x v="75"/>
          </reference>
          <reference field="1" count="1" selected="0">
            <x v="182"/>
          </reference>
          <reference field="2" count="1">
            <x v="177"/>
          </reference>
        </references>
      </pivotArea>
    </format>
    <format dxfId="297">
      <pivotArea dataOnly="0" labelOnly="1" outline="0" fieldPosition="0">
        <references count="3">
          <reference field="0" count="1" selected="0">
            <x v="75"/>
          </reference>
          <reference field="1" count="1" selected="0">
            <x v="182"/>
          </reference>
          <reference field="2" count="1">
            <x v="177"/>
          </reference>
        </references>
      </pivotArea>
    </format>
    <format dxfId="296">
      <pivotArea dataOnly="0" labelOnly="1" outline="0" fieldPosition="0">
        <references count="3">
          <reference field="0" count="1" selected="0">
            <x v="77"/>
          </reference>
          <reference field="1" count="1" selected="0">
            <x v="182"/>
          </reference>
          <reference field="2" count="1">
            <x v="321"/>
          </reference>
        </references>
      </pivotArea>
    </format>
    <format dxfId="295">
      <pivotArea dataOnly="0" labelOnly="1" outline="0" fieldPosition="0">
        <references count="3">
          <reference field="0" count="1" selected="0">
            <x v="77"/>
          </reference>
          <reference field="1" count="1" selected="0">
            <x v="182"/>
          </reference>
          <reference field="2" count="1">
            <x v="321"/>
          </reference>
        </references>
      </pivotArea>
    </format>
    <format dxfId="294">
      <pivotArea dataOnly="0" labelOnly="1" outline="0" fieldPosition="0">
        <references count="3">
          <reference field="0" count="1" selected="0">
            <x v="82"/>
          </reference>
          <reference field="1" count="1" selected="0">
            <x v="182"/>
          </reference>
          <reference field="2" count="1">
            <x v="1218"/>
          </reference>
        </references>
      </pivotArea>
    </format>
    <format dxfId="293">
      <pivotArea dataOnly="0" labelOnly="1" outline="0" fieldPosition="0">
        <references count="3">
          <reference field="0" count="1" selected="0">
            <x v="82"/>
          </reference>
          <reference field="1" count="1" selected="0">
            <x v="182"/>
          </reference>
          <reference field="2" count="1">
            <x v="1218"/>
          </reference>
        </references>
      </pivotArea>
    </format>
    <format dxfId="292">
      <pivotArea dataOnly="0" labelOnly="1" outline="0" fieldPosition="0">
        <references count="3">
          <reference field="0" count="1" selected="0">
            <x v="84"/>
          </reference>
          <reference field="1" count="1" selected="0">
            <x v="182"/>
          </reference>
          <reference field="2" count="1">
            <x v="1220"/>
          </reference>
        </references>
      </pivotArea>
    </format>
    <format dxfId="291">
      <pivotArea dataOnly="0" labelOnly="1" outline="0" fieldPosition="0">
        <references count="3">
          <reference field="0" count="1" selected="0">
            <x v="85"/>
          </reference>
          <reference field="1" count="1" selected="0">
            <x v="182"/>
          </reference>
          <reference field="2" count="1">
            <x v="1201"/>
          </reference>
        </references>
      </pivotArea>
    </format>
    <format dxfId="290">
      <pivotArea dataOnly="0" labelOnly="1" outline="0" fieldPosition="0">
        <references count="3">
          <reference field="0" count="1" selected="0">
            <x v="85"/>
          </reference>
          <reference field="1" count="1" selected="0">
            <x v="182"/>
          </reference>
          <reference field="2" count="1">
            <x v="1201"/>
          </reference>
        </references>
      </pivotArea>
    </format>
    <format dxfId="289">
      <pivotArea dataOnly="0" labelOnly="1" outline="0" fieldPosition="0">
        <references count="3">
          <reference field="0" count="1" selected="0">
            <x v="87"/>
          </reference>
          <reference field="1" count="1" selected="0">
            <x v="182"/>
          </reference>
          <reference field="2" count="1">
            <x v="1203"/>
          </reference>
        </references>
      </pivotArea>
    </format>
    <format dxfId="288">
      <pivotArea dataOnly="0" labelOnly="1" outline="0" fieldPosition="0">
        <references count="3">
          <reference field="0" count="1" selected="0">
            <x v="87"/>
          </reference>
          <reference field="1" count="1" selected="0">
            <x v="182"/>
          </reference>
          <reference field="2" count="1">
            <x v="1203"/>
          </reference>
        </references>
      </pivotArea>
    </format>
    <format dxfId="287">
      <pivotArea dataOnly="0" labelOnly="1" outline="0" fieldPosition="0">
        <references count="3">
          <reference field="0" count="1" selected="0">
            <x v="89"/>
          </reference>
          <reference field="1" count="1" selected="0">
            <x v="182"/>
          </reference>
          <reference field="2" count="1">
            <x v="1205"/>
          </reference>
        </references>
      </pivotArea>
    </format>
    <format dxfId="286">
      <pivotArea dataOnly="0" labelOnly="1" outline="0" fieldPosition="0">
        <references count="3">
          <reference field="0" count="1" selected="0">
            <x v="89"/>
          </reference>
          <reference field="1" count="1" selected="0">
            <x v="182"/>
          </reference>
          <reference field="2" count="1">
            <x v="1205"/>
          </reference>
        </references>
      </pivotArea>
    </format>
    <format dxfId="285">
      <pivotArea dataOnly="0" labelOnly="1" outline="0" fieldPosition="0">
        <references count="3">
          <reference field="0" count="1" selected="0">
            <x v="91"/>
          </reference>
          <reference field="1" count="1" selected="0">
            <x v="182"/>
          </reference>
          <reference field="2" count="1">
            <x v="1207"/>
          </reference>
        </references>
      </pivotArea>
    </format>
    <format dxfId="284">
      <pivotArea dataOnly="0" labelOnly="1" outline="0" fieldPosition="0">
        <references count="3">
          <reference field="0" count="1" selected="0">
            <x v="91"/>
          </reference>
          <reference field="1" count="1" selected="0">
            <x v="182"/>
          </reference>
          <reference field="2" count="1">
            <x v="1207"/>
          </reference>
        </references>
      </pivotArea>
    </format>
    <format dxfId="283">
      <pivotArea dataOnly="0" labelOnly="1" outline="0" fieldPosition="0">
        <references count="3">
          <reference field="0" count="1" selected="0">
            <x v="93"/>
          </reference>
          <reference field="1" count="1" selected="0">
            <x v="182"/>
          </reference>
          <reference field="2" count="1">
            <x v="116"/>
          </reference>
        </references>
      </pivotArea>
    </format>
    <format dxfId="282">
      <pivotArea dataOnly="0" labelOnly="1" outline="0" fieldPosition="0">
        <references count="3">
          <reference field="0" count="1" selected="0">
            <x v="93"/>
          </reference>
          <reference field="1" count="1" selected="0">
            <x v="182"/>
          </reference>
          <reference field="2" count="1">
            <x v="116"/>
          </reference>
        </references>
      </pivotArea>
    </format>
    <format dxfId="281">
      <pivotArea dataOnly="0" labelOnly="1" outline="0" fieldPosition="0">
        <references count="3">
          <reference field="0" count="1" selected="0">
            <x v="96"/>
          </reference>
          <reference field="1" count="1" selected="0">
            <x v="182"/>
          </reference>
          <reference field="2" count="1">
            <x v="1211"/>
          </reference>
        </references>
      </pivotArea>
    </format>
    <format dxfId="280">
      <pivotArea dataOnly="0" labelOnly="1" outline="0" fieldPosition="0">
        <references count="3">
          <reference field="0" count="1" selected="0">
            <x v="96"/>
          </reference>
          <reference field="1" count="1" selected="0">
            <x v="182"/>
          </reference>
          <reference field="2" count="1">
            <x v="1211"/>
          </reference>
        </references>
      </pivotArea>
    </format>
    <format dxfId="279">
      <pivotArea dataOnly="0" labelOnly="1" outline="0" fieldPosition="0">
        <references count="3">
          <reference field="0" count="1" selected="0">
            <x v="98"/>
          </reference>
          <reference field="1" count="1" selected="0">
            <x v="182"/>
          </reference>
          <reference field="2" count="1">
            <x v="177"/>
          </reference>
        </references>
      </pivotArea>
    </format>
    <format dxfId="278">
      <pivotArea dataOnly="0" labelOnly="1" outline="0" fieldPosition="0">
        <references count="3">
          <reference field="0" count="1" selected="0">
            <x v="98"/>
          </reference>
          <reference field="1" count="1" selected="0">
            <x v="182"/>
          </reference>
          <reference field="2" count="1">
            <x v="177"/>
          </reference>
        </references>
      </pivotArea>
    </format>
    <format dxfId="277">
      <pivotArea dataOnly="0" labelOnly="1" outline="0" fieldPosition="0">
        <references count="3">
          <reference field="0" count="1" selected="0">
            <x v="100"/>
          </reference>
          <reference field="1" count="1" selected="0">
            <x v="182"/>
          </reference>
          <reference field="2" count="1">
            <x v="321"/>
          </reference>
        </references>
      </pivotArea>
    </format>
    <format dxfId="276">
      <pivotArea dataOnly="0" labelOnly="1" outline="0" fieldPosition="0">
        <references count="3">
          <reference field="0" count="1" selected="0">
            <x v="100"/>
          </reference>
          <reference field="1" count="1" selected="0">
            <x v="182"/>
          </reference>
          <reference field="2" count="1">
            <x v="321"/>
          </reference>
        </references>
      </pivotArea>
    </format>
    <format dxfId="275">
      <pivotArea dataOnly="0" labelOnly="1" outline="0" fieldPosition="0">
        <references count="3">
          <reference field="0" count="1" selected="0">
            <x v="105"/>
          </reference>
          <reference field="1" count="1" selected="0">
            <x v="182"/>
          </reference>
          <reference field="2" count="1">
            <x v="1218"/>
          </reference>
        </references>
      </pivotArea>
    </format>
    <format dxfId="274">
      <pivotArea dataOnly="0" labelOnly="1" outline="0" fieldPosition="0">
        <references count="3">
          <reference field="0" count="1" selected="0">
            <x v="105"/>
          </reference>
          <reference field="1" count="1" selected="0">
            <x v="182"/>
          </reference>
          <reference field="2" count="1">
            <x v="1218"/>
          </reference>
        </references>
      </pivotArea>
    </format>
    <format dxfId="273">
      <pivotArea dataOnly="0" labelOnly="1" outline="0" fieldPosition="0">
        <references count="3">
          <reference field="0" count="1" selected="0">
            <x v="107"/>
          </reference>
          <reference field="1" count="1" selected="0">
            <x v="182"/>
          </reference>
          <reference field="2" count="1">
            <x v="1225"/>
          </reference>
        </references>
      </pivotArea>
    </format>
    <format dxfId="272">
      <pivotArea dataOnly="0" labelOnly="1" outline="0" fieldPosition="0">
        <references count="3">
          <reference field="0" count="1" selected="0">
            <x v="107"/>
          </reference>
          <reference field="1" count="1" selected="0">
            <x v="182"/>
          </reference>
          <reference field="2" count="1">
            <x v="1225"/>
          </reference>
        </references>
      </pivotArea>
    </format>
    <format dxfId="271">
      <pivotArea dataOnly="0" labelOnly="1" outline="0" fieldPosition="0">
        <references count="3">
          <reference field="0" count="1" selected="0">
            <x v="109"/>
          </reference>
          <reference field="1" count="1" selected="0">
            <x v="182"/>
          </reference>
          <reference field="2" count="1">
            <x v="1227"/>
          </reference>
        </references>
      </pivotArea>
    </format>
    <format dxfId="270">
      <pivotArea dataOnly="0" labelOnly="1" outline="0" fieldPosition="0">
        <references count="3">
          <reference field="0" count="1" selected="0">
            <x v="109"/>
          </reference>
          <reference field="1" count="1" selected="0">
            <x v="182"/>
          </reference>
          <reference field="2" count="1">
            <x v="1227"/>
          </reference>
        </references>
      </pivotArea>
    </format>
    <format dxfId="269">
      <pivotArea dataOnly="0" labelOnly="1" outline="0" fieldPosition="0">
        <references count="3">
          <reference field="0" count="1" selected="0">
            <x v="110"/>
          </reference>
          <reference field="1" count="1" selected="0">
            <x v="182"/>
          </reference>
          <reference field="2" count="1">
            <x v="1201"/>
          </reference>
        </references>
      </pivotArea>
    </format>
    <format dxfId="268">
      <pivotArea dataOnly="0" labelOnly="1" outline="0" fieldPosition="0">
        <references count="3">
          <reference field="0" count="1" selected="0">
            <x v="110"/>
          </reference>
          <reference field="1" count="1" selected="0">
            <x v="182"/>
          </reference>
          <reference field="2" count="1">
            <x v="1201"/>
          </reference>
        </references>
      </pivotArea>
    </format>
    <format dxfId="267">
      <pivotArea dataOnly="0" labelOnly="1" outline="0" fieldPosition="0">
        <references count="3">
          <reference field="0" count="1" selected="0">
            <x v="112"/>
          </reference>
          <reference field="1" count="1" selected="0">
            <x v="182"/>
          </reference>
          <reference field="2" count="1">
            <x v="1203"/>
          </reference>
        </references>
      </pivotArea>
    </format>
    <format dxfId="266">
      <pivotArea dataOnly="0" labelOnly="1" outline="0" fieldPosition="0">
        <references count="3">
          <reference field="0" count="1" selected="0">
            <x v="112"/>
          </reference>
          <reference field="1" count="1" selected="0">
            <x v="182"/>
          </reference>
          <reference field="2" count="1">
            <x v="1203"/>
          </reference>
        </references>
      </pivotArea>
    </format>
    <format dxfId="265">
      <pivotArea dataOnly="0" labelOnly="1" outline="0" fieldPosition="0">
        <references count="3">
          <reference field="0" count="1" selected="0">
            <x v="114"/>
          </reference>
          <reference field="1" count="1" selected="0">
            <x v="182"/>
          </reference>
          <reference field="2" count="1">
            <x v="1205"/>
          </reference>
        </references>
      </pivotArea>
    </format>
    <format dxfId="264">
      <pivotArea dataOnly="0" labelOnly="1" outline="0" fieldPosition="0">
        <references count="3">
          <reference field="0" count="1" selected="0">
            <x v="114"/>
          </reference>
          <reference field="1" count="1" selected="0">
            <x v="182"/>
          </reference>
          <reference field="2" count="1">
            <x v="1205"/>
          </reference>
        </references>
      </pivotArea>
    </format>
    <format dxfId="263">
      <pivotArea dataOnly="0" labelOnly="1" outline="0" fieldPosition="0">
        <references count="3">
          <reference field="0" count="1" selected="0">
            <x v="116"/>
          </reference>
          <reference field="1" count="1" selected="0">
            <x v="182"/>
          </reference>
          <reference field="2" count="1">
            <x v="1207"/>
          </reference>
        </references>
      </pivotArea>
    </format>
    <format dxfId="262">
      <pivotArea dataOnly="0" labelOnly="1" outline="0" fieldPosition="0">
        <references count="3">
          <reference field="0" count="1" selected="0">
            <x v="116"/>
          </reference>
          <reference field="1" count="1" selected="0">
            <x v="182"/>
          </reference>
          <reference field="2" count="1">
            <x v="1207"/>
          </reference>
        </references>
      </pivotArea>
    </format>
    <format dxfId="261">
      <pivotArea dataOnly="0" labelOnly="1" outline="0" fieldPosition="0">
        <references count="3">
          <reference field="0" count="1" selected="0">
            <x v="118"/>
          </reference>
          <reference field="1" count="1" selected="0">
            <x v="182"/>
          </reference>
          <reference field="2" count="1">
            <x v="116"/>
          </reference>
        </references>
      </pivotArea>
    </format>
    <format dxfId="260">
      <pivotArea dataOnly="0" labelOnly="1" outline="0" fieldPosition="0">
        <references count="3">
          <reference field="0" count="1" selected="0">
            <x v="118"/>
          </reference>
          <reference field="1" count="1" selected="0">
            <x v="182"/>
          </reference>
          <reference field="2" count="1">
            <x v="116"/>
          </reference>
        </references>
      </pivotArea>
    </format>
    <format dxfId="259">
      <pivotArea dataOnly="0" labelOnly="1" outline="0" fieldPosition="0">
        <references count="3">
          <reference field="0" count="1" selected="0">
            <x v="121"/>
          </reference>
          <reference field="1" count="1" selected="0">
            <x v="182"/>
          </reference>
          <reference field="2" count="1">
            <x v="1211"/>
          </reference>
        </references>
      </pivotArea>
    </format>
    <format dxfId="258">
      <pivotArea dataOnly="0" labelOnly="1" outline="0" fieldPosition="0">
        <references count="3">
          <reference field="0" count="1" selected="0">
            <x v="121"/>
          </reference>
          <reference field="1" count="1" selected="0">
            <x v="182"/>
          </reference>
          <reference field="2" count="1">
            <x v="1211"/>
          </reference>
        </references>
      </pivotArea>
    </format>
    <format dxfId="257">
      <pivotArea dataOnly="0" labelOnly="1" outline="0" fieldPosition="0">
        <references count="3">
          <reference field="0" count="1" selected="0">
            <x v="123"/>
          </reference>
          <reference field="1" count="1" selected="0">
            <x v="182"/>
          </reference>
          <reference field="2" count="1">
            <x v="177"/>
          </reference>
        </references>
      </pivotArea>
    </format>
    <format dxfId="256">
      <pivotArea dataOnly="0" labelOnly="1" outline="0" fieldPosition="0">
        <references count="3">
          <reference field="0" count="1" selected="0">
            <x v="123"/>
          </reference>
          <reference field="1" count="1" selected="0">
            <x v="182"/>
          </reference>
          <reference field="2" count="1">
            <x v="177"/>
          </reference>
        </references>
      </pivotArea>
    </format>
    <format dxfId="255">
      <pivotArea dataOnly="0" labelOnly="1" outline="0" fieldPosition="0">
        <references count="3">
          <reference field="0" count="1" selected="0">
            <x v="125"/>
          </reference>
          <reference field="1" count="1" selected="0">
            <x v="182"/>
          </reference>
          <reference field="2" count="1">
            <x v="321"/>
          </reference>
        </references>
      </pivotArea>
    </format>
    <format dxfId="254">
      <pivotArea dataOnly="0" labelOnly="1" outline="0" fieldPosition="0">
        <references count="3">
          <reference field="0" count="1" selected="0">
            <x v="125"/>
          </reference>
          <reference field="1" count="1" selected="0">
            <x v="182"/>
          </reference>
          <reference field="2" count="1">
            <x v="321"/>
          </reference>
        </references>
      </pivotArea>
    </format>
    <format dxfId="253">
      <pivotArea dataOnly="0" labelOnly="1" outline="0" fieldPosition="0">
        <references count="3">
          <reference field="0" count="1" selected="0">
            <x v="130"/>
          </reference>
          <reference field="1" count="1" selected="0">
            <x v="182"/>
          </reference>
          <reference field="2" count="1">
            <x v="1218"/>
          </reference>
        </references>
      </pivotArea>
    </format>
    <format dxfId="252">
      <pivotArea dataOnly="0" labelOnly="1" outline="0" fieldPosition="0">
        <references count="3">
          <reference field="0" count="1" selected="0">
            <x v="130"/>
          </reference>
          <reference field="1" count="1" selected="0">
            <x v="182"/>
          </reference>
          <reference field="2" count="1">
            <x v="1218"/>
          </reference>
        </references>
      </pivotArea>
    </format>
    <format dxfId="251">
      <pivotArea dataOnly="0" labelOnly="1" outline="0" fieldPosition="0">
        <references count="3">
          <reference field="0" count="1" selected="0">
            <x v="132"/>
          </reference>
          <reference field="1" count="1" selected="0">
            <x v="182"/>
          </reference>
          <reference field="2" count="1">
            <x v="1231"/>
          </reference>
        </references>
      </pivotArea>
    </format>
    <format dxfId="250">
      <pivotArea dataOnly="0" labelOnly="1" outline="0" fieldPosition="0">
        <references count="3">
          <reference field="0" count="1" selected="0">
            <x v="132"/>
          </reference>
          <reference field="1" count="1" selected="0">
            <x v="182"/>
          </reference>
          <reference field="2" count="1">
            <x v="1231"/>
          </reference>
        </references>
      </pivotArea>
    </format>
    <format dxfId="249">
      <pivotArea dataOnly="0" labelOnly="1" outline="0" fieldPosition="0">
        <references count="3">
          <reference field="0" count="1" selected="0">
            <x v="133"/>
          </reference>
          <reference field="1" count="1" selected="0">
            <x v="182"/>
          </reference>
          <reference field="2" count="1">
            <x v="1201"/>
          </reference>
        </references>
      </pivotArea>
    </format>
    <format dxfId="248">
      <pivotArea dataOnly="0" labelOnly="1" outline="0" fieldPosition="0">
        <references count="3">
          <reference field="0" count="1" selected="0">
            <x v="133"/>
          </reference>
          <reference field="1" count="1" selected="0">
            <x v="182"/>
          </reference>
          <reference field="2" count="1">
            <x v="1201"/>
          </reference>
        </references>
      </pivotArea>
    </format>
    <format dxfId="247">
      <pivotArea dataOnly="0" labelOnly="1" outline="0" fieldPosition="0">
        <references count="3">
          <reference field="0" count="1" selected="0">
            <x v="135"/>
          </reference>
          <reference field="1" count="1" selected="0">
            <x v="182"/>
          </reference>
          <reference field="2" count="1">
            <x v="1203"/>
          </reference>
        </references>
      </pivotArea>
    </format>
    <format dxfId="246">
      <pivotArea dataOnly="0" labelOnly="1" outline="0" fieldPosition="0">
        <references count="3">
          <reference field="0" count="1" selected="0">
            <x v="135"/>
          </reference>
          <reference field="1" count="1" selected="0">
            <x v="182"/>
          </reference>
          <reference field="2" count="1">
            <x v="1203"/>
          </reference>
        </references>
      </pivotArea>
    </format>
    <format dxfId="245">
      <pivotArea dataOnly="0" labelOnly="1" outline="0" fieldPosition="0">
        <references count="3">
          <reference field="0" count="1" selected="0">
            <x v="137"/>
          </reference>
          <reference field="1" count="1" selected="0">
            <x v="182"/>
          </reference>
          <reference field="2" count="1">
            <x v="1205"/>
          </reference>
        </references>
      </pivotArea>
    </format>
    <format dxfId="244">
      <pivotArea dataOnly="0" labelOnly="1" outline="0" fieldPosition="0">
        <references count="3">
          <reference field="0" count="1" selected="0">
            <x v="137"/>
          </reference>
          <reference field="1" count="1" selected="0">
            <x v="182"/>
          </reference>
          <reference field="2" count="1">
            <x v="1205"/>
          </reference>
        </references>
      </pivotArea>
    </format>
    <format dxfId="243">
      <pivotArea dataOnly="0" labelOnly="1" outline="0" fieldPosition="0">
        <references count="3">
          <reference field="0" count="1" selected="0">
            <x v="139"/>
          </reference>
          <reference field="1" count="1" selected="0">
            <x v="182"/>
          </reference>
          <reference field="2" count="1">
            <x v="1207"/>
          </reference>
        </references>
      </pivotArea>
    </format>
    <format dxfId="242">
      <pivotArea dataOnly="0" labelOnly="1" outline="0" fieldPosition="0">
        <references count="3">
          <reference field="0" count="1" selected="0">
            <x v="139"/>
          </reference>
          <reference field="1" count="1" selected="0">
            <x v="182"/>
          </reference>
          <reference field="2" count="1">
            <x v="1207"/>
          </reference>
        </references>
      </pivotArea>
    </format>
    <format dxfId="241">
      <pivotArea dataOnly="0" labelOnly="1" outline="0" fieldPosition="0">
        <references count="3">
          <reference field="0" count="1" selected="0">
            <x v="141"/>
          </reference>
          <reference field="1" count="1" selected="0">
            <x v="182"/>
          </reference>
          <reference field="2" count="1">
            <x v="116"/>
          </reference>
        </references>
      </pivotArea>
    </format>
    <format dxfId="240">
      <pivotArea dataOnly="0" labelOnly="1" outline="0" fieldPosition="0">
        <references count="3">
          <reference field="0" count="1" selected="0">
            <x v="141"/>
          </reference>
          <reference field="1" count="1" selected="0">
            <x v="182"/>
          </reference>
          <reference field="2" count="1">
            <x v="116"/>
          </reference>
        </references>
      </pivotArea>
    </format>
    <format dxfId="239">
      <pivotArea dataOnly="0" labelOnly="1" outline="0" fieldPosition="0">
        <references count="3">
          <reference field="0" count="1" selected="0">
            <x v="144"/>
          </reference>
          <reference field="1" count="1" selected="0">
            <x v="182"/>
          </reference>
          <reference field="2" count="1">
            <x v="1211"/>
          </reference>
        </references>
      </pivotArea>
    </format>
    <format dxfId="238">
      <pivotArea dataOnly="0" labelOnly="1" outline="0" fieldPosition="0">
        <references count="3">
          <reference field="0" count="1" selected="0">
            <x v="144"/>
          </reference>
          <reference field="1" count="1" selected="0">
            <x v="182"/>
          </reference>
          <reference field="2" count="1">
            <x v="1211"/>
          </reference>
        </references>
      </pivotArea>
    </format>
    <format dxfId="237">
      <pivotArea dataOnly="0" labelOnly="1" outline="0" fieldPosition="0">
        <references count="3">
          <reference field="0" count="1" selected="0">
            <x v="146"/>
          </reference>
          <reference field="1" count="1" selected="0">
            <x v="182"/>
          </reference>
          <reference field="2" count="1">
            <x v="177"/>
          </reference>
        </references>
      </pivotArea>
    </format>
    <format dxfId="236">
      <pivotArea dataOnly="0" labelOnly="1" outline="0" fieldPosition="0">
        <references count="3">
          <reference field="0" count="1" selected="0">
            <x v="146"/>
          </reference>
          <reference field="1" count="1" selected="0">
            <x v="182"/>
          </reference>
          <reference field="2" count="1">
            <x v="177"/>
          </reference>
        </references>
      </pivotArea>
    </format>
    <format dxfId="235">
      <pivotArea dataOnly="0" labelOnly="1" outline="0" fieldPosition="0">
        <references count="3">
          <reference field="0" count="1" selected="0">
            <x v="148"/>
          </reference>
          <reference field="1" count="1" selected="0">
            <x v="182"/>
          </reference>
          <reference field="2" count="1">
            <x v="321"/>
          </reference>
        </references>
      </pivotArea>
    </format>
    <format dxfId="234">
      <pivotArea dataOnly="0" labelOnly="1" outline="0" fieldPosition="0">
        <references count="3">
          <reference field="0" count="1" selected="0">
            <x v="148"/>
          </reference>
          <reference field="1" count="1" selected="0">
            <x v="182"/>
          </reference>
          <reference field="2" count="1">
            <x v="321"/>
          </reference>
        </references>
      </pivotArea>
    </format>
    <format dxfId="233">
      <pivotArea dataOnly="0" labelOnly="1" outline="0" fieldPosition="0">
        <references count="3">
          <reference field="0" count="1" selected="0">
            <x v="153"/>
          </reference>
          <reference field="1" count="1" selected="0">
            <x v="182"/>
          </reference>
          <reference field="2" count="1">
            <x v="1218"/>
          </reference>
        </references>
      </pivotArea>
    </format>
    <format dxfId="232">
      <pivotArea dataOnly="0" labelOnly="1" outline="0" fieldPosition="0">
        <references count="3">
          <reference field="0" count="1" selected="0">
            <x v="153"/>
          </reference>
          <reference field="1" count="1" selected="0">
            <x v="182"/>
          </reference>
          <reference field="2" count="1">
            <x v="1218"/>
          </reference>
        </references>
      </pivotArea>
    </format>
    <format dxfId="231">
      <pivotArea dataOnly="0" labelOnly="1" outline="0" fieldPosition="0">
        <references count="3">
          <reference field="0" count="1" selected="0">
            <x v="155"/>
          </reference>
          <reference field="1" count="1" selected="0">
            <x v="182"/>
          </reference>
          <reference field="2" count="1">
            <x v="1225"/>
          </reference>
        </references>
      </pivotArea>
    </format>
    <format dxfId="230">
      <pivotArea dataOnly="0" labelOnly="1" outline="0" fieldPosition="0">
        <references count="3">
          <reference field="0" count="1" selected="0">
            <x v="155"/>
          </reference>
          <reference field="1" count="1" selected="0">
            <x v="182"/>
          </reference>
          <reference field="2" count="1">
            <x v="1225"/>
          </reference>
        </references>
      </pivotArea>
    </format>
    <format dxfId="229">
      <pivotArea dataOnly="0" labelOnly="1" outline="0" fieldPosition="0">
        <references count="3">
          <reference field="0" count="1" selected="0">
            <x v="157"/>
          </reference>
          <reference field="1" count="1" selected="0">
            <x v="182"/>
          </reference>
          <reference field="2" count="1">
            <x v="1234"/>
          </reference>
        </references>
      </pivotArea>
    </format>
    <format dxfId="228">
      <pivotArea dataOnly="0" labelOnly="1" outline="0" fieldPosition="0">
        <references count="3">
          <reference field="0" count="1" selected="0">
            <x v="84"/>
          </reference>
          <reference field="1" count="1" selected="0">
            <x v="182"/>
          </reference>
          <reference field="2" count="1">
            <x v="1220"/>
          </reference>
        </references>
      </pivotArea>
    </format>
    <format dxfId="227">
      <pivotArea dataOnly="0" labelOnly="1" outline="0" fieldPosition="0">
        <references count="3">
          <reference field="0" count="1" selected="0">
            <x v="61"/>
          </reference>
          <reference field="1" count="1" selected="0">
            <x v="182"/>
          </reference>
          <reference field="2" count="1">
            <x v="1200"/>
          </reference>
        </references>
      </pivotArea>
    </format>
    <format dxfId="226">
      <pivotArea dataOnly="0" labelOnly="1" outline="0" fieldPosition="0">
        <references count="3">
          <reference field="0" count="1" selected="0">
            <x v="157"/>
          </reference>
          <reference field="1" count="1" selected="0">
            <x v="182"/>
          </reference>
          <reference field="2" count="1">
            <x v="1234"/>
          </reference>
        </references>
      </pivotArea>
    </format>
    <format dxfId="225">
      <pivotArea dataOnly="0" labelOnly="1" outline="0" fieldPosition="0">
        <references count="3">
          <reference field="0" count="1" selected="0">
            <x v="158"/>
          </reference>
          <reference field="1" count="1" selected="0">
            <x v="182"/>
          </reference>
          <reference field="2" count="1">
            <x v="1201"/>
          </reference>
        </references>
      </pivotArea>
    </format>
    <format dxfId="224">
      <pivotArea dataOnly="0" labelOnly="1" outline="0" fieldPosition="0">
        <references count="3">
          <reference field="0" count="1" selected="0">
            <x v="158"/>
          </reference>
          <reference field="1" count="1" selected="0">
            <x v="182"/>
          </reference>
          <reference field="2" count="1">
            <x v="1201"/>
          </reference>
        </references>
      </pivotArea>
    </format>
    <format dxfId="223">
      <pivotArea dataOnly="0" labelOnly="1" outline="0" fieldPosition="0">
        <references count="3">
          <reference field="0" count="1" selected="0">
            <x v="160"/>
          </reference>
          <reference field="1" count="1" selected="0">
            <x v="182"/>
          </reference>
          <reference field="2" count="1">
            <x v="1203"/>
          </reference>
        </references>
      </pivotArea>
    </format>
    <format dxfId="222">
      <pivotArea dataOnly="0" labelOnly="1" outline="0" fieldPosition="0">
        <references count="3">
          <reference field="0" count="1" selected="0">
            <x v="160"/>
          </reference>
          <reference field="1" count="1" selected="0">
            <x v="182"/>
          </reference>
          <reference field="2" count="1">
            <x v="1203"/>
          </reference>
        </references>
      </pivotArea>
    </format>
    <format dxfId="221">
      <pivotArea dataOnly="0" labelOnly="1" outline="0" fieldPosition="0">
        <references count="3">
          <reference field="0" count="1" selected="0">
            <x v="162"/>
          </reference>
          <reference field="1" count="1" selected="0">
            <x v="182"/>
          </reference>
          <reference field="2" count="1">
            <x v="1205"/>
          </reference>
        </references>
      </pivotArea>
    </format>
    <format dxfId="220">
      <pivotArea dataOnly="0" labelOnly="1" outline="0" fieldPosition="0">
        <references count="3">
          <reference field="0" count="1" selected="0">
            <x v="162"/>
          </reference>
          <reference field="1" count="1" selected="0">
            <x v="182"/>
          </reference>
          <reference field="2" count="1">
            <x v="1205"/>
          </reference>
        </references>
      </pivotArea>
    </format>
    <format dxfId="219">
      <pivotArea dataOnly="0" labelOnly="1" outline="0" fieldPosition="0">
        <references count="3">
          <reference field="0" count="1" selected="0">
            <x v="164"/>
          </reference>
          <reference field="1" count="1" selected="0">
            <x v="182"/>
          </reference>
          <reference field="2" count="1">
            <x v="1207"/>
          </reference>
        </references>
      </pivotArea>
    </format>
    <format dxfId="218">
      <pivotArea dataOnly="0" labelOnly="1" outline="0" fieldPosition="0">
        <references count="3">
          <reference field="0" count="1" selected="0">
            <x v="164"/>
          </reference>
          <reference field="1" count="1" selected="0">
            <x v="182"/>
          </reference>
          <reference field="2" count="1">
            <x v="1207"/>
          </reference>
        </references>
      </pivotArea>
    </format>
    <format dxfId="217">
      <pivotArea dataOnly="0" labelOnly="1" outline="0" fieldPosition="0">
        <references count="3">
          <reference field="0" count="1" selected="0">
            <x v="166"/>
          </reference>
          <reference field="1" count="1" selected="0">
            <x v="182"/>
          </reference>
          <reference field="2" count="1">
            <x v="116"/>
          </reference>
        </references>
      </pivotArea>
    </format>
    <format dxfId="216">
      <pivotArea dataOnly="0" labelOnly="1" outline="0" fieldPosition="0">
        <references count="3">
          <reference field="0" count="1" selected="0">
            <x v="166"/>
          </reference>
          <reference field="1" count="1" selected="0">
            <x v="182"/>
          </reference>
          <reference field="2" count="1">
            <x v="116"/>
          </reference>
        </references>
      </pivotArea>
    </format>
    <format dxfId="215">
      <pivotArea dataOnly="0" labelOnly="1" outline="0" fieldPosition="0">
        <references count="3">
          <reference field="0" count="1" selected="0">
            <x v="169"/>
          </reference>
          <reference field="1" count="1" selected="0">
            <x v="182"/>
          </reference>
          <reference field="2" count="1">
            <x v="1211"/>
          </reference>
        </references>
      </pivotArea>
    </format>
    <format dxfId="214">
      <pivotArea dataOnly="0" labelOnly="1" outline="0" fieldPosition="0">
        <references count="3">
          <reference field="0" count="1" selected="0">
            <x v="169"/>
          </reference>
          <reference field="1" count="1" selected="0">
            <x v="182"/>
          </reference>
          <reference field="2" count="1">
            <x v="1211"/>
          </reference>
        </references>
      </pivotArea>
    </format>
    <format dxfId="213">
      <pivotArea dataOnly="0" labelOnly="1" outline="0" fieldPosition="0">
        <references count="3">
          <reference field="0" count="1" selected="0">
            <x v="171"/>
          </reference>
          <reference field="1" count="1" selected="0">
            <x v="182"/>
          </reference>
          <reference field="2" count="1">
            <x v="177"/>
          </reference>
        </references>
      </pivotArea>
    </format>
    <format dxfId="212">
      <pivotArea dataOnly="0" labelOnly="1" outline="0" fieldPosition="0">
        <references count="3">
          <reference field="0" count="1" selected="0">
            <x v="171"/>
          </reference>
          <reference field="1" count="1" selected="0">
            <x v="182"/>
          </reference>
          <reference field="2" count="1">
            <x v="177"/>
          </reference>
        </references>
      </pivotArea>
    </format>
    <format dxfId="211">
      <pivotArea dataOnly="0" labelOnly="1" outline="0" fieldPosition="0">
        <references count="3">
          <reference field="0" count="1" selected="0">
            <x v="173"/>
          </reference>
          <reference field="1" count="1" selected="0">
            <x v="182"/>
          </reference>
          <reference field="2" count="1">
            <x v="321"/>
          </reference>
        </references>
      </pivotArea>
    </format>
    <format dxfId="210">
      <pivotArea dataOnly="0" labelOnly="1" outline="0" fieldPosition="0">
        <references count="3">
          <reference field="0" count="1" selected="0">
            <x v="173"/>
          </reference>
          <reference field="1" count="1" selected="0">
            <x v="182"/>
          </reference>
          <reference field="2" count="1">
            <x v="321"/>
          </reference>
        </references>
      </pivotArea>
    </format>
    <format dxfId="209">
      <pivotArea dataOnly="0" labelOnly="1" outline="0" fieldPosition="0">
        <references count="3">
          <reference field="0" count="1" selected="0">
            <x v="178"/>
          </reference>
          <reference field="1" count="1" selected="0">
            <x v="182"/>
          </reference>
          <reference field="2" count="1">
            <x v="1218"/>
          </reference>
        </references>
      </pivotArea>
    </format>
    <format dxfId="208">
      <pivotArea dataOnly="0" labelOnly="1" outline="0" fieldPosition="0">
        <references count="3">
          <reference field="0" count="1" selected="0">
            <x v="178"/>
          </reference>
          <reference field="1" count="1" selected="0">
            <x v="182"/>
          </reference>
          <reference field="2" count="1">
            <x v="1218"/>
          </reference>
        </references>
      </pivotArea>
    </format>
    <format dxfId="207">
      <pivotArea dataOnly="0" labelOnly="1" outline="0" fieldPosition="0">
        <references count="3">
          <reference field="0" count="1" selected="0">
            <x v="180"/>
          </reference>
          <reference field="1" count="1" selected="0">
            <x v="182"/>
          </reference>
          <reference field="2" count="1">
            <x v="1225"/>
          </reference>
        </references>
      </pivotArea>
    </format>
    <format dxfId="206">
      <pivotArea dataOnly="0" labelOnly="1" outline="0" fieldPosition="0">
        <references count="3">
          <reference field="0" count="1" selected="0">
            <x v="180"/>
          </reference>
          <reference field="1" count="1" selected="0">
            <x v="182"/>
          </reference>
          <reference field="2" count="1">
            <x v="1225"/>
          </reference>
        </references>
      </pivotArea>
    </format>
    <format dxfId="205">
      <pivotArea dataOnly="0" labelOnly="1" outline="0" fieldPosition="0">
        <references count="3">
          <reference field="0" count="1" selected="0">
            <x v="182"/>
          </reference>
          <reference field="1" count="1" selected="0">
            <x v="182"/>
          </reference>
          <reference field="2" count="1">
            <x v="149"/>
          </reference>
        </references>
      </pivotArea>
    </format>
    <format dxfId="204">
      <pivotArea dataOnly="0" labelOnly="1" outline="0" fieldPosition="0">
        <references count="3">
          <reference field="0" count="1" selected="0">
            <x v="182"/>
          </reference>
          <reference field="1" count="1" selected="0">
            <x v="182"/>
          </reference>
          <reference field="2" count="1">
            <x v="149"/>
          </reference>
        </references>
      </pivotArea>
    </format>
    <format dxfId="203">
      <pivotArea dataOnly="0" labelOnly="1" outline="0" fieldPosition="0">
        <references count="3">
          <reference field="0" count="1" selected="0">
            <x v="183"/>
          </reference>
          <reference field="1" count="1" selected="0">
            <x v="182"/>
          </reference>
          <reference field="2" count="1">
            <x v="860"/>
          </reference>
        </references>
      </pivotArea>
    </format>
    <format dxfId="202">
      <pivotArea dataOnly="0" labelOnly="1" outline="0" fieldPosition="0">
        <references count="3">
          <reference field="0" count="1" selected="0">
            <x v="185"/>
          </reference>
          <reference field="1" count="1" selected="0">
            <x v="182"/>
          </reference>
          <reference field="2" count="1">
            <x v="1237"/>
          </reference>
        </references>
      </pivotArea>
    </format>
    <format dxfId="201">
      <pivotArea dataOnly="0" labelOnly="1" outline="0" fieldPosition="0">
        <references count="3">
          <reference field="0" count="1" selected="0">
            <x v="187"/>
          </reference>
          <reference field="1" count="1" selected="0">
            <x v="182"/>
          </reference>
          <reference field="2" count="1">
            <x v="1239"/>
          </reference>
        </references>
      </pivotArea>
    </format>
    <format dxfId="200">
      <pivotArea dataOnly="0" labelOnly="1" outline="0" fieldPosition="0">
        <references count="3">
          <reference field="0" count="1" selected="0">
            <x v="190"/>
          </reference>
          <reference field="1" count="1" selected="0">
            <x v="182"/>
          </reference>
          <reference field="2" count="1">
            <x v="1242"/>
          </reference>
        </references>
      </pivotArea>
    </format>
    <format dxfId="199">
      <pivotArea dataOnly="0" labelOnly="1" outline="0" fieldPosition="0">
        <references count="3">
          <reference field="0" count="1" selected="0">
            <x v="196"/>
          </reference>
          <reference field="1" count="1" selected="0">
            <x v="182"/>
          </reference>
          <reference field="2" count="1">
            <x v="1248"/>
          </reference>
        </references>
      </pivotArea>
    </format>
    <format dxfId="198">
      <pivotArea dataOnly="0" labelOnly="1" outline="0" fieldPosition="0">
        <references count="3">
          <reference field="0" count="1" selected="0">
            <x v="207"/>
          </reference>
          <reference field="1" count="1" selected="0">
            <x v="182"/>
          </reference>
          <reference field="2" count="1">
            <x v="1259"/>
          </reference>
        </references>
      </pivotArea>
    </format>
    <format dxfId="197">
      <pivotArea dataOnly="0" labelOnly="1" outline="0" fieldPosition="0">
        <references count="3">
          <reference field="0" count="1" selected="0">
            <x v="215"/>
          </reference>
          <reference field="1" count="1" selected="0">
            <x v="182"/>
          </reference>
          <reference field="2" count="1">
            <x v="1267"/>
          </reference>
        </references>
      </pivotArea>
    </format>
    <format dxfId="196">
      <pivotArea dataOnly="0" labelOnly="1" outline="0" fieldPosition="0">
        <references count="3">
          <reference field="0" count="1" selected="0">
            <x v="219"/>
          </reference>
          <reference field="1" count="1" selected="0">
            <x v="182"/>
          </reference>
          <reference field="2" count="1">
            <x v="1271"/>
          </reference>
        </references>
      </pivotArea>
    </format>
    <format dxfId="195">
      <pivotArea dataOnly="0" labelOnly="1" outline="0" fieldPosition="0">
        <references count="3">
          <reference field="0" count="1" selected="0">
            <x v="61"/>
          </reference>
          <reference field="1" count="1" selected="0">
            <x v="182"/>
          </reference>
          <reference field="2" count="1">
            <x v="112"/>
          </reference>
        </references>
      </pivotArea>
    </format>
    <format dxfId="194">
      <pivotArea dataOnly="0" labelOnly="1" outline="0" fieldPosition="0">
        <references count="3">
          <reference field="0" count="1" selected="0">
            <x v="61"/>
          </reference>
          <reference field="1" count="1" selected="0">
            <x v="182"/>
          </reference>
          <reference field="2" count="1">
            <x v="112"/>
          </reference>
        </references>
      </pivotArea>
    </format>
    <format dxfId="193">
      <pivotArea dataOnly="0" labelOnly="1" outline="0" fieldPosition="0">
        <references count="3">
          <reference field="0" count="1" selected="0">
            <x v="62"/>
          </reference>
          <reference field="1" count="1" selected="0">
            <x v="182"/>
          </reference>
          <reference field="2" count="1">
            <x v="1200"/>
          </reference>
        </references>
      </pivotArea>
    </format>
    <format dxfId="192">
      <pivotArea dataOnly="0" labelOnly="1" outline="0" fieldPosition="0">
        <references count="3">
          <reference field="0" count="1" selected="0">
            <x v="63"/>
          </reference>
          <reference field="1" count="1" selected="0">
            <x v="182"/>
          </reference>
          <reference field="2" count="1">
            <x v="1201"/>
          </reference>
        </references>
      </pivotArea>
    </format>
    <format dxfId="191">
      <pivotArea dataOnly="0" labelOnly="1" outline="0" fieldPosition="0">
        <references count="3">
          <reference field="0" count="1" selected="0">
            <x v="63"/>
          </reference>
          <reference field="1" count="1" selected="0">
            <x v="182"/>
          </reference>
          <reference field="2" count="1">
            <x v="1201"/>
          </reference>
        </references>
      </pivotArea>
    </format>
    <format dxfId="190">
      <pivotArea dataOnly="0" labelOnly="1" outline="0" fieldPosition="0">
        <references count="3">
          <reference field="0" count="1" selected="0">
            <x v="65"/>
          </reference>
          <reference field="1" count="1" selected="0">
            <x v="182"/>
          </reference>
          <reference field="2" count="1">
            <x v="1203"/>
          </reference>
        </references>
      </pivotArea>
    </format>
    <format dxfId="189">
      <pivotArea dataOnly="0" labelOnly="1" outline="0" fieldPosition="0">
        <references count="3">
          <reference field="0" count="1" selected="0">
            <x v="65"/>
          </reference>
          <reference field="1" count="1" selected="0">
            <x v="182"/>
          </reference>
          <reference field="2" count="1">
            <x v="1203"/>
          </reference>
        </references>
      </pivotArea>
    </format>
    <format dxfId="188">
      <pivotArea dataOnly="0" labelOnly="1" outline="0" fieldPosition="0">
        <references count="3">
          <reference field="0" count="1" selected="0">
            <x v="67"/>
          </reference>
          <reference field="1" count="1" selected="0">
            <x v="182"/>
          </reference>
          <reference field="2" count="1">
            <x v="1205"/>
          </reference>
        </references>
      </pivotArea>
    </format>
    <format dxfId="187">
      <pivotArea dataOnly="0" labelOnly="1" outline="0" fieldPosition="0">
        <references count="3">
          <reference field="0" count="1" selected="0">
            <x v="67"/>
          </reference>
          <reference field="1" count="1" selected="0">
            <x v="182"/>
          </reference>
          <reference field="2" count="1">
            <x v="1205"/>
          </reference>
        </references>
      </pivotArea>
    </format>
    <format dxfId="186">
      <pivotArea dataOnly="0" labelOnly="1" outline="0" fieldPosition="0">
        <references count="3">
          <reference field="0" count="1" selected="0">
            <x v="69"/>
          </reference>
          <reference field="1" count="1" selected="0">
            <x v="182"/>
          </reference>
          <reference field="2" count="1">
            <x v="1207"/>
          </reference>
        </references>
      </pivotArea>
    </format>
    <format dxfId="185">
      <pivotArea dataOnly="0" labelOnly="1" outline="0" fieldPosition="0">
        <references count="3">
          <reference field="0" count="1" selected="0">
            <x v="69"/>
          </reference>
          <reference field="1" count="1" selected="0">
            <x v="182"/>
          </reference>
          <reference field="2" count="1">
            <x v="1207"/>
          </reference>
        </references>
      </pivotArea>
    </format>
    <format dxfId="184">
      <pivotArea dataOnly="0" labelOnly="1" outline="0" fieldPosition="0">
        <references count="3">
          <reference field="0" count="1" selected="0">
            <x v="71"/>
          </reference>
          <reference field="1" count="1" selected="0">
            <x v="182"/>
          </reference>
          <reference field="2" count="1">
            <x v="116"/>
          </reference>
        </references>
      </pivotArea>
    </format>
    <format dxfId="183">
      <pivotArea dataOnly="0" labelOnly="1" outline="0" fieldPosition="0">
        <references count="3">
          <reference field="0" count="1" selected="0">
            <x v="71"/>
          </reference>
          <reference field="1" count="1" selected="0">
            <x v="182"/>
          </reference>
          <reference field="2" count="1">
            <x v="116"/>
          </reference>
        </references>
      </pivotArea>
    </format>
    <format dxfId="182">
      <pivotArea dataOnly="0" labelOnly="1" outline="0" fieldPosition="0">
        <references count="3">
          <reference field="0" count="1" selected="0">
            <x v="74"/>
          </reference>
          <reference field="1" count="1" selected="0">
            <x v="182"/>
          </reference>
          <reference field="2" count="1">
            <x v="1211"/>
          </reference>
        </references>
      </pivotArea>
    </format>
    <format dxfId="181">
      <pivotArea dataOnly="0" labelOnly="1" outline="0" fieldPosition="0">
        <references count="3">
          <reference field="0" count="1" selected="0">
            <x v="74"/>
          </reference>
          <reference field="1" count="1" selected="0">
            <x v="182"/>
          </reference>
          <reference field="2" count="1">
            <x v="1211"/>
          </reference>
        </references>
      </pivotArea>
    </format>
    <format dxfId="180">
      <pivotArea dataOnly="0" labelOnly="1" outline="0" fieldPosition="0">
        <references count="3">
          <reference field="0" count="1" selected="0">
            <x v="76"/>
          </reference>
          <reference field="1" count="1" selected="0">
            <x v="182"/>
          </reference>
          <reference field="2" count="1">
            <x v="177"/>
          </reference>
        </references>
      </pivotArea>
    </format>
    <format dxfId="179">
      <pivotArea dataOnly="0" labelOnly="1" outline="0" fieldPosition="0">
        <references count="3">
          <reference field="0" count="1" selected="0">
            <x v="76"/>
          </reference>
          <reference field="1" count="1" selected="0">
            <x v="182"/>
          </reference>
          <reference field="2" count="1">
            <x v="177"/>
          </reference>
        </references>
      </pivotArea>
    </format>
    <format dxfId="178">
      <pivotArea dataOnly="0" labelOnly="1" outline="0" fieldPosition="0">
        <references count="3">
          <reference field="0" count="1" selected="0">
            <x v="78"/>
          </reference>
          <reference field="1" count="1" selected="0">
            <x v="182"/>
          </reference>
          <reference field="2" count="1">
            <x v="321"/>
          </reference>
        </references>
      </pivotArea>
    </format>
    <format dxfId="177">
      <pivotArea dataOnly="0" labelOnly="1" outline="0" fieldPosition="0">
        <references count="3">
          <reference field="0" count="1" selected="0">
            <x v="78"/>
          </reference>
          <reference field="1" count="1" selected="0">
            <x v="182"/>
          </reference>
          <reference field="2" count="1">
            <x v="321"/>
          </reference>
        </references>
      </pivotArea>
    </format>
    <format dxfId="176">
      <pivotArea dataOnly="0" labelOnly="1" outline="0" fieldPosition="0">
        <references count="3">
          <reference field="0" count="1" selected="0">
            <x v="83"/>
          </reference>
          <reference field="1" count="1" selected="0">
            <x v="182"/>
          </reference>
          <reference field="2" count="1">
            <x v="1218"/>
          </reference>
        </references>
      </pivotArea>
    </format>
    <format dxfId="175">
      <pivotArea dataOnly="0" labelOnly="1" outline="0" fieldPosition="0">
        <references count="3">
          <reference field="0" count="1" selected="0">
            <x v="83"/>
          </reference>
          <reference field="1" count="1" selected="0">
            <x v="182"/>
          </reference>
          <reference field="2" count="1">
            <x v="1218"/>
          </reference>
        </references>
      </pivotArea>
    </format>
    <format dxfId="174">
      <pivotArea dataOnly="0" labelOnly="1" outline="0" fieldPosition="0">
        <references count="3">
          <reference field="0" count="1" selected="0">
            <x v="85"/>
          </reference>
          <reference field="1" count="1" selected="0">
            <x v="182"/>
          </reference>
          <reference field="2" count="1">
            <x v="1220"/>
          </reference>
        </references>
      </pivotArea>
    </format>
    <format dxfId="173">
      <pivotArea dataOnly="0" labelOnly="1" outline="0" fieldPosition="0">
        <references count="3">
          <reference field="0" count="1" selected="0">
            <x v="85"/>
          </reference>
          <reference field="1" count="1" selected="0">
            <x v="182"/>
          </reference>
          <reference field="2" count="1">
            <x v="1220"/>
          </reference>
        </references>
      </pivotArea>
    </format>
    <format dxfId="172">
      <pivotArea dataOnly="0" labelOnly="1" outline="0" fieldPosition="0">
        <references count="3">
          <reference field="0" count="1" selected="0">
            <x v="86"/>
          </reference>
          <reference field="1" count="1" selected="0">
            <x v="182"/>
          </reference>
          <reference field="2" count="1">
            <x v="1201"/>
          </reference>
        </references>
      </pivotArea>
    </format>
    <format dxfId="171">
      <pivotArea dataOnly="0" labelOnly="1" outline="0" fieldPosition="0">
        <references count="3">
          <reference field="0" count="1" selected="0">
            <x v="86"/>
          </reference>
          <reference field="1" count="1" selected="0">
            <x v="182"/>
          </reference>
          <reference field="2" count="1">
            <x v="1201"/>
          </reference>
        </references>
      </pivotArea>
    </format>
    <format dxfId="170">
      <pivotArea dataOnly="0" labelOnly="1" outline="0" fieldPosition="0">
        <references count="3">
          <reference field="0" count="1" selected="0">
            <x v="88"/>
          </reference>
          <reference field="1" count="1" selected="0">
            <x v="182"/>
          </reference>
          <reference field="2" count="1">
            <x v="1203"/>
          </reference>
        </references>
      </pivotArea>
    </format>
    <format dxfId="169">
      <pivotArea dataOnly="0" labelOnly="1" outline="0" fieldPosition="0">
        <references count="3">
          <reference field="0" count="1" selected="0">
            <x v="88"/>
          </reference>
          <reference field="1" count="1" selected="0">
            <x v="182"/>
          </reference>
          <reference field="2" count="1">
            <x v="1203"/>
          </reference>
        </references>
      </pivotArea>
    </format>
    <format dxfId="168">
      <pivotArea dataOnly="0" labelOnly="1" outline="0" fieldPosition="0">
        <references count="3">
          <reference field="0" count="1" selected="0">
            <x v="90"/>
          </reference>
          <reference field="1" count="1" selected="0">
            <x v="182"/>
          </reference>
          <reference field="2" count="1">
            <x v="1205"/>
          </reference>
        </references>
      </pivotArea>
    </format>
    <format dxfId="167">
      <pivotArea dataOnly="0" labelOnly="1" outline="0" fieldPosition="0">
        <references count="3">
          <reference field="0" count="1" selected="0">
            <x v="90"/>
          </reference>
          <reference field="1" count="1" selected="0">
            <x v="182"/>
          </reference>
          <reference field="2" count="1">
            <x v="1205"/>
          </reference>
        </references>
      </pivotArea>
    </format>
    <format dxfId="166">
      <pivotArea dataOnly="0" labelOnly="1" outline="0" fieldPosition="0">
        <references count="3">
          <reference field="0" count="1" selected="0">
            <x v="92"/>
          </reference>
          <reference field="1" count="1" selected="0">
            <x v="182"/>
          </reference>
          <reference field="2" count="1">
            <x v="1207"/>
          </reference>
        </references>
      </pivotArea>
    </format>
    <format dxfId="165">
      <pivotArea dataOnly="0" labelOnly="1" outline="0" fieldPosition="0">
        <references count="3">
          <reference field="0" count="1" selected="0">
            <x v="92"/>
          </reference>
          <reference field="1" count="1" selected="0">
            <x v="182"/>
          </reference>
          <reference field="2" count="1">
            <x v="1207"/>
          </reference>
        </references>
      </pivotArea>
    </format>
    <format dxfId="164">
      <pivotArea dataOnly="0" labelOnly="1" outline="0" fieldPosition="0">
        <references count="3">
          <reference field="0" count="1" selected="0">
            <x v="94"/>
          </reference>
          <reference field="1" count="1" selected="0">
            <x v="182"/>
          </reference>
          <reference field="2" count="1">
            <x v="116"/>
          </reference>
        </references>
      </pivotArea>
    </format>
    <format dxfId="163">
      <pivotArea dataOnly="0" labelOnly="1" outline="0" fieldPosition="0">
        <references count="3">
          <reference field="0" count="1" selected="0">
            <x v="94"/>
          </reference>
          <reference field="1" count="1" selected="0">
            <x v="182"/>
          </reference>
          <reference field="2" count="1">
            <x v="116"/>
          </reference>
        </references>
      </pivotArea>
    </format>
    <format dxfId="162">
      <pivotArea dataOnly="0" labelOnly="1" outline="0" fieldPosition="0">
        <references count="3">
          <reference field="0" count="1" selected="0">
            <x v="97"/>
          </reference>
          <reference field="1" count="1" selected="0">
            <x v="182"/>
          </reference>
          <reference field="2" count="1">
            <x v="1211"/>
          </reference>
        </references>
      </pivotArea>
    </format>
    <format dxfId="161">
      <pivotArea dataOnly="0" labelOnly="1" outline="0" fieldPosition="0">
        <references count="3">
          <reference field="0" count="1" selected="0">
            <x v="97"/>
          </reference>
          <reference field="1" count="1" selected="0">
            <x v="182"/>
          </reference>
          <reference field="2" count="1">
            <x v="1211"/>
          </reference>
        </references>
      </pivotArea>
    </format>
    <format dxfId="160">
      <pivotArea dataOnly="0" labelOnly="1" outline="0" fieldPosition="0">
        <references count="3">
          <reference field="0" count="1" selected="0">
            <x v="99"/>
          </reference>
          <reference field="1" count="1" selected="0">
            <x v="182"/>
          </reference>
          <reference field="2" count="1">
            <x v="177"/>
          </reference>
        </references>
      </pivotArea>
    </format>
    <format dxfId="159">
      <pivotArea dataOnly="0" labelOnly="1" outline="0" fieldPosition="0">
        <references count="3">
          <reference field="0" count="1" selected="0">
            <x v="99"/>
          </reference>
          <reference field="1" count="1" selected="0">
            <x v="182"/>
          </reference>
          <reference field="2" count="1">
            <x v="177"/>
          </reference>
        </references>
      </pivotArea>
    </format>
    <format dxfId="158">
      <pivotArea dataOnly="0" labelOnly="1" outline="0" fieldPosition="0">
        <references count="3">
          <reference field="0" count="1" selected="0">
            <x v="101"/>
          </reference>
          <reference field="1" count="1" selected="0">
            <x v="182"/>
          </reference>
          <reference field="2" count="1">
            <x v="321"/>
          </reference>
        </references>
      </pivotArea>
    </format>
    <format dxfId="157">
      <pivotArea dataOnly="0" labelOnly="1" outline="0" fieldPosition="0">
        <references count="3">
          <reference field="0" count="1" selected="0">
            <x v="101"/>
          </reference>
          <reference field="1" count="1" selected="0">
            <x v="182"/>
          </reference>
          <reference field="2" count="1">
            <x v="321"/>
          </reference>
        </references>
      </pivotArea>
    </format>
    <format dxfId="156">
      <pivotArea dataOnly="0" labelOnly="1" outline="0" fieldPosition="0">
        <references count="3">
          <reference field="0" count="1" selected="0">
            <x v="106"/>
          </reference>
          <reference field="1" count="1" selected="0">
            <x v="182"/>
          </reference>
          <reference field="2" count="1">
            <x v="1218"/>
          </reference>
        </references>
      </pivotArea>
    </format>
    <format dxfId="155">
      <pivotArea dataOnly="0" labelOnly="1" outline="0" fieldPosition="0">
        <references count="3">
          <reference field="0" count="1" selected="0">
            <x v="106"/>
          </reference>
          <reference field="1" count="1" selected="0">
            <x v="182"/>
          </reference>
          <reference field="2" count="1">
            <x v="1218"/>
          </reference>
        </references>
      </pivotArea>
    </format>
    <format dxfId="154">
      <pivotArea dataOnly="0" labelOnly="1" outline="0" fieldPosition="0">
        <references count="3">
          <reference field="0" count="1" selected="0">
            <x v="108"/>
          </reference>
          <reference field="1" count="1" selected="0">
            <x v="182"/>
          </reference>
          <reference field="2" count="1">
            <x v="1225"/>
          </reference>
        </references>
      </pivotArea>
    </format>
    <format dxfId="153">
      <pivotArea dataOnly="0" labelOnly="1" outline="0" fieldPosition="0">
        <references count="3">
          <reference field="0" count="1" selected="0">
            <x v="108"/>
          </reference>
          <reference field="1" count="1" selected="0">
            <x v="182"/>
          </reference>
          <reference field="2" count="1">
            <x v="1225"/>
          </reference>
        </references>
      </pivotArea>
    </format>
    <format dxfId="152">
      <pivotArea dataOnly="0" labelOnly="1" outline="0" fieldPosition="0">
        <references count="3">
          <reference field="0" count="1" selected="0">
            <x v="110"/>
          </reference>
          <reference field="1" count="1" selected="0">
            <x v="182"/>
          </reference>
          <reference field="2" count="1">
            <x v="1227"/>
          </reference>
        </references>
      </pivotArea>
    </format>
    <format dxfId="151">
      <pivotArea dataOnly="0" labelOnly="1" outline="0" fieldPosition="0">
        <references count="3">
          <reference field="0" count="1" selected="0">
            <x v="110"/>
          </reference>
          <reference field="1" count="1" selected="0">
            <x v="182"/>
          </reference>
          <reference field="2" count="1">
            <x v="1227"/>
          </reference>
        </references>
      </pivotArea>
    </format>
    <format dxfId="150">
      <pivotArea dataOnly="0" labelOnly="1" outline="0" fieldPosition="0">
        <references count="3">
          <reference field="0" count="1" selected="0">
            <x v="111"/>
          </reference>
          <reference field="1" count="1" selected="0">
            <x v="182"/>
          </reference>
          <reference field="2" count="1">
            <x v="1201"/>
          </reference>
        </references>
      </pivotArea>
    </format>
    <format dxfId="149">
      <pivotArea dataOnly="0" labelOnly="1" outline="0" fieldPosition="0">
        <references count="3">
          <reference field="0" count="1" selected="0">
            <x v="111"/>
          </reference>
          <reference field="1" count="1" selected="0">
            <x v="182"/>
          </reference>
          <reference field="2" count="1">
            <x v="1201"/>
          </reference>
        </references>
      </pivotArea>
    </format>
    <format dxfId="148">
      <pivotArea dataOnly="0" labelOnly="1" outline="0" fieldPosition="0">
        <references count="3">
          <reference field="0" count="1" selected="0">
            <x v="113"/>
          </reference>
          <reference field="1" count="1" selected="0">
            <x v="182"/>
          </reference>
          <reference field="2" count="1">
            <x v="1203"/>
          </reference>
        </references>
      </pivotArea>
    </format>
    <format dxfId="147">
      <pivotArea dataOnly="0" labelOnly="1" outline="0" fieldPosition="0">
        <references count="3">
          <reference field="0" count="1" selected="0">
            <x v="113"/>
          </reference>
          <reference field="1" count="1" selected="0">
            <x v="182"/>
          </reference>
          <reference field="2" count="1">
            <x v="1203"/>
          </reference>
        </references>
      </pivotArea>
    </format>
    <format dxfId="146">
      <pivotArea dataOnly="0" labelOnly="1" outline="0" fieldPosition="0">
        <references count="3">
          <reference field="0" count="1" selected="0">
            <x v="115"/>
          </reference>
          <reference field="1" count="1" selected="0">
            <x v="182"/>
          </reference>
          <reference field="2" count="1">
            <x v="1205"/>
          </reference>
        </references>
      </pivotArea>
    </format>
    <format dxfId="145">
      <pivotArea dataOnly="0" labelOnly="1" outline="0" fieldPosition="0">
        <references count="3">
          <reference field="0" count="1" selected="0">
            <x v="115"/>
          </reference>
          <reference field="1" count="1" selected="0">
            <x v="182"/>
          </reference>
          <reference field="2" count="1">
            <x v="1205"/>
          </reference>
        </references>
      </pivotArea>
    </format>
    <format dxfId="144">
      <pivotArea dataOnly="0" labelOnly="1" outline="0" fieldPosition="0">
        <references count="3">
          <reference field="0" count="1" selected="0">
            <x v="117"/>
          </reference>
          <reference field="1" count="1" selected="0">
            <x v="182"/>
          </reference>
          <reference field="2" count="1">
            <x v="1207"/>
          </reference>
        </references>
      </pivotArea>
    </format>
    <format dxfId="143">
      <pivotArea dataOnly="0" labelOnly="1" outline="0" fieldPosition="0">
        <references count="3">
          <reference field="0" count="1" selected="0">
            <x v="117"/>
          </reference>
          <reference field="1" count="1" selected="0">
            <x v="182"/>
          </reference>
          <reference field="2" count="1">
            <x v="1207"/>
          </reference>
        </references>
      </pivotArea>
    </format>
    <format dxfId="142">
      <pivotArea dataOnly="0" labelOnly="1" outline="0" fieldPosition="0">
        <references count="3">
          <reference field="0" count="1" selected="0">
            <x v="119"/>
          </reference>
          <reference field="1" count="1" selected="0">
            <x v="182"/>
          </reference>
          <reference field="2" count="1">
            <x v="116"/>
          </reference>
        </references>
      </pivotArea>
    </format>
    <format dxfId="141">
      <pivotArea dataOnly="0" labelOnly="1" outline="0" fieldPosition="0">
        <references count="3">
          <reference field="0" count="1" selected="0">
            <x v="119"/>
          </reference>
          <reference field="1" count="1" selected="0">
            <x v="182"/>
          </reference>
          <reference field="2" count="1">
            <x v="116"/>
          </reference>
        </references>
      </pivotArea>
    </format>
    <format dxfId="140">
      <pivotArea dataOnly="0" labelOnly="1" outline="0" fieldPosition="0">
        <references count="3">
          <reference field="0" count="1" selected="0">
            <x v="122"/>
          </reference>
          <reference field="1" count="1" selected="0">
            <x v="182"/>
          </reference>
          <reference field="2" count="1">
            <x v="1211"/>
          </reference>
        </references>
      </pivotArea>
    </format>
    <format dxfId="139">
      <pivotArea dataOnly="0" labelOnly="1" outline="0" fieldPosition="0">
        <references count="3">
          <reference field="0" count="1" selected="0">
            <x v="122"/>
          </reference>
          <reference field="1" count="1" selected="0">
            <x v="182"/>
          </reference>
          <reference field="2" count="1">
            <x v="1211"/>
          </reference>
        </references>
      </pivotArea>
    </format>
    <format dxfId="138">
      <pivotArea dataOnly="0" labelOnly="1" outline="0" fieldPosition="0">
        <references count="3">
          <reference field="0" count="1" selected="0">
            <x v="124"/>
          </reference>
          <reference field="1" count="1" selected="0">
            <x v="182"/>
          </reference>
          <reference field="2" count="1">
            <x v="177"/>
          </reference>
        </references>
      </pivotArea>
    </format>
    <format dxfId="137">
      <pivotArea dataOnly="0" labelOnly="1" outline="0" fieldPosition="0">
        <references count="3">
          <reference field="0" count="1" selected="0">
            <x v="124"/>
          </reference>
          <reference field="1" count="1" selected="0">
            <x v="182"/>
          </reference>
          <reference field="2" count="1">
            <x v="177"/>
          </reference>
        </references>
      </pivotArea>
    </format>
    <format dxfId="136">
      <pivotArea dataOnly="0" labelOnly="1" outline="0" fieldPosition="0">
        <references count="3">
          <reference field="0" count="1" selected="0">
            <x v="126"/>
          </reference>
          <reference field="1" count="1" selected="0">
            <x v="182"/>
          </reference>
          <reference field="2" count="1">
            <x v="321"/>
          </reference>
        </references>
      </pivotArea>
    </format>
    <format dxfId="135">
      <pivotArea dataOnly="0" labelOnly="1" outline="0" fieldPosition="0">
        <references count="3">
          <reference field="0" count="1" selected="0">
            <x v="126"/>
          </reference>
          <reference field="1" count="1" selected="0">
            <x v="182"/>
          </reference>
          <reference field="2" count="1">
            <x v="321"/>
          </reference>
        </references>
      </pivotArea>
    </format>
    <format dxfId="134">
      <pivotArea dataOnly="0" labelOnly="1" outline="0" fieldPosition="0">
        <references count="3">
          <reference field="0" count="1" selected="0">
            <x v="131"/>
          </reference>
          <reference field="1" count="1" selected="0">
            <x v="182"/>
          </reference>
          <reference field="2" count="1">
            <x v="1218"/>
          </reference>
        </references>
      </pivotArea>
    </format>
    <format dxfId="133">
      <pivotArea dataOnly="0" labelOnly="1" outline="0" fieldPosition="0">
        <references count="3">
          <reference field="0" count="1" selected="0">
            <x v="131"/>
          </reference>
          <reference field="1" count="1" selected="0">
            <x v="182"/>
          </reference>
          <reference field="2" count="1">
            <x v="1218"/>
          </reference>
        </references>
      </pivotArea>
    </format>
    <format dxfId="132">
      <pivotArea dataOnly="0" labelOnly="1" outline="0" fieldPosition="0">
        <references count="3">
          <reference field="0" count="1" selected="0">
            <x v="133"/>
          </reference>
          <reference field="1" count="1" selected="0">
            <x v="182"/>
          </reference>
          <reference field="2" count="1">
            <x v="1231"/>
          </reference>
        </references>
      </pivotArea>
    </format>
    <format dxfId="131">
      <pivotArea dataOnly="0" labelOnly="1" outline="0" fieldPosition="0">
        <references count="3">
          <reference field="0" count="1" selected="0">
            <x v="133"/>
          </reference>
          <reference field="1" count="1" selected="0">
            <x v="182"/>
          </reference>
          <reference field="2" count="1">
            <x v="1231"/>
          </reference>
        </references>
      </pivotArea>
    </format>
    <format dxfId="130">
      <pivotArea dataOnly="0" labelOnly="1" outline="0" fieldPosition="0">
        <references count="3">
          <reference field="0" count="1" selected="0">
            <x v="134"/>
          </reference>
          <reference field="1" count="1" selected="0">
            <x v="182"/>
          </reference>
          <reference field="2" count="1">
            <x v="1201"/>
          </reference>
        </references>
      </pivotArea>
    </format>
    <format dxfId="129">
      <pivotArea dataOnly="0" labelOnly="1" outline="0" fieldPosition="0">
        <references count="3">
          <reference field="0" count="1" selected="0">
            <x v="134"/>
          </reference>
          <reference field="1" count="1" selected="0">
            <x v="182"/>
          </reference>
          <reference field="2" count="1">
            <x v="1201"/>
          </reference>
        </references>
      </pivotArea>
    </format>
    <format dxfId="128">
      <pivotArea dataOnly="0" labelOnly="1" outline="0" fieldPosition="0">
        <references count="3">
          <reference field="0" count="1" selected="0">
            <x v="136"/>
          </reference>
          <reference field="1" count="1" selected="0">
            <x v="182"/>
          </reference>
          <reference field="2" count="1">
            <x v="1203"/>
          </reference>
        </references>
      </pivotArea>
    </format>
    <format dxfId="127">
      <pivotArea dataOnly="0" labelOnly="1" outline="0" fieldPosition="0">
        <references count="3">
          <reference field="0" count="1" selected="0">
            <x v="136"/>
          </reference>
          <reference field="1" count="1" selected="0">
            <x v="182"/>
          </reference>
          <reference field="2" count="1">
            <x v="1203"/>
          </reference>
        </references>
      </pivotArea>
    </format>
    <format dxfId="126">
      <pivotArea dataOnly="0" labelOnly="1" outline="0" fieldPosition="0">
        <references count="3">
          <reference field="0" count="1" selected="0">
            <x v="138"/>
          </reference>
          <reference field="1" count="1" selected="0">
            <x v="182"/>
          </reference>
          <reference field="2" count="1">
            <x v="1205"/>
          </reference>
        </references>
      </pivotArea>
    </format>
    <format dxfId="125">
      <pivotArea dataOnly="0" labelOnly="1" outline="0" fieldPosition="0">
        <references count="3">
          <reference field="0" count="1" selected="0">
            <x v="138"/>
          </reference>
          <reference field="1" count="1" selected="0">
            <x v="182"/>
          </reference>
          <reference field="2" count="1">
            <x v="1205"/>
          </reference>
        </references>
      </pivotArea>
    </format>
    <format dxfId="124">
      <pivotArea dataOnly="0" labelOnly="1" outline="0" fieldPosition="0">
        <references count="3">
          <reference field="0" count="1" selected="0">
            <x v="140"/>
          </reference>
          <reference field="1" count="1" selected="0">
            <x v="182"/>
          </reference>
          <reference field="2" count="1">
            <x v="1207"/>
          </reference>
        </references>
      </pivotArea>
    </format>
    <format dxfId="123">
      <pivotArea dataOnly="0" labelOnly="1" outline="0" fieldPosition="0">
        <references count="3">
          <reference field="0" count="1" selected="0">
            <x v="140"/>
          </reference>
          <reference field="1" count="1" selected="0">
            <x v="182"/>
          </reference>
          <reference field="2" count="1">
            <x v="1207"/>
          </reference>
        </references>
      </pivotArea>
    </format>
    <format dxfId="122">
      <pivotArea dataOnly="0" labelOnly="1" outline="0" fieldPosition="0">
        <references count="3">
          <reference field="0" count="1" selected="0">
            <x v="142"/>
          </reference>
          <reference field="1" count="1" selected="0">
            <x v="182"/>
          </reference>
          <reference field="2" count="1">
            <x v="116"/>
          </reference>
        </references>
      </pivotArea>
    </format>
    <format dxfId="121">
      <pivotArea dataOnly="0" labelOnly="1" outline="0" fieldPosition="0">
        <references count="3">
          <reference field="0" count="1" selected="0">
            <x v="142"/>
          </reference>
          <reference field="1" count="1" selected="0">
            <x v="182"/>
          </reference>
          <reference field="2" count="1">
            <x v="116"/>
          </reference>
        </references>
      </pivotArea>
    </format>
    <format dxfId="120">
      <pivotArea dataOnly="0" labelOnly="1" outline="0" fieldPosition="0">
        <references count="3">
          <reference field="0" count="1" selected="0">
            <x v="145"/>
          </reference>
          <reference field="1" count="1" selected="0">
            <x v="182"/>
          </reference>
          <reference field="2" count="1">
            <x v="1211"/>
          </reference>
        </references>
      </pivotArea>
    </format>
    <format dxfId="119">
      <pivotArea dataOnly="0" labelOnly="1" outline="0" fieldPosition="0">
        <references count="3">
          <reference field="0" count="1" selected="0">
            <x v="145"/>
          </reference>
          <reference field="1" count="1" selected="0">
            <x v="182"/>
          </reference>
          <reference field="2" count="1">
            <x v="1211"/>
          </reference>
        </references>
      </pivotArea>
    </format>
    <format dxfId="118">
      <pivotArea dataOnly="0" labelOnly="1" outline="0" fieldPosition="0">
        <references count="3">
          <reference field="0" count="1" selected="0">
            <x v="147"/>
          </reference>
          <reference field="1" count="1" selected="0">
            <x v="182"/>
          </reference>
          <reference field="2" count="1">
            <x v="177"/>
          </reference>
        </references>
      </pivotArea>
    </format>
    <format dxfId="117">
      <pivotArea dataOnly="0" labelOnly="1" outline="0" fieldPosition="0">
        <references count="3">
          <reference field="0" count="1" selected="0">
            <x v="147"/>
          </reference>
          <reference field="1" count="1" selected="0">
            <x v="182"/>
          </reference>
          <reference field="2" count="1">
            <x v="177"/>
          </reference>
        </references>
      </pivotArea>
    </format>
    <format dxfId="116">
      <pivotArea dataOnly="0" labelOnly="1" outline="0" fieldPosition="0">
        <references count="3">
          <reference field="0" count="1" selected="0">
            <x v="149"/>
          </reference>
          <reference field="1" count="1" selected="0">
            <x v="182"/>
          </reference>
          <reference field="2" count="1">
            <x v="321"/>
          </reference>
        </references>
      </pivotArea>
    </format>
    <format dxfId="115">
      <pivotArea dataOnly="0" labelOnly="1" outline="0" fieldPosition="0">
        <references count="3">
          <reference field="0" count="1" selected="0">
            <x v="149"/>
          </reference>
          <reference field="1" count="1" selected="0">
            <x v="182"/>
          </reference>
          <reference field="2" count="1">
            <x v="321"/>
          </reference>
        </references>
      </pivotArea>
    </format>
    <format dxfId="114">
      <pivotArea dataOnly="0" labelOnly="1" outline="0" fieldPosition="0">
        <references count="3">
          <reference field="0" count="1" selected="0">
            <x v="154"/>
          </reference>
          <reference field="1" count="1" selected="0">
            <x v="182"/>
          </reference>
          <reference field="2" count="1">
            <x v="1218"/>
          </reference>
        </references>
      </pivotArea>
    </format>
    <format dxfId="113">
      <pivotArea dataOnly="0" labelOnly="1" outline="0" fieldPosition="0">
        <references count="3">
          <reference field="0" count="1" selected="0">
            <x v="154"/>
          </reference>
          <reference field="1" count="1" selected="0">
            <x v="182"/>
          </reference>
          <reference field="2" count="1">
            <x v="1218"/>
          </reference>
        </references>
      </pivotArea>
    </format>
    <format dxfId="112">
      <pivotArea dataOnly="0" labelOnly="1" outline="0" fieldPosition="0">
        <references count="3">
          <reference field="0" count="1" selected="0">
            <x v="156"/>
          </reference>
          <reference field="1" count="1" selected="0">
            <x v="182"/>
          </reference>
          <reference field="2" count="1">
            <x v="1225"/>
          </reference>
        </references>
      </pivotArea>
    </format>
    <format dxfId="111">
      <pivotArea dataOnly="0" labelOnly="1" outline="0" fieldPosition="0">
        <references count="3">
          <reference field="0" count="1" selected="0">
            <x v="156"/>
          </reference>
          <reference field="1" count="1" selected="0">
            <x v="182"/>
          </reference>
          <reference field="2" count="1">
            <x v="1225"/>
          </reference>
        </references>
      </pivotArea>
    </format>
    <format dxfId="110">
      <pivotArea dataOnly="0" labelOnly="1" outline="0" fieldPosition="0">
        <references count="3">
          <reference field="0" count="1" selected="0">
            <x v="158"/>
          </reference>
          <reference field="1" count="1" selected="0">
            <x v="182"/>
          </reference>
          <reference field="2" count="1">
            <x v="1234"/>
          </reference>
        </references>
      </pivotArea>
    </format>
    <format dxfId="109">
      <pivotArea dataOnly="0" labelOnly="1" outline="0" fieldPosition="0">
        <references count="3">
          <reference field="0" count="1" selected="0">
            <x v="158"/>
          </reference>
          <reference field="1" count="1" selected="0">
            <x v="182"/>
          </reference>
          <reference field="2" count="1">
            <x v="1234"/>
          </reference>
        </references>
      </pivotArea>
    </format>
    <format dxfId="108">
      <pivotArea dataOnly="0" labelOnly="1" outline="0" fieldPosition="0">
        <references count="3">
          <reference field="0" count="1" selected="0">
            <x v="159"/>
          </reference>
          <reference field="1" count="1" selected="0">
            <x v="182"/>
          </reference>
          <reference field="2" count="1">
            <x v="1201"/>
          </reference>
        </references>
      </pivotArea>
    </format>
    <format dxfId="107">
      <pivotArea dataOnly="0" labelOnly="1" outline="0" fieldPosition="0">
        <references count="3">
          <reference field="0" count="1" selected="0">
            <x v="159"/>
          </reference>
          <reference field="1" count="1" selected="0">
            <x v="182"/>
          </reference>
          <reference field="2" count="1">
            <x v="1201"/>
          </reference>
        </references>
      </pivotArea>
    </format>
    <format dxfId="106">
      <pivotArea dataOnly="0" labelOnly="1" outline="0" fieldPosition="0">
        <references count="3">
          <reference field="0" count="1" selected="0">
            <x v="161"/>
          </reference>
          <reference field="1" count="1" selected="0">
            <x v="182"/>
          </reference>
          <reference field="2" count="1">
            <x v="1203"/>
          </reference>
        </references>
      </pivotArea>
    </format>
    <format dxfId="105">
      <pivotArea dataOnly="0" labelOnly="1" outline="0" fieldPosition="0">
        <references count="3">
          <reference field="0" count="1" selected="0">
            <x v="161"/>
          </reference>
          <reference field="1" count="1" selected="0">
            <x v="182"/>
          </reference>
          <reference field="2" count="1">
            <x v="1203"/>
          </reference>
        </references>
      </pivotArea>
    </format>
    <format dxfId="104">
      <pivotArea dataOnly="0" labelOnly="1" outline="0" fieldPosition="0">
        <references count="3">
          <reference field="0" count="1" selected="0">
            <x v="163"/>
          </reference>
          <reference field="1" count="1" selected="0">
            <x v="182"/>
          </reference>
          <reference field="2" count="1">
            <x v="1205"/>
          </reference>
        </references>
      </pivotArea>
    </format>
    <format dxfId="103">
      <pivotArea dataOnly="0" labelOnly="1" outline="0" fieldPosition="0">
        <references count="3">
          <reference field="0" count="1" selected="0">
            <x v="163"/>
          </reference>
          <reference field="1" count="1" selected="0">
            <x v="182"/>
          </reference>
          <reference field="2" count="1">
            <x v="1205"/>
          </reference>
        </references>
      </pivotArea>
    </format>
    <format dxfId="102">
      <pivotArea dataOnly="0" labelOnly="1" outline="0" fieldPosition="0">
        <references count="3">
          <reference field="0" count="1" selected="0">
            <x v="165"/>
          </reference>
          <reference field="1" count="1" selected="0">
            <x v="182"/>
          </reference>
          <reference field="2" count="1">
            <x v="1207"/>
          </reference>
        </references>
      </pivotArea>
    </format>
    <format dxfId="101">
      <pivotArea dataOnly="0" labelOnly="1" outline="0" fieldPosition="0">
        <references count="3">
          <reference field="0" count="1" selected="0">
            <x v="165"/>
          </reference>
          <reference field="1" count="1" selected="0">
            <x v="182"/>
          </reference>
          <reference field="2" count="1">
            <x v="1207"/>
          </reference>
        </references>
      </pivotArea>
    </format>
    <format dxfId="100">
      <pivotArea dataOnly="0" labelOnly="1" outline="0" fieldPosition="0">
        <references count="3">
          <reference field="0" count="1" selected="0">
            <x v="167"/>
          </reference>
          <reference field="1" count="1" selected="0">
            <x v="182"/>
          </reference>
          <reference field="2" count="1">
            <x v="116"/>
          </reference>
        </references>
      </pivotArea>
    </format>
    <format dxfId="99">
      <pivotArea dataOnly="0" labelOnly="1" outline="0" fieldPosition="0">
        <references count="3">
          <reference field="0" count="1" selected="0">
            <x v="167"/>
          </reference>
          <reference field="1" count="1" selected="0">
            <x v="182"/>
          </reference>
          <reference field="2" count="1">
            <x v="116"/>
          </reference>
        </references>
      </pivotArea>
    </format>
    <format dxfId="98">
      <pivotArea dataOnly="0" labelOnly="1" outline="0" fieldPosition="0">
        <references count="3">
          <reference field="0" count="1" selected="0">
            <x v="170"/>
          </reference>
          <reference field="1" count="1" selected="0">
            <x v="182"/>
          </reference>
          <reference field="2" count="1">
            <x v="1211"/>
          </reference>
        </references>
      </pivotArea>
    </format>
    <format dxfId="97">
      <pivotArea dataOnly="0" labelOnly="1" outline="0" fieldPosition="0">
        <references count="3">
          <reference field="0" count="1" selected="0">
            <x v="170"/>
          </reference>
          <reference field="1" count="1" selected="0">
            <x v="182"/>
          </reference>
          <reference field="2" count="1">
            <x v="1211"/>
          </reference>
        </references>
      </pivotArea>
    </format>
    <format dxfId="96">
      <pivotArea dataOnly="0" labelOnly="1" outline="0" fieldPosition="0">
        <references count="3">
          <reference field="0" count="1" selected="0">
            <x v="172"/>
          </reference>
          <reference field="1" count="1" selected="0">
            <x v="182"/>
          </reference>
          <reference field="2" count="1">
            <x v="177"/>
          </reference>
        </references>
      </pivotArea>
    </format>
    <format dxfId="95">
      <pivotArea dataOnly="0" labelOnly="1" outline="0" fieldPosition="0">
        <references count="3">
          <reference field="0" count="1" selected="0">
            <x v="172"/>
          </reference>
          <reference field="1" count="1" selected="0">
            <x v="182"/>
          </reference>
          <reference field="2" count="1">
            <x v="177"/>
          </reference>
        </references>
      </pivotArea>
    </format>
    <format dxfId="94">
      <pivotArea dataOnly="0" labelOnly="1" outline="0" fieldPosition="0">
        <references count="3">
          <reference field="0" count="1" selected="0">
            <x v="174"/>
          </reference>
          <reference field="1" count="1" selected="0">
            <x v="182"/>
          </reference>
          <reference field="2" count="1">
            <x v="321"/>
          </reference>
        </references>
      </pivotArea>
    </format>
    <format dxfId="93">
      <pivotArea dataOnly="0" labelOnly="1" outline="0" fieldPosition="0">
        <references count="3">
          <reference field="0" count="1" selected="0">
            <x v="174"/>
          </reference>
          <reference field="1" count="1" selected="0">
            <x v="182"/>
          </reference>
          <reference field="2" count="1">
            <x v="321"/>
          </reference>
        </references>
      </pivotArea>
    </format>
    <format dxfId="92">
      <pivotArea dataOnly="0" labelOnly="1" outline="0" fieldPosition="0">
        <references count="3">
          <reference field="0" count="1" selected="0">
            <x v="179"/>
          </reference>
          <reference field="1" count="1" selected="0">
            <x v="182"/>
          </reference>
          <reference field="2" count="1">
            <x v="1218"/>
          </reference>
        </references>
      </pivotArea>
    </format>
    <format dxfId="91">
      <pivotArea dataOnly="0" labelOnly="1" outline="0" fieldPosition="0">
        <references count="3">
          <reference field="0" count="1" selected="0">
            <x v="179"/>
          </reference>
          <reference field="1" count="1" selected="0">
            <x v="182"/>
          </reference>
          <reference field="2" count="1">
            <x v="1218"/>
          </reference>
        </references>
      </pivotArea>
    </format>
    <format dxfId="90">
      <pivotArea dataOnly="0" labelOnly="1" outline="0" fieldPosition="0">
        <references count="3">
          <reference field="0" count="1" selected="0">
            <x v="181"/>
          </reference>
          <reference field="1" count="1" selected="0">
            <x v="182"/>
          </reference>
          <reference field="2" count="1">
            <x v="1225"/>
          </reference>
        </references>
      </pivotArea>
    </format>
    <format dxfId="89">
      <pivotArea dataOnly="0" labelOnly="1" outline="0" fieldPosition="0">
        <references count="3">
          <reference field="0" count="1" selected="0">
            <x v="181"/>
          </reference>
          <reference field="1" count="1" selected="0">
            <x v="182"/>
          </reference>
          <reference field="2" count="1">
            <x v="1225"/>
          </reference>
        </references>
      </pivotArea>
    </format>
    <format dxfId="88">
      <pivotArea dataOnly="0" labelOnly="1" outline="0" fieldPosition="0">
        <references count="3">
          <reference field="0" count="1" selected="0">
            <x v="183"/>
          </reference>
          <reference field="1" count="1" selected="0">
            <x v="182"/>
          </reference>
          <reference field="2" count="1">
            <x v="149"/>
          </reference>
        </references>
      </pivotArea>
    </format>
    <format dxfId="87">
      <pivotArea dataOnly="0" labelOnly="1" outline="0" fieldPosition="0">
        <references count="3">
          <reference field="0" count="1" selected="0">
            <x v="183"/>
          </reference>
          <reference field="1" count="1" selected="0">
            <x v="182"/>
          </reference>
          <reference field="2" count="1">
            <x v="149"/>
          </reference>
        </references>
      </pivotArea>
    </format>
    <format dxfId="86">
      <pivotArea dataOnly="0" labelOnly="1" outline="0" fieldPosition="0">
        <references count="3">
          <reference field="0" count="1" selected="0">
            <x v="184"/>
          </reference>
          <reference field="1" count="1" selected="0">
            <x v="182"/>
          </reference>
          <reference field="2" count="1">
            <x v="860"/>
          </reference>
        </references>
      </pivotArea>
    </format>
    <format dxfId="85">
      <pivotArea dataOnly="0" labelOnly="1" outline="0" fieldPosition="0">
        <references count="3">
          <reference field="0" count="1" selected="0">
            <x v="186"/>
          </reference>
          <reference field="1" count="1" selected="0">
            <x v="182"/>
          </reference>
          <reference field="2" count="1">
            <x v="1237"/>
          </reference>
        </references>
      </pivotArea>
    </format>
    <format dxfId="84">
      <pivotArea dataOnly="0" labelOnly="1" outline="0" fieldPosition="0">
        <references count="3">
          <reference field="0" count="1" selected="0">
            <x v="188"/>
          </reference>
          <reference field="1" count="1" selected="0">
            <x v="182"/>
          </reference>
          <reference field="2" count="1">
            <x v="1239"/>
          </reference>
        </references>
      </pivotArea>
    </format>
    <format dxfId="83">
      <pivotArea dataOnly="0" labelOnly="1" outline="0" fieldPosition="0">
        <references count="3">
          <reference field="0" count="1" selected="0">
            <x v="191"/>
          </reference>
          <reference field="1" count="1" selected="0">
            <x v="182"/>
          </reference>
          <reference field="2" count="1">
            <x v="1242"/>
          </reference>
        </references>
      </pivotArea>
    </format>
    <format dxfId="82">
      <pivotArea dataOnly="0" labelOnly="1" outline="0" fieldPosition="0">
        <references count="3">
          <reference field="0" count="1" selected="0">
            <x v="197"/>
          </reference>
          <reference field="1" count="1" selected="0">
            <x v="182"/>
          </reference>
          <reference field="2" count="1">
            <x v="1248"/>
          </reference>
        </references>
      </pivotArea>
    </format>
    <format dxfId="81">
      <pivotArea dataOnly="0" labelOnly="1" outline="0" fieldPosition="0">
        <references count="3">
          <reference field="0" count="1" selected="0">
            <x v="208"/>
          </reference>
          <reference field="1" count="1" selected="0">
            <x v="182"/>
          </reference>
          <reference field="2" count="1">
            <x v="1259"/>
          </reference>
        </references>
      </pivotArea>
    </format>
    <format dxfId="80">
      <pivotArea dataOnly="0" labelOnly="1" outline="0" fieldPosition="0">
        <references count="3">
          <reference field="0" count="1" selected="0">
            <x v="216"/>
          </reference>
          <reference field="1" count="1" selected="0">
            <x v="182"/>
          </reference>
          <reference field="2" count="1">
            <x v="1267"/>
          </reference>
        </references>
      </pivotArea>
    </format>
    <format dxfId="79">
      <pivotArea dataOnly="0" labelOnly="1" outline="0" fieldPosition="0">
        <references count="3">
          <reference field="0" count="1" selected="0">
            <x v="220"/>
          </reference>
          <reference field="1" count="1" selected="0">
            <x v="182"/>
          </reference>
          <reference field="2" count="1">
            <x v="1271"/>
          </reference>
        </references>
      </pivotArea>
    </format>
    <format dxfId="78">
      <pivotArea dataOnly="0" labelOnly="1" outline="0" fieldPosition="0">
        <references count="3">
          <reference field="0" count="1" selected="0">
            <x v="224"/>
          </reference>
          <reference field="1" count="1" selected="0">
            <x v="182"/>
          </reference>
          <reference field="2" count="1">
            <x v="1275"/>
          </reference>
        </references>
      </pivotArea>
    </format>
    <format dxfId="77">
      <pivotArea dataOnly="0" labelOnly="1" outline="0" fieldPosition="0">
        <references count="3">
          <reference field="0" count="1" selected="0">
            <x v="224"/>
          </reference>
          <reference field="1" count="1" selected="0">
            <x v="182"/>
          </reference>
          <reference field="2" count="1">
            <x v="1275"/>
          </reference>
        </references>
      </pivotArea>
    </format>
    <format dxfId="76">
      <pivotArea dataOnly="0" labelOnly="1" outline="0" fieldPosition="0">
        <references count="3">
          <reference field="0" count="1" selected="0">
            <x v="225"/>
          </reference>
          <reference field="1" count="1" selected="0">
            <x v="182"/>
          </reference>
          <reference field="2" count="1">
            <x v="149"/>
          </reference>
        </references>
      </pivotArea>
    </format>
    <format dxfId="75">
      <pivotArea dataOnly="0" labelOnly="1" outline="0" fieldPosition="0">
        <references count="3">
          <reference field="0" count="1" selected="0">
            <x v="226"/>
          </reference>
          <reference field="1" count="1" selected="0">
            <x v="182"/>
          </reference>
          <reference field="2" count="1">
            <x v="860"/>
          </reference>
        </references>
      </pivotArea>
    </format>
    <format dxfId="74">
      <pivotArea dataOnly="0" labelOnly="1" outline="0" fieldPosition="0">
        <references count="3">
          <reference field="0" count="1" selected="0">
            <x v="225"/>
          </reference>
          <reference field="1" count="1" selected="0">
            <x v="182"/>
          </reference>
          <reference field="2" count="1">
            <x v="149"/>
          </reference>
        </references>
      </pivotArea>
    </format>
    <format dxfId="73">
      <pivotArea dataOnly="0" labelOnly="1" outline="0" fieldPosition="0">
        <references count="3">
          <reference field="0" count="1" selected="0">
            <x v="228"/>
          </reference>
          <reference field="1" count="1" selected="0">
            <x v="182"/>
          </reference>
          <reference field="2" count="1">
            <x v="1277"/>
          </reference>
        </references>
      </pivotArea>
    </format>
    <format dxfId="72">
      <pivotArea dataOnly="0" labelOnly="1" outline="0" fieldPosition="0">
        <references count="3">
          <reference field="0" count="1" selected="0">
            <x v="233"/>
          </reference>
          <reference field="1" count="1" selected="0">
            <x v="182"/>
          </reference>
          <reference field="2" count="1">
            <x v="1242"/>
          </reference>
        </references>
      </pivotArea>
    </format>
    <format dxfId="71">
      <pivotArea dataOnly="0" labelOnly="1" outline="0" fieldPosition="0">
        <references count="3">
          <reference field="0" count="1" selected="0">
            <x v="239"/>
          </reference>
          <reference field="1" count="1" selected="0">
            <x v="182"/>
          </reference>
          <reference field="2" count="1">
            <x v="1248"/>
          </reference>
        </references>
      </pivotArea>
    </format>
    <format dxfId="70">
      <pivotArea dataOnly="0" labelOnly="1" outline="0" fieldPosition="0">
        <references count="3">
          <reference field="0" count="1" selected="0">
            <x v="246"/>
          </reference>
          <reference field="1" count="1" selected="0">
            <x v="182"/>
          </reference>
          <reference field="2" count="1">
            <x v="1259"/>
          </reference>
        </references>
      </pivotArea>
    </format>
    <format dxfId="69">
      <pivotArea dataOnly="0" labelOnly="1" outline="0" fieldPosition="0">
        <references count="3">
          <reference field="0" count="1" selected="0">
            <x v="252"/>
          </reference>
          <reference field="1" count="1" selected="0">
            <x v="182"/>
          </reference>
          <reference field="2" count="1">
            <x v="1267"/>
          </reference>
        </references>
      </pivotArea>
    </format>
    <format dxfId="68">
      <pivotArea dataOnly="0" labelOnly="1" outline="0" fieldPosition="0">
        <references count="3">
          <reference field="0" count="1" selected="0">
            <x v="256"/>
          </reference>
          <reference field="1" count="1" selected="0">
            <x v="182"/>
          </reference>
          <reference field="2" count="1">
            <x v="1271"/>
          </reference>
        </references>
      </pivotArea>
    </format>
    <format dxfId="67">
      <pivotArea dataOnly="0" labelOnly="1" outline="0" fieldPosition="0">
        <references count="3">
          <reference field="0" count="1" selected="0">
            <x v="260"/>
          </reference>
          <reference field="1" count="1" selected="0">
            <x v="182"/>
          </reference>
          <reference field="2" count="1">
            <x v="1299"/>
          </reference>
        </references>
      </pivotArea>
    </format>
    <format dxfId="66">
      <pivotArea dataOnly="0" labelOnly="1" outline="0" fieldPosition="0">
        <references count="3">
          <reference field="0" count="1" selected="0">
            <x v="260"/>
          </reference>
          <reference field="1" count="1" selected="0">
            <x v="182"/>
          </reference>
          <reference field="2" count="1">
            <x v="1299"/>
          </reference>
        </references>
      </pivotArea>
    </format>
    <format dxfId="65">
      <pivotArea dataOnly="0" labelOnly="1" outline="0" fieldPosition="0">
        <references count="3">
          <reference field="0" count="1" selected="0">
            <x v="261"/>
          </reference>
          <reference field="1" count="1" selected="0">
            <x v="182"/>
          </reference>
          <reference field="2" count="1">
            <x v="149"/>
          </reference>
        </references>
      </pivotArea>
    </format>
    <format dxfId="64">
      <pivotArea dataOnly="0" labelOnly="1" outline="0" fieldPosition="0">
        <references count="3">
          <reference field="0" count="1" selected="0">
            <x v="261"/>
          </reference>
          <reference field="1" count="1" selected="0">
            <x v="182"/>
          </reference>
          <reference field="2" count="1">
            <x v="149"/>
          </reference>
        </references>
      </pivotArea>
    </format>
    <format dxfId="63">
      <pivotArea dataOnly="0" labelOnly="1" outline="0" fieldPosition="0">
        <references count="3">
          <reference field="0" count="1" selected="0">
            <x v="262"/>
          </reference>
          <reference field="1" count="1" selected="0">
            <x v="182"/>
          </reference>
          <reference field="2" count="1">
            <x v="860"/>
          </reference>
        </references>
      </pivotArea>
    </format>
    <format dxfId="62">
      <pivotArea dataOnly="0" labelOnly="1" outline="0" fieldPosition="0">
        <references count="3">
          <reference field="0" count="1" selected="0">
            <x v="264"/>
          </reference>
          <reference field="1" count="1" selected="0">
            <x v="182"/>
          </reference>
          <reference field="2" count="1">
            <x v="1301"/>
          </reference>
        </references>
      </pivotArea>
    </format>
    <format dxfId="61">
      <pivotArea dataOnly="0" labelOnly="1" outline="0" fieldPosition="0">
        <references count="3">
          <reference field="0" count="1" selected="0">
            <x v="276"/>
          </reference>
          <reference field="1" count="1" selected="0">
            <x v="182"/>
          </reference>
          <reference field="2" count="1">
            <x v="1242"/>
          </reference>
        </references>
      </pivotArea>
    </format>
    <format dxfId="60">
      <pivotArea dataOnly="0" labelOnly="1" outline="0" fieldPosition="0">
        <references count="3">
          <reference field="0" count="1" selected="0">
            <x v="283"/>
          </reference>
          <reference field="1" count="1" selected="0">
            <x v="182"/>
          </reference>
          <reference field="2" count="1">
            <x v="1248"/>
          </reference>
        </references>
      </pivotArea>
    </format>
    <format dxfId="59">
      <pivotArea dataOnly="0" labelOnly="1" outline="0" fieldPosition="0">
        <references count="3">
          <reference field="0" count="1" selected="0">
            <x v="311"/>
          </reference>
          <reference field="1" count="1" selected="0">
            <x v="182"/>
          </reference>
          <reference field="2" count="1">
            <x v="1259"/>
          </reference>
        </references>
      </pivotArea>
    </format>
    <format dxfId="58">
      <pivotArea dataOnly="0" labelOnly="1" outline="0" fieldPosition="0">
        <references count="3">
          <reference field="0" count="1" selected="0">
            <x v="321"/>
          </reference>
          <reference field="1" count="1" selected="0">
            <x v="182"/>
          </reference>
          <reference field="2" count="1">
            <x v="1353"/>
          </reference>
        </references>
      </pivotArea>
    </format>
    <format dxfId="57">
      <pivotArea dataOnly="0" labelOnly="1" outline="0" fieldPosition="0">
        <references count="3">
          <reference field="0" count="1" selected="0">
            <x v="333"/>
          </reference>
          <reference field="1" count="1" selected="0">
            <x v="182"/>
          </reference>
          <reference field="2" count="1">
            <x v="1271"/>
          </reference>
        </references>
      </pivotArea>
    </format>
    <format dxfId="56">
      <pivotArea dataOnly="0" labelOnly="1" outline="0" fieldPosition="0">
        <references count="3">
          <reference field="0" count="1" selected="0">
            <x v="325"/>
          </reference>
          <reference field="1" count="1" selected="0">
            <x v="182"/>
          </reference>
          <reference field="2" count="1">
            <x v="1356"/>
          </reference>
        </references>
      </pivotArea>
    </format>
    <format dxfId="55">
      <pivotArea dataOnly="0" labelOnly="1" outline="0" fieldPosition="0">
        <references count="3">
          <reference field="0" count="1" selected="0">
            <x v="336"/>
          </reference>
          <reference field="1" count="1" selected="0">
            <x v="182"/>
          </reference>
          <reference field="2" count="1">
            <x v="1365"/>
          </reference>
        </references>
      </pivotArea>
    </format>
    <format dxfId="54">
      <pivotArea dataOnly="0" labelOnly="1" outline="0" fieldPosition="0">
        <references count="3">
          <reference field="0" count="1" selected="0">
            <x v="336"/>
          </reference>
          <reference field="1" count="1" selected="0">
            <x v="182"/>
          </reference>
          <reference field="2" count="1">
            <x v="1365"/>
          </reference>
        </references>
      </pivotArea>
    </format>
    <format dxfId="53">
      <pivotArea dataOnly="0" labelOnly="1" outline="0" fieldPosition="0">
        <references count="3">
          <reference field="0" count="1" selected="0">
            <x v="337"/>
          </reference>
          <reference field="1" count="1" selected="0">
            <x v="182"/>
          </reference>
          <reference field="2" count="1">
            <x v="149"/>
          </reference>
        </references>
      </pivotArea>
    </format>
    <format dxfId="52">
      <pivotArea dataOnly="0" labelOnly="1" outline="0" fieldPosition="0">
        <references count="3">
          <reference field="0" count="1" selected="0">
            <x v="337"/>
          </reference>
          <reference field="1" count="1" selected="0">
            <x v="182"/>
          </reference>
          <reference field="2" count="1">
            <x v="149"/>
          </reference>
        </references>
      </pivotArea>
    </format>
    <format dxfId="51">
      <pivotArea dataOnly="0" labelOnly="1" outline="0" fieldPosition="0">
        <references count="3">
          <reference field="0" count="1" selected="0">
            <x v="338"/>
          </reference>
          <reference field="1" count="1" selected="0">
            <x v="182"/>
          </reference>
          <reference field="2" count="1">
            <x v="860"/>
          </reference>
        </references>
      </pivotArea>
    </format>
    <format dxfId="50">
      <pivotArea dataOnly="0" labelOnly="1" outline="0" fieldPosition="0">
        <references count="3">
          <reference field="0" count="1" selected="0">
            <x v="340"/>
          </reference>
          <reference field="1" count="1" selected="0">
            <x v="182"/>
          </reference>
          <reference field="2" count="1">
            <x v="1367"/>
          </reference>
        </references>
      </pivotArea>
    </format>
    <format dxfId="49">
      <pivotArea dataOnly="0" labelOnly="1" outline="0" fieldPosition="0">
        <references count="3">
          <reference field="0" count="1" selected="0">
            <x v="341"/>
          </reference>
          <reference field="1" count="1" selected="0">
            <x v="182"/>
          </reference>
          <reference field="2" count="1">
            <x v="1368"/>
          </reference>
        </references>
      </pivotArea>
    </format>
    <format dxfId="48">
      <pivotArea dataOnly="0" labelOnly="1" outline="0" fieldPosition="0">
        <references count="3">
          <reference field="0" count="1" selected="0">
            <x v="351"/>
          </reference>
          <reference field="1" count="1" selected="0">
            <x v="182"/>
          </reference>
          <reference field="2" count="1">
            <x v="1377"/>
          </reference>
        </references>
      </pivotArea>
    </format>
    <format dxfId="47">
      <pivotArea dataOnly="0" labelOnly="1" outline="0" fieldPosition="0">
        <references count="3">
          <reference field="0" count="1" selected="0">
            <x v="364"/>
          </reference>
          <reference field="1" count="1" selected="0">
            <x v="182"/>
          </reference>
          <reference field="2" count="1">
            <x v="1389"/>
          </reference>
        </references>
      </pivotArea>
    </format>
    <format dxfId="46">
      <pivotArea dataOnly="0" labelOnly="1" outline="0" fieldPosition="0">
        <references count="3">
          <reference field="0" count="1" selected="0">
            <x v="374"/>
          </reference>
          <reference field="1" count="1" selected="0">
            <x v="182"/>
          </reference>
          <reference field="2" count="1">
            <x v="171"/>
          </reference>
        </references>
      </pivotArea>
    </format>
    <format dxfId="45">
      <pivotArea dataOnly="0" labelOnly="1" outline="0" fieldPosition="0">
        <references count="3">
          <reference field="0" count="1" selected="0">
            <x v="391"/>
          </reference>
          <reference field="1" count="1" selected="0">
            <x v="182"/>
          </reference>
          <reference field="2" count="1">
            <x v="1271"/>
          </reference>
        </references>
      </pivotArea>
    </format>
    <format dxfId="44">
      <pivotArea dataOnly="0" labelOnly="1" outline="0" fieldPosition="0">
        <references count="3">
          <reference field="0" count="1" selected="0">
            <x v="395"/>
          </reference>
          <reference field="1" count="1" selected="0">
            <x v="182"/>
          </reference>
          <reference field="2" count="1">
            <x v="1418"/>
          </reference>
        </references>
      </pivotArea>
    </format>
    <format dxfId="43">
      <pivotArea dataOnly="0" labelOnly="1" outline="0" fieldPosition="0">
        <references count="3">
          <reference field="0" count="1" selected="0">
            <x v="396"/>
          </reference>
          <reference field="1" count="1" selected="0">
            <x v="182"/>
          </reference>
          <reference field="2" count="1">
            <x v="1368"/>
          </reference>
        </references>
      </pivotArea>
    </format>
    <format dxfId="42">
      <pivotArea dataOnly="0" labelOnly="1" outline="0" fieldPosition="0">
        <references count="3">
          <reference field="0" count="1" selected="0">
            <x v="401"/>
          </reference>
          <reference field="1" count="1" selected="0">
            <x v="182"/>
          </reference>
          <reference field="2" count="1">
            <x v="1389"/>
          </reference>
        </references>
      </pivotArea>
    </format>
    <format dxfId="41">
      <pivotArea dataOnly="0" labelOnly="1" outline="0" fieldPosition="0">
        <references count="3">
          <reference field="0" count="1" selected="0">
            <x v="408"/>
          </reference>
          <reference field="1" count="1" selected="0">
            <x v="182"/>
          </reference>
          <reference field="2" count="1">
            <x v="171"/>
          </reference>
        </references>
      </pivotArea>
    </format>
    <format dxfId="40">
      <pivotArea dataOnly="0" labelOnly="1" outline="0" fieldPosition="0">
        <references count="3">
          <reference field="0" count="1" selected="0">
            <x v="410"/>
          </reference>
          <reference field="1" count="1" selected="0">
            <x v="182"/>
          </reference>
          <reference field="2" count="1">
            <x v="1424"/>
          </reference>
        </references>
      </pivotArea>
    </format>
    <format dxfId="39">
      <pivotArea dataOnly="0" labelOnly="1" outline="0" fieldPosition="0">
        <references count="3">
          <reference field="0" count="1" selected="0">
            <x v="410"/>
          </reference>
          <reference field="1" count="1" selected="0">
            <x v="182"/>
          </reference>
          <reference field="2" count="1">
            <x v="1424"/>
          </reference>
        </references>
      </pivotArea>
    </format>
    <format dxfId="38">
      <pivotArea dataOnly="0" labelOnly="1" outline="0" fieldPosition="0">
        <references count="3">
          <reference field="0" count="1" selected="0">
            <x v="490"/>
          </reference>
          <reference field="1" count="1" selected="0">
            <x v="182"/>
          </reference>
          <reference field="2" count="1">
            <x v="1436"/>
          </reference>
        </references>
      </pivotArea>
    </format>
    <format dxfId="37">
      <pivotArea dataOnly="0" labelOnly="1" outline="0" fieldPosition="0">
        <references count="3">
          <reference field="0" count="1" selected="0">
            <x v="484"/>
          </reference>
          <reference field="1" count="1" selected="0">
            <x v="182"/>
          </reference>
          <reference field="2" count="1">
            <x v="1418"/>
          </reference>
        </references>
      </pivotArea>
    </format>
    <format dxfId="36">
      <pivotArea dataOnly="0" labelOnly="1" outline="0" fieldPosition="0">
        <references count="3">
          <reference field="0" count="1" selected="0">
            <x v="478"/>
          </reference>
          <reference field="1" count="1" selected="0">
            <x v="182"/>
          </reference>
          <reference field="2" count="1">
            <x v="1367"/>
          </reference>
        </references>
      </pivotArea>
    </format>
    <format dxfId="35">
      <pivotArea dataOnly="0" labelOnly="1" outline="0" fieldPosition="0">
        <references count="3">
          <reference field="0" count="1" selected="0">
            <x v="476"/>
          </reference>
          <reference field="1" count="1" selected="0">
            <x v="182"/>
          </reference>
          <reference field="2" count="1">
            <x v="1443"/>
          </reference>
        </references>
      </pivotArea>
    </format>
    <format dxfId="34">
      <pivotArea dataOnly="0" labelOnly="1" outline="0" fieldPosition="0">
        <references count="3">
          <reference field="0" count="1" selected="0">
            <x v="466"/>
          </reference>
          <reference field="1" count="1" selected="0">
            <x v="182"/>
          </reference>
          <reference field="2" count="1">
            <x v="171"/>
          </reference>
        </references>
      </pivotArea>
    </format>
    <format dxfId="33">
      <pivotArea dataOnly="0" labelOnly="1" outline="0" fieldPosition="0">
        <references count="3">
          <reference field="0" count="1" selected="0">
            <x v="458"/>
          </reference>
          <reference field="1" count="1" selected="0">
            <x v="182"/>
          </reference>
          <reference field="2" count="1">
            <x v="1389"/>
          </reference>
        </references>
      </pivotArea>
    </format>
    <format dxfId="32">
      <pivotArea dataOnly="0" labelOnly="1" outline="0" fieldPosition="0">
        <references count="3">
          <reference field="0" count="1" selected="0">
            <x v="453"/>
          </reference>
          <reference field="1" count="1" selected="0">
            <x v="182"/>
          </reference>
          <reference field="2" count="1">
            <x v="1368"/>
          </reference>
        </references>
      </pivotArea>
    </format>
    <format dxfId="31">
      <pivotArea dataOnly="0" labelOnly="1" outline="0" fieldPosition="0">
        <references count="3">
          <reference field="0" count="1" selected="0">
            <x v="452"/>
          </reference>
          <reference field="1" count="1" selected="0">
            <x v="182"/>
          </reference>
          <reference field="2" count="1">
            <x v="1436"/>
          </reference>
        </references>
      </pivotArea>
    </format>
    <format dxfId="30">
      <pivotArea dataOnly="0" labelOnly="1" outline="0" fieldPosition="0">
        <references count="3">
          <reference field="0" count="1" selected="0">
            <x v="445"/>
          </reference>
          <reference field="1" count="1" selected="0">
            <x v="182"/>
          </reference>
          <reference field="2" count="1">
            <x v="171"/>
          </reference>
        </references>
      </pivotArea>
    </format>
    <format dxfId="29">
      <pivotArea dataOnly="0" labelOnly="1" outline="0" fieldPosition="0">
        <references count="3">
          <reference field="0" count="1" selected="0">
            <x v="439"/>
          </reference>
          <reference field="1" count="1" selected="0">
            <x v="182"/>
          </reference>
          <reference field="2" count="1">
            <x v="1389"/>
          </reference>
        </references>
      </pivotArea>
    </format>
    <format dxfId="28">
      <pivotArea dataOnly="0" labelOnly="1" outline="0" fieldPosition="0">
        <references count="3">
          <reference field="0" count="1" selected="0">
            <x v="434"/>
          </reference>
          <reference field="1" count="1" selected="0">
            <x v="182"/>
          </reference>
          <reference field="2" count="1">
            <x v="1368"/>
          </reference>
        </references>
      </pivotArea>
    </format>
    <format dxfId="27">
      <pivotArea dataOnly="0" labelOnly="1" outline="0" fieldPosition="0">
        <references count="3">
          <reference field="0" count="1" selected="0">
            <x v="433"/>
          </reference>
          <reference field="1" count="1" selected="0">
            <x v="182"/>
          </reference>
          <reference field="2" count="1">
            <x v="1430"/>
          </reference>
        </references>
      </pivotArea>
    </format>
    <format dxfId="26">
      <pivotArea dataOnly="0" labelOnly="1" outline="0" fieldPosition="0">
        <references count="3">
          <reference field="0" count="1" selected="0">
            <x v="427"/>
          </reference>
          <reference field="1" count="1" selected="0">
            <x v="182"/>
          </reference>
          <reference field="2" count="1">
            <x v="171"/>
          </reference>
        </references>
      </pivotArea>
    </format>
    <format dxfId="25">
      <pivotArea dataOnly="0" labelOnly="1" outline="0" fieldPosition="0">
        <references count="3">
          <reference field="0" count="1" selected="0">
            <x v="422"/>
          </reference>
          <reference field="1" count="1" selected="0">
            <x v="182"/>
          </reference>
          <reference field="2" count="1">
            <x v="1389"/>
          </reference>
        </references>
      </pivotArea>
    </format>
    <format dxfId="24">
      <pivotArea dataOnly="0" labelOnly="1" outline="0" fieldPosition="0">
        <references count="3">
          <reference field="0" count="1" selected="0">
            <x v="417"/>
          </reference>
          <reference field="1" count="1" selected="0">
            <x v="182"/>
          </reference>
          <reference field="2" count="1">
            <x v="1368"/>
          </reference>
        </references>
      </pivotArea>
    </format>
    <format dxfId="23">
      <pivotArea dataOnly="0" labelOnly="1" outline="0" fieldPosition="0">
        <references count="3">
          <reference field="0" count="1" selected="0">
            <x v="416"/>
          </reference>
          <reference field="1" count="1" selected="0">
            <x v="182"/>
          </reference>
          <reference field="2" count="1">
            <x v="1425"/>
          </reference>
        </references>
      </pivotArea>
    </format>
    <format dxfId="22">
      <pivotArea dataOnly="0" labelOnly="1" outline="0" fieldPosition="0">
        <references count="1">
          <reference field="4294967294" count="1">
            <x v="2"/>
          </reference>
        </references>
      </pivotArea>
    </format>
    <format dxfId="21">
      <pivotArea dataOnly="0" labelOnly="1" outline="0" fieldPosition="0">
        <references count="3">
          <reference field="0" count="1" selected="0">
            <x v="496"/>
          </reference>
          <reference field="1" count="1" selected="0">
            <x v="182"/>
          </reference>
          <reference field="2" count="1">
            <x v="1450"/>
          </reference>
        </references>
      </pivotArea>
    </format>
    <format dxfId="20">
      <pivotArea dataOnly="0" labelOnly="1" outline="0" fieldPosition="0">
        <references count="3">
          <reference field="0" count="1" selected="0">
            <x v="496"/>
          </reference>
          <reference field="1" count="1" selected="0">
            <x v="182"/>
          </reference>
          <reference field="2" count="1">
            <x v="1450"/>
          </reference>
        </references>
      </pivotArea>
    </format>
    <format dxfId="19">
      <pivotArea dataOnly="0" labelOnly="1" outline="0" fieldPosition="0">
        <references count="3">
          <reference field="0" count="1" selected="0">
            <x v="96"/>
          </reference>
          <reference field="1" count="1" selected="0">
            <x v="182"/>
          </reference>
          <reference field="2" count="1">
            <x v="1450"/>
          </reference>
        </references>
      </pivotArea>
    </format>
    <format dxfId="18">
      <pivotArea field="0" type="button" dataOnly="0" labelOnly="1" outline="0" axis="axisRow" fieldPosition="0"/>
    </format>
    <format dxfId="17">
      <pivotArea field="1" type="button" dataOnly="0" labelOnly="1" outline="0" axis="axisRow" fieldPosition="1"/>
    </format>
    <format dxfId="16">
      <pivotArea field="2" type="button" dataOnly="0" labelOnly="1" outline="0" axis="axisRow" fieldPosition="2"/>
    </format>
    <format dxfId="15">
      <pivotArea field="3" type="button" dataOnly="0" labelOnly="1" outline="0" axis="axisRow" fieldPosition="3"/>
    </format>
    <format dxfId="14">
      <pivotArea dataOnly="0" labelOnly="1" outline="0" fieldPosition="0">
        <references count="1">
          <reference field="4294967294" count="3">
            <x v="0"/>
            <x v="1"/>
            <x v="2"/>
          </reference>
        </references>
      </pivotArea>
    </format>
    <format dxfId="13">
      <pivotArea dataOnly="0" labelOnly="1" outline="0" fieldPosition="0">
        <references count="3">
          <reference field="0" count="1" selected="0">
            <x v="101"/>
          </reference>
          <reference field="1" count="1" selected="0">
            <x v="182"/>
          </reference>
          <reference field="2" count="1">
            <x v="1450"/>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 xr10:uid="{00000000-0013-0000-FFFF-FFFF01000000}" sourceName="SECTION">
  <pivotTables>
    <pivotTable tabId="20" name="PivotTable2"/>
  </pivotTables>
  <data>
    <tabular pivotCacheId="7075283" showMissing="0" crossFilter="showItemsWithNoData">
      <items count="30">
        <i x="0" s="1"/>
        <i x="1" nd="1"/>
        <i x="2" nd="1"/>
        <i x="17" nd="1"/>
        <i x="23" nd="1"/>
        <i x="19" nd="1"/>
        <i x="28" nd="1"/>
        <i x="7" nd="1"/>
        <i x="25" nd="1"/>
        <i x="26" nd="1"/>
        <i x="29" nd="1"/>
        <i x="11" nd="1"/>
        <i x="15" nd="1"/>
        <i x="21" nd="1"/>
        <i x="24" nd="1"/>
        <i x="6" nd="1"/>
        <i x="16" nd="1"/>
        <i x="22" nd="1"/>
        <i x="9" nd="1"/>
        <i x="4" nd="1"/>
        <i x="8" nd="1"/>
        <i x="13" nd="1"/>
        <i x="27" nd="1"/>
        <i x="14" nd="1"/>
        <i x="20" nd="1"/>
        <i x="18" nd="1"/>
        <i x="10" nd="1"/>
        <i x="3" nd="1"/>
        <i x="12" nd="1"/>
        <i x="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ECTION" xr10:uid="{00000000-0013-0000-FFFF-FFFF02000000}" sourceName="SUB-SECTION">
  <pivotTables>
    <pivotTable tabId="20" name="PivotTable2"/>
  </pivotTables>
  <data>
    <tabular pivotCacheId="7075283" showMissing="0">
      <items count="63">
        <i x="0" s="1"/>
        <i x="1" nd="1"/>
        <i x="2" nd="1"/>
        <i x="3" nd="1"/>
        <i x="39" nd="1"/>
        <i x="33" nd="1"/>
        <i x="45" nd="1"/>
        <i x="35" nd="1"/>
        <i x="53" nd="1"/>
        <i x="13" nd="1"/>
        <i x="61" nd="1"/>
        <i x="59" nd="1"/>
        <i x="56" nd="1"/>
        <i x="46" nd="1"/>
        <i x="9" nd="1"/>
        <i x="62" nd="1"/>
        <i x="60" nd="1"/>
        <i x="16" nd="1"/>
        <i x="37" nd="1"/>
        <i x="27" nd="1"/>
        <i x="40" nd="1"/>
        <i x="32" nd="1"/>
        <i x="55" nd="1"/>
        <i x="38" nd="1"/>
        <i x="43" nd="1"/>
        <i x="11" nd="1"/>
        <i x="21" nd="1"/>
        <i x="44" nd="1"/>
        <i x="54" nd="1"/>
        <i x="18" nd="1"/>
        <i x="5" nd="1"/>
        <i x="48" nd="1"/>
        <i x="10" nd="1"/>
        <i x="12" nd="1"/>
        <i x="17" nd="1"/>
        <i x="20" nd="1"/>
        <i x="25" nd="1"/>
        <i x="22" nd="1"/>
        <i x="28" nd="1"/>
        <i x="31" nd="1"/>
        <i x="51" nd="1"/>
        <i x="29" nd="1"/>
        <i x="8" nd="1"/>
        <i x="57" nd="1"/>
        <i x="42" nd="1"/>
        <i x="41" nd="1"/>
        <i x="24" nd="1"/>
        <i x="4" nd="1"/>
        <i x="36" nd="1"/>
        <i x="52" nd="1"/>
        <i x="19" nd="1"/>
        <i x="23" nd="1"/>
        <i x="47" nd="1"/>
        <i x="26" nd="1"/>
        <i x="58" nd="1"/>
        <i x="34" nd="1"/>
        <i x="6" nd="1"/>
        <i x="14" nd="1"/>
        <i x="15" nd="1"/>
        <i x="50" nd="1"/>
        <i x="30" nd="1"/>
        <i x="49" nd="1"/>
        <i x="7"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 xr10:uid="{00000000-0013-0000-FFFF-FFFF03000000}" sourceName="SECTION">
  <pivotTables>
    <pivotTable tabId="54" name="PivotTable2"/>
  </pivotTables>
  <data>
    <tabular pivotCacheId="7075283" showMissing="0" crossFilter="showItemsWithNoData">
      <items count="30">
        <i x="0" s="1"/>
        <i x="1" s="1"/>
        <i x="2" s="1"/>
        <i x="17" s="1" nd="1"/>
        <i x="23" s="1" nd="1"/>
        <i x="19" s="1" nd="1"/>
        <i x="28" s="1" nd="1"/>
        <i x="7" s="1" nd="1"/>
        <i x="25" s="1" nd="1"/>
        <i x="26" s="1" nd="1"/>
        <i x="29" s="1" nd="1"/>
        <i x="11" s="1" nd="1"/>
        <i x="15" s="1" nd="1"/>
        <i x="21" s="1" nd="1"/>
        <i x="24" s="1" nd="1"/>
        <i x="6" s="1" nd="1"/>
        <i x="16" s="1" nd="1"/>
        <i x="22" s="1" nd="1"/>
        <i x="9" s="1" nd="1"/>
        <i x="4" s="1" nd="1"/>
        <i x="8" s="1" nd="1"/>
        <i x="13" s="1" nd="1"/>
        <i x="27" s="1" nd="1"/>
        <i x="14" s="1" nd="1"/>
        <i x="20" s="1" nd="1"/>
        <i x="18" s="1" nd="1"/>
        <i x="10" s="1" nd="1"/>
        <i x="3" s="1" nd="1"/>
        <i x="12" s="1" nd="1"/>
        <i x="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 xr10:uid="{00000000-0013-0000-FFFF-FFFF04000000}" sourceName="SECTION">
  <pivotTables>
    <pivotTable tabId="57" name="PivotTable2"/>
  </pivotTables>
  <data>
    <tabular pivotCacheId="7075283" showMissing="0" crossFilter="showItemsWithNoData">
      <items count="30">
        <i x="0" nd="1"/>
        <i x="1" s="1"/>
        <i x="2" nd="1"/>
        <i x="17" nd="1"/>
        <i x="23" nd="1"/>
        <i x="19" nd="1"/>
        <i x="28" nd="1"/>
        <i x="7" nd="1"/>
        <i x="25" nd="1"/>
        <i x="26" nd="1"/>
        <i x="29" nd="1"/>
        <i x="11" nd="1"/>
        <i x="15" nd="1"/>
        <i x="21" nd="1"/>
        <i x="24" nd="1"/>
        <i x="6" nd="1"/>
        <i x="16" nd="1"/>
        <i x="22" nd="1"/>
        <i x="9" nd="1"/>
        <i x="4" nd="1"/>
        <i x="8" nd="1"/>
        <i x="13" nd="1"/>
        <i x="27" nd="1"/>
        <i x="14" nd="1"/>
        <i x="20" nd="1"/>
        <i x="18" nd="1"/>
        <i x="10" nd="1"/>
        <i x="3" nd="1"/>
        <i x="12" nd="1"/>
        <i x="5"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ECTION1" xr10:uid="{00000000-0013-0000-FFFF-FFFF05000000}" sourceName="SUB-SECTION">
  <pivotTables>
    <pivotTable tabId="57" name="PivotTable2"/>
  </pivotTables>
  <data>
    <tabular pivotCacheId="7075283" showMissing="0">
      <items count="63">
        <i x="1" s="1"/>
        <i x="0" nd="1"/>
        <i x="2" nd="1"/>
        <i x="3" nd="1"/>
        <i x="39" nd="1"/>
        <i x="33" nd="1"/>
        <i x="45" nd="1"/>
        <i x="35" nd="1"/>
        <i x="53" nd="1"/>
        <i x="13" nd="1"/>
        <i x="61" nd="1"/>
        <i x="59" nd="1"/>
        <i x="56" nd="1"/>
        <i x="46" nd="1"/>
        <i x="9" nd="1"/>
        <i x="62" nd="1"/>
        <i x="60" nd="1"/>
        <i x="16" nd="1"/>
        <i x="37" nd="1"/>
        <i x="27" nd="1"/>
        <i x="40" nd="1"/>
        <i x="32" nd="1"/>
        <i x="55" nd="1"/>
        <i x="38" nd="1"/>
        <i x="43" nd="1"/>
        <i x="11" nd="1"/>
        <i x="21" nd="1"/>
        <i x="44" nd="1"/>
        <i x="54" nd="1"/>
        <i x="18" nd="1"/>
        <i x="5" nd="1"/>
        <i x="48" nd="1"/>
        <i x="10" nd="1"/>
        <i x="12" nd="1"/>
        <i x="17" nd="1"/>
        <i x="20" nd="1"/>
        <i x="25" nd="1"/>
        <i x="22" nd="1"/>
        <i x="28" nd="1"/>
        <i x="31" nd="1"/>
        <i x="51" nd="1"/>
        <i x="29" nd="1"/>
        <i x="8" nd="1"/>
        <i x="57" nd="1"/>
        <i x="42" nd="1"/>
        <i x="41" nd="1"/>
        <i x="24" nd="1"/>
        <i x="4" nd="1"/>
        <i x="36" nd="1"/>
        <i x="52" nd="1"/>
        <i x="19" nd="1"/>
        <i x="23" nd="1"/>
        <i x="47" nd="1"/>
        <i x="26" nd="1"/>
        <i x="58" nd="1"/>
        <i x="34" nd="1"/>
        <i x="6" nd="1"/>
        <i x="14" nd="1"/>
        <i x="15" nd="1"/>
        <i x="50" nd="1"/>
        <i x="30" nd="1"/>
        <i x="49" nd="1"/>
        <i x="7"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211" xr10:uid="{00000000-0013-0000-FFFF-FFFF06000000}" sourceName="SECTION">
  <pivotTables>
    <pivotTable tabId="61" name="PivotTable2"/>
  </pivotTables>
  <data>
    <tabular pivotCacheId="7075283" showMissing="0" crossFilter="showItemsWithNoData">
      <items count="30">
        <i x="0" nd="1"/>
        <i x="1" nd="1"/>
        <i x="2" s="1"/>
        <i x="17" nd="1"/>
        <i x="23" nd="1"/>
        <i x="19" nd="1"/>
        <i x="28" nd="1"/>
        <i x="7" nd="1"/>
        <i x="25" nd="1"/>
        <i x="26" nd="1"/>
        <i x="29" nd="1"/>
        <i x="11" nd="1"/>
        <i x="15" nd="1"/>
        <i x="21" nd="1"/>
        <i x="24" nd="1"/>
        <i x="6" nd="1"/>
        <i x="16" nd="1"/>
        <i x="22" nd="1"/>
        <i x="9" nd="1"/>
        <i x="4" nd="1"/>
        <i x="8" nd="1"/>
        <i x="13" nd="1"/>
        <i x="27" nd="1"/>
        <i x="14" nd="1"/>
        <i x="20" nd="1"/>
        <i x="18" nd="1"/>
        <i x="10" nd="1"/>
        <i x="3" nd="1"/>
        <i x="12" nd="1"/>
        <i x="5"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ECTION11111" xr10:uid="{00000000-0013-0000-FFFF-FFFF07000000}" sourceName="SUB-SECTION">
  <pivotTables>
    <pivotTable tabId="61" name="PivotTable2"/>
  </pivotTables>
  <data>
    <tabular pivotCacheId="7075283" showMissing="0">
      <items count="63">
        <i x="2" s="1"/>
        <i x="0" nd="1"/>
        <i x="1" nd="1"/>
        <i x="3" nd="1"/>
        <i x="39" nd="1"/>
        <i x="33" nd="1"/>
        <i x="45" nd="1"/>
        <i x="35" nd="1"/>
        <i x="53" nd="1"/>
        <i x="13" nd="1"/>
        <i x="61" nd="1"/>
        <i x="59" nd="1"/>
        <i x="56" nd="1"/>
        <i x="46" nd="1"/>
        <i x="9" nd="1"/>
        <i x="62" nd="1"/>
        <i x="60" nd="1"/>
        <i x="16" nd="1"/>
        <i x="37" nd="1"/>
        <i x="27" nd="1"/>
        <i x="40" nd="1"/>
        <i x="32" nd="1"/>
        <i x="55" nd="1"/>
        <i x="38" nd="1"/>
        <i x="43" nd="1"/>
        <i x="11" nd="1"/>
        <i x="21" nd="1"/>
        <i x="44" nd="1"/>
        <i x="54" nd="1"/>
        <i x="18" nd="1"/>
        <i x="5" nd="1"/>
        <i x="48" nd="1"/>
        <i x="10" nd="1"/>
        <i x="12" nd="1"/>
        <i x="17" nd="1"/>
        <i x="20" nd="1"/>
        <i x="25" nd="1"/>
        <i x="22" nd="1"/>
        <i x="28" nd="1"/>
        <i x="31" nd="1"/>
        <i x="51" nd="1"/>
        <i x="29" nd="1"/>
        <i x="8" nd="1"/>
        <i x="57" nd="1"/>
        <i x="42" nd="1"/>
        <i x="41" nd="1"/>
        <i x="24" nd="1"/>
        <i x="4" nd="1"/>
        <i x="36" nd="1"/>
        <i x="52" nd="1"/>
        <i x="19" nd="1"/>
        <i x="23" nd="1"/>
        <i x="47" nd="1"/>
        <i x="26" nd="1"/>
        <i x="58" nd="1"/>
        <i x="34" nd="1"/>
        <i x="6" nd="1"/>
        <i x="14" nd="1"/>
        <i x="15" nd="1"/>
        <i x="50" nd="1"/>
        <i x="30" nd="1"/>
        <i x="49" nd="1"/>
        <i x="7"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1" xr10:uid="{9F4A1B2F-41CC-4875-B67D-FE9115EC6534}" sourceName="SECTION">
  <pivotTables>
    <pivotTable tabId="63" name="PivotTable2"/>
  </pivotTables>
  <data>
    <tabular pivotCacheId="7075283" showMissing="0" crossFilter="showItemsWithNoData">
      <items count="30">
        <i x="0" s="1"/>
        <i x="1"/>
        <i x="2"/>
        <i x="17" nd="1"/>
        <i x="23" nd="1"/>
        <i x="19" nd="1"/>
        <i x="28" nd="1"/>
        <i x="7" nd="1"/>
        <i x="25" nd="1"/>
        <i x="26" nd="1"/>
        <i x="29" nd="1"/>
        <i x="11" nd="1"/>
        <i x="15" nd="1"/>
        <i x="21" nd="1"/>
        <i x="24" nd="1"/>
        <i x="6" nd="1"/>
        <i x="16" nd="1"/>
        <i x="22" nd="1"/>
        <i x="9" nd="1"/>
        <i x="4" nd="1"/>
        <i x="8" nd="1"/>
        <i x="13" nd="1"/>
        <i x="27" nd="1"/>
        <i x="14" nd="1"/>
        <i x="20" nd="1"/>
        <i x="18" nd="1"/>
        <i x="10" nd="1"/>
        <i x="3" nd="1"/>
        <i x="12" nd="1"/>
        <i x="5"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11" xr10:uid="{CA135107-E1BC-4C0D-A5FF-A012F684DD6D}" sourceName="SECTION">
  <pivotTables>
    <pivotTable tabId="64" name="PivotTable2"/>
  </pivotTables>
  <data>
    <tabular pivotCacheId="7075283" showMissing="0" crossFilter="showItemsWithNoData">
      <items count="30">
        <i x="0"/>
        <i x="1" s="1"/>
        <i x="2"/>
        <i x="17" nd="1"/>
        <i x="23" nd="1"/>
        <i x="19" nd="1"/>
        <i x="28" nd="1"/>
        <i x="7" nd="1"/>
        <i x="25" nd="1"/>
        <i x="26" nd="1"/>
        <i x="29" nd="1"/>
        <i x="11" nd="1"/>
        <i x="15" nd="1"/>
        <i x="21" nd="1"/>
        <i x="24" nd="1"/>
        <i x="6" nd="1"/>
        <i x="16" nd="1"/>
        <i x="22" nd="1"/>
        <i x="9" nd="1"/>
        <i x="4" nd="1"/>
        <i x="8" nd="1"/>
        <i x="13" nd="1"/>
        <i x="27" nd="1"/>
        <i x="14" nd="1"/>
        <i x="20" nd="1"/>
        <i x="18" nd="1"/>
        <i x="10" nd="1"/>
        <i x="3" nd="1"/>
        <i x="12" nd="1"/>
        <i x="5"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111111" xr10:uid="{8855374C-A5AD-4A96-84AD-F41123D5D9EC}" sourceName="SECTION">
  <pivotTables>
    <pivotTable tabId="65" name="PivotTable2"/>
  </pivotTables>
  <data>
    <tabular pivotCacheId="7075283" showMissing="0" crossFilter="showItemsWithNoData">
      <items count="30">
        <i x="0"/>
        <i x="1"/>
        <i x="2" s="1"/>
        <i x="17" nd="1"/>
        <i x="23" nd="1"/>
        <i x="19" nd="1"/>
        <i x="28" nd="1"/>
        <i x="7" nd="1"/>
        <i x="25" nd="1"/>
        <i x="26" nd="1"/>
        <i x="29" nd="1"/>
        <i x="11" nd="1"/>
        <i x="15" nd="1"/>
        <i x="21" nd="1"/>
        <i x="24" nd="1"/>
        <i x="6" nd="1"/>
        <i x="16" nd="1"/>
        <i x="22" nd="1"/>
        <i x="9" nd="1"/>
        <i x="4" nd="1"/>
        <i x="8" nd="1"/>
        <i x="13" nd="1"/>
        <i x="27" nd="1"/>
        <i x="14" nd="1"/>
        <i x="20" nd="1"/>
        <i x="18" nd="1"/>
        <i x="10" nd="1"/>
        <i x="3" nd="1"/>
        <i x="12"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0" xr10:uid="{00000000-0014-0000-FFFF-FFFF01000000}" cache="Slicer_SECTION1111" caption="SECTION"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1" xr10:uid="{409097AB-85E5-4FA4-B758-8F0EE63C31C4}" cache="Slicer_SECTION11111" caption="SECTION" rowHeight="22542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xr10:uid="{00000000-0014-0000-FFFF-FFFF02000000}" cache="Slicer_SECTION" caption="SECTION" rowHeight="225425"/>
  <slicer name="SUB-SECTION" xr10:uid="{00000000-0014-0000-FFFF-FFFF03000000}" cache="Slicer_SUB_SECTION" caption="SUB-SECTION" rowHeight="22542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2" xr10:uid="{CFA20567-9C11-437E-AD73-15FE6AAB0252}" cache="Slicer_SECTION111111" caption="SECTION" rowHeight="22542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1" xr10:uid="{00000000-0014-0000-FFFF-FFFF04000000}" cache="Slicer_SECTION1" caption="SECTION" rowHeight="225425"/>
  <slicer name="SUB-SECTION 1" xr10:uid="{00000000-0014-0000-FFFF-FFFF05000000}" cache="Slicer_SUB_SECTION1" caption="SUB-SECTION" rowHeight="225425"/>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3" xr10:uid="{C8A17A64-DF0A-404A-954D-49129343A4AA}" cache="Slicer_SECTION1111111" caption="SECTION" rowHeight="225425"/>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6" xr10:uid="{00000000-0014-0000-FFFF-FFFF06000000}" cache="Slicer_SECTION11211" caption="SECTION" rowHeight="225425"/>
  <slicer name="SUB-SECTION 5" xr10:uid="{00000000-0014-0000-FFFF-FFFF07000000}" cache="Slicer_SUB_SECTION11111" caption="SUB-SECTION"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3" displayName="Table13" ref="C6:O111" totalsRowCount="1" headerRowDxfId="1111" dataDxfId="1110" totalsRowDxfId="1109" headerRowCellStyle="Comma 17 2">
  <autoFilter ref="C6:O110" xr:uid="{00000000-0009-0000-0100-000002000000}"/>
  <sortState xmlns:xlrd2="http://schemas.microsoft.com/office/spreadsheetml/2017/richdata2" ref="C7:O110">
    <sortCondition ref="C6:C110"/>
  </sortState>
  <tableColumns count="13">
    <tableColumn id="3" xr3:uid="{00000000-0010-0000-0000-000003000000}" name="RN" totalsRowFunction="count" dataDxfId="1108" totalsRowDxfId="12" dataCellStyle="Normal 30 2 2"/>
    <tableColumn id="12" xr3:uid="{00000000-0010-0000-0000-00000C000000}" name="NO" totalsRowFunction="count" dataDxfId="1107" totalsRowDxfId="11" dataCellStyle="Normal 30 2 2"/>
    <tableColumn id="5" xr3:uid="{00000000-0010-0000-0000-000005000000}" name="DESCRIPTION" dataDxfId="1106" totalsRowDxfId="10" dataCellStyle="Normal 3 4 2 2 2"/>
    <tableColumn id="7" xr3:uid="{00000000-0010-0000-0000-000007000000}" name="UNIT" totalsRowFunction="count" dataDxfId="1105" totalsRowDxfId="9" dataCellStyle="Comma 2 2 10 2 2"/>
    <tableColumn id="8" xr3:uid="{00000000-0010-0000-0000-000008000000}" name=" QTY" dataDxfId="1104" totalsRowDxfId="8" dataCellStyle="Normal 3 4 2 2 2"/>
    <tableColumn id="9" xr3:uid="{00000000-0010-0000-0000-000009000000}" name="RATE _x000a_(RM)" dataDxfId="1103" totalsRowDxfId="7" dataCellStyle="Comma 62 4 3">
      <calculatedColumnFormula>IF(Table13[[#This Row],[UNIT]]=0,"",IF(Table13[[#This Row],[UNIT]]="L.S.",Table13[[#This Row],[Tenderer''s Response]],Table13[[#This Row],[Tenderer''s Response]]*Table13[[#This Row],[ QTY]]))</calculatedColumnFormula>
    </tableColumn>
    <tableColumn id="10" xr3:uid="{00000000-0010-0000-0000-00000A000000}" name="AMOUNT_x000a_(RM)" totalsRowFunction="countNums" dataDxfId="1102" totalsRowDxfId="6" dataCellStyle="Normal 3 4 2 2 2">
      <calculatedColumnFormula>IF(Table13[[#This Row],[UNIT]]=0,"",IF(Table13[[#This Row],[UNIT]]="L.S.",Table13[[#This Row],[Tenderer''s Response]],Table13[[#This Row],[Tenderer''s Response]]*Table13[[#This Row],[ QTY]]))</calculatedColumnFormula>
    </tableColumn>
    <tableColumn id="6" xr3:uid="{00000000-0010-0000-0000-000006000000}" name="Tenderer's Response" totalsRowFunction="count" dataDxfId="1101" totalsRowDxfId="5" dataCellStyle="Normal 3 4 2 2 2"/>
    <tableColumn id="16" xr3:uid="{00000000-0010-0000-0000-000010000000}" name="Navigate" totalsRowFunction="count" dataDxfId="1100" totalsRowDxfId="4" dataCellStyle="Normal 3 4 2 2 2"/>
    <tableColumn id="2" xr3:uid="{00000000-0010-0000-0000-000002000000}" name="SECTION" totalsRowFunction="count" dataDxfId="1099" totalsRowDxfId="3" dataCellStyle="Normal 3 4 2 2 2"/>
    <tableColumn id="11" xr3:uid="{00000000-0010-0000-0000-00000B000000}" name="SUB-SECTION" totalsRowFunction="count" dataDxfId="1098" totalsRowDxfId="2" dataCellStyle="Normal 3 4 2 2 2"/>
    <tableColumn id="1" xr3:uid="{00000000-0010-0000-0000-000001000000}" name="Cheat" dataDxfId="1097" totalsRowDxfId="1">
      <calculatedColumnFormula>Table13[[#This Row],[DESCRIPTION]]</calculatedColumnFormula>
    </tableColumn>
    <tableColumn id="13" xr3:uid="{00000000-0010-0000-0000-00000D000000}" name="Comment" dataDxfId="1096" totalsRowDxfId="0"/>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5.xml"/><Relationship Id="rId4" Type="http://schemas.microsoft.com/office/2007/relationships/slicer" Target="../slicers/slicer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6.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pivotTable" Target="../pivotTables/pivotTable7.xml"/><Relationship Id="rId4" Type="http://schemas.microsoft.com/office/2007/relationships/slicer" Target="../slicers/slicer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8.xml"/><Relationship Id="rId4" Type="http://schemas.microsoft.com/office/2007/relationships/slicer" Target="../slicers/slicer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tabColor rgb="FFFFFF00"/>
  </sheetPr>
  <dimension ref="B2:C17"/>
  <sheetViews>
    <sheetView workbookViewId="0">
      <selection activeCell="C20" sqref="C20"/>
    </sheetView>
  </sheetViews>
  <sheetFormatPr defaultColWidth="9.109375" defaultRowHeight="13.2" x14ac:dyDescent="0.25"/>
  <cols>
    <col min="1" max="1" width="6.109375" style="5" customWidth="1"/>
    <col min="2" max="2" width="6.109375" style="10" customWidth="1"/>
    <col min="3" max="3" width="66.109375" style="13" customWidth="1"/>
    <col min="4" max="16384" width="9.109375" style="5"/>
  </cols>
  <sheetData>
    <row r="2" spans="2:3" x14ac:dyDescent="0.25">
      <c r="C2" s="14" t="s">
        <v>23</v>
      </c>
    </row>
    <row r="3" spans="2:3" x14ac:dyDescent="0.25">
      <c r="B3" s="10">
        <v>1</v>
      </c>
      <c r="C3" s="13" t="s">
        <v>26</v>
      </c>
    </row>
    <row r="4" spans="2:3" x14ac:dyDescent="0.25">
      <c r="C4" s="13" t="s">
        <v>24</v>
      </c>
    </row>
    <row r="5" spans="2:3" x14ac:dyDescent="0.25">
      <c r="C5" s="13" t="s">
        <v>25</v>
      </c>
    </row>
    <row r="8" spans="2:3" x14ac:dyDescent="0.25">
      <c r="C8" s="14" t="s">
        <v>27</v>
      </c>
    </row>
    <row r="9" spans="2:3" x14ac:dyDescent="0.25">
      <c r="B9" s="10">
        <v>1</v>
      </c>
      <c r="C9" s="13" t="s">
        <v>34</v>
      </c>
    </row>
    <row r="11" spans="2:3" x14ac:dyDescent="0.25">
      <c r="C11" s="14" t="s">
        <v>28</v>
      </c>
    </row>
    <row r="12" spans="2:3" ht="26.4" x14ac:dyDescent="0.25">
      <c r="B12" s="10">
        <v>1</v>
      </c>
      <c r="C12" s="13" t="s">
        <v>29</v>
      </c>
    </row>
    <row r="13" spans="2:3" ht="26.4" x14ac:dyDescent="0.25">
      <c r="B13" s="10">
        <v>2</v>
      </c>
      <c r="C13" s="13" t="s">
        <v>30</v>
      </c>
    </row>
    <row r="14" spans="2:3" ht="26.4" x14ac:dyDescent="0.25">
      <c r="B14" s="10">
        <v>3</v>
      </c>
      <c r="C14" s="13" t="s">
        <v>31</v>
      </c>
    </row>
    <row r="16" spans="2:3" x14ac:dyDescent="0.25">
      <c r="C16" s="14" t="s">
        <v>32</v>
      </c>
    </row>
    <row r="17" spans="2:3" ht="26.4" x14ac:dyDescent="0.25">
      <c r="B17" s="10">
        <v>1</v>
      </c>
      <c r="C17" s="13" t="s">
        <v>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F0DA2-3492-4DD7-B1B5-6DE6E25028FD}">
  <sheetPr>
    <tabColor rgb="FF00B050"/>
  </sheetPr>
  <dimension ref="B1:B118"/>
  <sheetViews>
    <sheetView zoomScaleNormal="100" zoomScaleSheetLayoutView="100" workbookViewId="0">
      <selection activeCell="F11" sqref="F11"/>
    </sheetView>
  </sheetViews>
  <sheetFormatPr defaultColWidth="9.109375" defaultRowHeight="13.2" x14ac:dyDescent="0.25"/>
  <cols>
    <col min="1" max="1" width="6.109375" style="123" customWidth="1"/>
    <col min="2" max="2" width="66.109375" style="126" customWidth="1"/>
    <col min="3" max="16384" width="9.109375" style="123"/>
  </cols>
  <sheetData>
    <row r="1" spans="2:2" x14ac:dyDescent="0.25">
      <c r="B1" s="122" t="s">
        <v>265</v>
      </c>
    </row>
    <row r="2" spans="2:2" x14ac:dyDescent="0.25">
      <c r="B2" s="124" t="s">
        <v>266</v>
      </c>
    </row>
    <row r="3" spans="2:2" x14ac:dyDescent="0.25">
      <c r="B3" s="124" t="s">
        <v>267</v>
      </c>
    </row>
    <row r="4" spans="2:2" x14ac:dyDescent="0.25">
      <c r="B4" s="124"/>
    </row>
    <row r="5" spans="2:2" x14ac:dyDescent="0.25">
      <c r="B5" s="125"/>
    </row>
    <row r="6" spans="2:2" x14ac:dyDescent="0.25">
      <c r="B6" s="125"/>
    </row>
    <row r="7" spans="2:2" x14ac:dyDescent="0.25">
      <c r="B7" s="125"/>
    </row>
    <row r="8" spans="2:2" x14ac:dyDescent="0.25">
      <c r="B8" s="125"/>
    </row>
    <row r="9" spans="2:2" x14ac:dyDescent="0.25">
      <c r="B9" s="125"/>
    </row>
    <row r="10" spans="2:2" x14ac:dyDescent="0.25">
      <c r="B10" s="125"/>
    </row>
    <row r="11" spans="2:2" x14ac:dyDescent="0.25">
      <c r="B11" s="125"/>
    </row>
    <row r="12" spans="2:2" x14ac:dyDescent="0.25">
      <c r="B12" s="125"/>
    </row>
    <row r="13" spans="2:2" x14ac:dyDescent="0.25">
      <c r="B13" s="125"/>
    </row>
    <row r="14" spans="2:2" x14ac:dyDescent="0.25">
      <c r="B14" s="125"/>
    </row>
    <row r="15" spans="2:2" x14ac:dyDescent="0.25">
      <c r="B15" s="125"/>
    </row>
    <row r="16" spans="2:2" x14ac:dyDescent="0.25">
      <c r="B16" s="125"/>
    </row>
    <row r="17" spans="2:2" x14ac:dyDescent="0.25">
      <c r="B17" s="125"/>
    </row>
    <row r="18" spans="2:2" x14ac:dyDescent="0.25">
      <c r="B18" s="125"/>
    </row>
    <row r="19" spans="2:2" x14ac:dyDescent="0.25">
      <c r="B19" s="125"/>
    </row>
    <row r="20" spans="2:2" x14ac:dyDescent="0.25">
      <c r="B20" s="125"/>
    </row>
    <row r="21" spans="2:2" x14ac:dyDescent="0.25">
      <c r="B21" s="125"/>
    </row>
    <row r="22" spans="2:2" x14ac:dyDescent="0.25">
      <c r="B22" s="125"/>
    </row>
    <row r="23" spans="2:2" x14ac:dyDescent="0.25">
      <c r="B23" s="125"/>
    </row>
    <row r="24" spans="2:2" x14ac:dyDescent="0.25">
      <c r="B24" s="125"/>
    </row>
    <row r="25" spans="2:2" x14ac:dyDescent="0.25">
      <c r="B25" s="125"/>
    </row>
    <row r="26" spans="2:2" x14ac:dyDescent="0.25">
      <c r="B26" s="125"/>
    </row>
    <row r="27" spans="2:2" x14ac:dyDescent="0.25">
      <c r="B27" s="125"/>
    </row>
    <row r="28" spans="2:2" x14ac:dyDescent="0.25">
      <c r="B28" s="125"/>
    </row>
    <row r="29" spans="2:2" x14ac:dyDescent="0.25">
      <c r="B29" s="124" t="s">
        <v>268</v>
      </c>
    </row>
    <row r="30" spans="2:2" x14ac:dyDescent="0.25">
      <c r="B30" s="124"/>
    </row>
    <row r="31" spans="2:2" x14ac:dyDescent="0.25">
      <c r="B31" s="125"/>
    </row>
    <row r="32" spans="2:2" x14ac:dyDescent="0.25">
      <c r="B32" s="125"/>
    </row>
    <row r="33" spans="2:2" x14ac:dyDescent="0.25">
      <c r="B33" s="125"/>
    </row>
    <row r="34" spans="2:2" x14ac:dyDescent="0.25">
      <c r="B34" s="125"/>
    </row>
    <row r="35" spans="2:2" x14ac:dyDescent="0.25">
      <c r="B35" s="125"/>
    </row>
    <row r="36" spans="2:2" x14ac:dyDescent="0.25">
      <c r="B36" s="125"/>
    </row>
    <row r="37" spans="2:2" x14ac:dyDescent="0.25">
      <c r="B37" s="125"/>
    </row>
    <row r="38" spans="2:2" x14ac:dyDescent="0.25">
      <c r="B38" s="125"/>
    </row>
    <row r="39" spans="2:2" x14ac:dyDescent="0.25">
      <c r="B39" s="125"/>
    </row>
    <row r="40" spans="2:2" x14ac:dyDescent="0.25">
      <c r="B40" s="125"/>
    </row>
    <row r="41" spans="2:2" x14ac:dyDescent="0.25">
      <c r="B41" s="125"/>
    </row>
    <row r="42" spans="2:2" x14ac:dyDescent="0.25">
      <c r="B42" s="125"/>
    </row>
    <row r="43" spans="2:2" x14ac:dyDescent="0.25">
      <c r="B43" s="125"/>
    </row>
    <row r="44" spans="2:2" x14ac:dyDescent="0.25">
      <c r="B44" s="125"/>
    </row>
    <row r="45" spans="2:2" x14ac:dyDescent="0.25">
      <c r="B45" s="125"/>
    </row>
    <row r="46" spans="2:2" x14ac:dyDescent="0.25">
      <c r="B46" s="125"/>
    </row>
    <row r="47" spans="2:2" x14ac:dyDescent="0.25">
      <c r="B47" s="125"/>
    </row>
    <row r="48" spans="2:2" x14ac:dyDescent="0.25">
      <c r="B48" s="125"/>
    </row>
    <row r="49" spans="2:2" x14ac:dyDescent="0.25">
      <c r="B49" s="125"/>
    </row>
    <row r="50" spans="2:2" x14ac:dyDescent="0.25">
      <c r="B50" s="125"/>
    </row>
    <row r="51" spans="2:2" x14ac:dyDescent="0.25">
      <c r="B51" s="125"/>
    </row>
    <row r="52" spans="2:2" x14ac:dyDescent="0.25">
      <c r="B52" s="125"/>
    </row>
    <row r="53" spans="2:2" x14ac:dyDescent="0.25">
      <c r="B53" s="125"/>
    </row>
    <row r="54" spans="2:2" x14ac:dyDescent="0.25">
      <c r="B54" s="125"/>
    </row>
    <row r="55" spans="2:2" x14ac:dyDescent="0.25">
      <c r="B55" s="125"/>
    </row>
    <row r="56" spans="2:2" x14ac:dyDescent="0.25">
      <c r="B56" s="125"/>
    </row>
    <row r="57" spans="2:2" x14ac:dyDescent="0.25">
      <c r="B57" s="125"/>
    </row>
    <row r="58" spans="2:2" x14ac:dyDescent="0.25">
      <c r="B58" s="124" t="s">
        <v>269</v>
      </c>
    </row>
    <row r="59" spans="2:2" x14ac:dyDescent="0.25">
      <c r="B59" s="124"/>
    </row>
    <row r="60" spans="2:2" x14ac:dyDescent="0.25">
      <c r="B60" s="125"/>
    </row>
    <row r="61" spans="2:2" x14ac:dyDescent="0.25">
      <c r="B61" s="125"/>
    </row>
    <row r="62" spans="2:2" x14ac:dyDescent="0.25">
      <c r="B62" s="125"/>
    </row>
    <row r="63" spans="2:2" x14ac:dyDescent="0.25">
      <c r="B63" s="125"/>
    </row>
    <row r="64" spans="2:2" x14ac:dyDescent="0.25">
      <c r="B64" s="125"/>
    </row>
    <row r="65" spans="2:2" x14ac:dyDescent="0.25">
      <c r="B65" s="125"/>
    </row>
    <row r="66" spans="2:2" x14ac:dyDescent="0.25">
      <c r="B66" s="125"/>
    </row>
    <row r="67" spans="2:2" x14ac:dyDescent="0.25">
      <c r="B67" s="125"/>
    </row>
    <row r="68" spans="2:2" x14ac:dyDescent="0.25">
      <c r="B68" s="125"/>
    </row>
    <row r="69" spans="2:2" x14ac:dyDescent="0.25">
      <c r="B69" s="125"/>
    </row>
    <row r="70" spans="2:2" x14ac:dyDescent="0.25">
      <c r="B70" s="125"/>
    </row>
    <row r="71" spans="2:2" x14ac:dyDescent="0.25">
      <c r="B71" s="125"/>
    </row>
    <row r="72" spans="2:2" x14ac:dyDescent="0.25">
      <c r="B72" s="125"/>
    </row>
    <row r="73" spans="2:2" x14ac:dyDescent="0.25">
      <c r="B73" s="125"/>
    </row>
    <row r="74" spans="2:2" x14ac:dyDescent="0.25">
      <c r="B74" s="125"/>
    </row>
    <row r="75" spans="2:2" x14ac:dyDescent="0.25">
      <c r="B75" s="125"/>
    </row>
    <row r="76" spans="2:2" x14ac:dyDescent="0.25">
      <c r="B76" s="125"/>
    </row>
    <row r="77" spans="2:2" x14ac:dyDescent="0.25">
      <c r="B77" s="125"/>
    </row>
    <row r="78" spans="2:2" x14ac:dyDescent="0.25">
      <c r="B78" s="125"/>
    </row>
    <row r="79" spans="2:2" x14ac:dyDescent="0.25">
      <c r="B79" s="125"/>
    </row>
    <row r="80" spans="2:2" x14ac:dyDescent="0.25">
      <c r="B80" s="125"/>
    </row>
    <row r="81" spans="2:2" x14ac:dyDescent="0.25">
      <c r="B81" s="125"/>
    </row>
    <row r="82" spans="2:2" x14ac:dyDescent="0.25">
      <c r="B82" s="125"/>
    </row>
    <row r="83" spans="2:2" x14ac:dyDescent="0.25">
      <c r="B83" s="125"/>
    </row>
    <row r="84" spans="2:2" x14ac:dyDescent="0.25">
      <c r="B84" s="125"/>
    </row>
    <row r="85" spans="2:2" x14ac:dyDescent="0.25">
      <c r="B85" s="125"/>
    </row>
    <row r="86" spans="2:2" x14ac:dyDescent="0.25">
      <c r="B86" s="125"/>
    </row>
    <row r="87" spans="2:2" x14ac:dyDescent="0.25">
      <c r="B87" s="125"/>
    </row>
    <row r="88" spans="2:2" x14ac:dyDescent="0.25">
      <c r="B88" s="125"/>
    </row>
    <row r="89" spans="2:2" x14ac:dyDescent="0.25">
      <c r="B89" s="124" t="s">
        <v>270</v>
      </c>
    </row>
    <row r="90" spans="2:2" x14ac:dyDescent="0.25">
      <c r="B90" s="124"/>
    </row>
    <row r="91" spans="2:2" x14ac:dyDescent="0.25">
      <c r="B91" s="125"/>
    </row>
    <row r="92" spans="2:2" x14ac:dyDescent="0.25">
      <c r="B92" s="125"/>
    </row>
    <row r="93" spans="2:2" x14ac:dyDescent="0.25">
      <c r="B93" s="125"/>
    </row>
    <row r="94" spans="2:2" x14ac:dyDescent="0.25">
      <c r="B94" s="125"/>
    </row>
    <row r="95" spans="2:2" x14ac:dyDescent="0.25">
      <c r="B95" s="125"/>
    </row>
    <row r="96" spans="2:2" x14ac:dyDescent="0.25">
      <c r="B96" s="125"/>
    </row>
    <row r="97" spans="2:2" x14ac:dyDescent="0.25">
      <c r="B97" s="125"/>
    </row>
    <row r="98" spans="2:2" x14ac:dyDescent="0.25">
      <c r="B98" s="125"/>
    </row>
    <row r="99" spans="2:2" x14ac:dyDescent="0.25">
      <c r="B99" s="125"/>
    </row>
    <row r="100" spans="2:2" x14ac:dyDescent="0.25">
      <c r="B100" s="125"/>
    </row>
    <row r="101" spans="2:2" x14ac:dyDescent="0.25">
      <c r="B101" s="125"/>
    </row>
    <row r="102" spans="2:2" x14ac:dyDescent="0.25">
      <c r="B102" s="125"/>
    </row>
    <row r="103" spans="2:2" x14ac:dyDescent="0.25">
      <c r="B103" s="125"/>
    </row>
    <row r="104" spans="2:2" x14ac:dyDescent="0.25">
      <c r="B104" s="125"/>
    </row>
    <row r="105" spans="2:2" x14ac:dyDescent="0.25">
      <c r="B105" s="125"/>
    </row>
    <row r="106" spans="2:2" x14ac:dyDescent="0.25">
      <c r="B106" s="125"/>
    </row>
    <row r="107" spans="2:2" x14ac:dyDescent="0.25">
      <c r="B107" s="125"/>
    </row>
    <row r="108" spans="2:2" x14ac:dyDescent="0.25">
      <c r="B108" s="125"/>
    </row>
    <row r="109" spans="2:2" x14ac:dyDescent="0.25">
      <c r="B109" s="125"/>
    </row>
    <row r="110" spans="2:2" x14ac:dyDescent="0.25">
      <c r="B110" s="125"/>
    </row>
    <row r="111" spans="2:2" x14ac:dyDescent="0.25">
      <c r="B111" s="125"/>
    </row>
    <row r="112" spans="2:2" x14ac:dyDescent="0.25">
      <c r="B112" s="125"/>
    </row>
    <row r="113" spans="2:2" x14ac:dyDescent="0.25">
      <c r="B113" s="125"/>
    </row>
    <row r="114" spans="2:2" x14ac:dyDescent="0.25">
      <c r="B114" s="125"/>
    </row>
    <row r="115" spans="2:2" x14ac:dyDescent="0.25">
      <c r="B115" s="125"/>
    </row>
    <row r="116" spans="2:2" x14ac:dyDescent="0.25">
      <c r="B116" s="125"/>
    </row>
    <row r="117" spans="2:2" x14ac:dyDescent="0.25">
      <c r="B117" s="125"/>
    </row>
    <row r="118" spans="2:2" x14ac:dyDescent="0.25">
      <c r="B118" s="125"/>
    </row>
  </sheetData>
  <pageMargins left="0.25" right="0.25" top="0.75" bottom="0.75" header="0.3" footer="0.3"/>
  <pageSetup paperSize="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1"/>
  </sheetPr>
  <dimension ref="C1:P111"/>
  <sheetViews>
    <sheetView tabSelected="1" zoomScale="80" zoomScaleNormal="80" zoomScaleSheetLayoutView="85" workbookViewId="0">
      <pane xSplit="1" ySplit="6" topLeftCell="B42" activePane="bottomRight" state="frozen"/>
      <selection pane="topRight" activeCell="B1" sqref="B1"/>
      <selection pane="bottomLeft" activeCell="A7" sqref="A7"/>
      <selection pane="bottomRight" activeCell="E44" sqref="E44"/>
    </sheetView>
  </sheetViews>
  <sheetFormatPr defaultColWidth="9.109375" defaultRowHeight="15.6" outlineLevelCol="1" x14ac:dyDescent="0.3"/>
  <cols>
    <col min="1" max="2" width="2.5546875" style="27" customWidth="1"/>
    <col min="3" max="3" width="7.44140625" style="27" customWidth="1" outlineLevel="1"/>
    <col min="4" max="4" width="8.6640625" style="41" customWidth="1"/>
    <col min="5" max="5" width="35.6640625" style="42" customWidth="1"/>
    <col min="6" max="6" width="9.6640625" style="41" customWidth="1"/>
    <col min="7" max="7" width="9.6640625" style="27" bestFit="1" customWidth="1"/>
    <col min="8" max="9" width="15.6640625" style="27" customWidth="1"/>
    <col min="10" max="10" width="20.33203125" style="27" customWidth="1"/>
    <col min="11" max="11" width="12.44140625" style="27" customWidth="1"/>
    <col min="12" max="12" width="26" style="27" hidden="1" customWidth="1" outlineLevel="1"/>
    <col min="13" max="13" width="26" style="40" hidden="1" customWidth="1" outlineLevel="1"/>
    <col min="14" max="14" width="36.6640625" style="26" hidden="1" customWidth="1" outlineLevel="1"/>
    <col min="15" max="15" width="25.109375" style="27" hidden="1" customWidth="1" outlineLevel="1"/>
    <col min="16" max="16" width="2.5546875" style="27" customWidth="1" collapsed="1"/>
    <col min="17" max="16384" width="9.109375" style="27"/>
  </cols>
  <sheetData>
    <row r="1" spans="3:15" x14ac:dyDescent="0.3">
      <c r="C1" s="24"/>
      <c r="D1" s="24"/>
      <c r="E1" s="25"/>
      <c r="F1" s="24"/>
      <c r="G1" s="24"/>
      <c r="H1" s="24"/>
      <c r="I1" s="24"/>
      <c r="J1" s="137" t="s">
        <v>137</v>
      </c>
      <c r="K1" s="137" t="s">
        <v>36</v>
      </c>
      <c r="L1" s="140" t="s">
        <v>18</v>
      </c>
      <c r="M1" s="141"/>
    </row>
    <row r="2" spans="3:15" x14ac:dyDescent="0.3">
      <c r="C2" s="28"/>
      <c r="D2" s="136" t="s">
        <v>263</v>
      </c>
      <c r="E2" s="136"/>
      <c r="F2" s="136"/>
      <c r="G2" s="136"/>
      <c r="H2" s="136"/>
      <c r="I2" s="136"/>
      <c r="J2" s="138"/>
      <c r="K2" s="138"/>
      <c r="L2" s="142"/>
      <c r="M2" s="143"/>
    </row>
    <row r="3" spans="3:15" x14ac:dyDescent="0.3">
      <c r="C3" s="28"/>
      <c r="D3" s="136"/>
      <c r="E3" s="136"/>
      <c r="F3" s="136"/>
      <c r="G3" s="136"/>
      <c r="H3" s="136"/>
      <c r="I3" s="136"/>
      <c r="J3" s="138"/>
      <c r="K3" s="138"/>
      <c r="L3" s="142"/>
      <c r="M3" s="143"/>
    </row>
    <row r="4" spans="3:15" x14ac:dyDescent="0.3">
      <c r="C4" s="24"/>
      <c r="D4" s="136"/>
      <c r="E4" s="136"/>
      <c r="F4" s="136"/>
      <c r="G4" s="136"/>
      <c r="H4" s="136"/>
      <c r="I4" s="136"/>
      <c r="J4" s="138"/>
      <c r="K4" s="138"/>
      <c r="L4" s="142"/>
      <c r="M4" s="143"/>
    </row>
    <row r="5" spans="3:15" ht="16.2" thickBot="1" x14ac:dyDescent="0.35">
      <c r="C5" s="29"/>
      <c r="D5" s="28"/>
      <c r="E5" s="30"/>
      <c r="F5" s="28"/>
      <c r="G5" s="31"/>
      <c r="H5" s="31"/>
      <c r="I5" s="31"/>
      <c r="J5" s="139"/>
      <c r="K5" s="139"/>
      <c r="L5" s="144"/>
      <c r="M5" s="145"/>
    </row>
    <row r="6" spans="3:15" ht="31.2" x14ac:dyDescent="0.3">
      <c r="C6" s="32" t="s">
        <v>10</v>
      </c>
      <c r="D6" s="32" t="s">
        <v>7</v>
      </c>
      <c r="E6" s="33" t="s">
        <v>0</v>
      </c>
      <c r="F6" s="32" t="s">
        <v>1</v>
      </c>
      <c r="G6" s="34" t="s">
        <v>2</v>
      </c>
      <c r="H6" s="35" t="s">
        <v>4</v>
      </c>
      <c r="I6" s="35" t="s">
        <v>5</v>
      </c>
      <c r="J6" s="36" t="s">
        <v>17</v>
      </c>
      <c r="K6" s="37" t="s">
        <v>35</v>
      </c>
      <c r="L6" s="35" t="s">
        <v>11</v>
      </c>
      <c r="M6" s="38" t="s">
        <v>16</v>
      </c>
      <c r="N6" s="35" t="s">
        <v>3</v>
      </c>
      <c r="O6" s="37" t="s">
        <v>22</v>
      </c>
    </row>
    <row r="7" spans="3:15" ht="16.8" x14ac:dyDescent="0.3">
      <c r="C7" s="71">
        <v>1</v>
      </c>
      <c r="D7" s="72"/>
      <c r="E7" s="73" t="s">
        <v>135</v>
      </c>
      <c r="F7" s="72"/>
      <c r="G7" s="72"/>
      <c r="H7" s="115"/>
      <c r="I7" s="115"/>
      <c r="J7" s="21"/>
      <c r="K7" s="68" t="s">
        <v>42</v>
      </c>
      <c r="L7" s="22" t="s">
        <v>43</v>
      </c>
      <c r="M7" s="22" t="s">
        <v>43</v>
      </c>
      <c r="N7" s="43" t="str">
        <f>Table13[[#This Row],[DESCRIPTION]]</f>
        <v>A: GENERAL &amp; PRELIMINARIES</v>
      </c>
      <c r="O7" s="39"/>
    </row>
    <row r="8" spans="3:15" ht="16.8" x14ac:dyDescent="0.3">
      <c r="C8" s="71">
        <v>2</v>
      </c>
      <c r="D8" s="72"/>
      <c r="E8" s="73" t="s">
        <v>41</v>
      </c>
      <c r="F8" s="72"/>
      <c r="G8" s="72"/>
      <c r="H8" s="115"/>
      <c r="I8" s="115" t="str">
        <f>IF(Table13[[#This Row],[UNIT]]=0,"",IF(Table13[[#This Row],[UNIT]]="L.S.",Table13[[#This Row],[Tenderer''s Response]],Table13[[#This Row],[Tenderer''s Response]]*Table13[[#This Row],[ QTY]]))</f>
        <v/>
      </c>
      <c r="J8" s="21"/>
      <c r="K8" s="68" t="s">
        <v>42</v>
      </c>
      <c r="L8" s="22" t="s">
        <v>43</v>
      </c>
      <c r="M8" s="22" t="s">
        <v>43</v>
      </c>
      <c r="N8" s="43" t="str">
        <f>Table13[[#This Row],[DESCRIPTION]]</f>
        <v>PERFORMANCE BOND</v>
      </c>
      <c r="O8" s="39"/>
    </row>
    <row r="9" spans="3:15" ht="67.2" x14ac:dyDescent="0.3">
      <c r="C9" s="71">
        <v>3</v>
      </c>
      <c r="D9" s="72" t="s">
        <v>44</v>
      </c>
      <c r="E9" s="74" t="s">
        <v>45</v>
      </c>
      <c r="F9" s="75" t="s">
        <v>19</v>
      </c>
      <c r="G9" s="72"/>
      <c r="H9" s="115"/>
      <c r="I9" s="115">
        <f>IF(Table13[[#This Row],[UNIT]]=0,"",IF(Table13[[#This Row],[UNIT]]="L.S.",Table13[[#This Row],[Tenderer''s Response]],Table13[[#This Row],[Tenderer''s Response]]*Table13[[#This Row],[ QTY]]))</f>
        <v>0</v>
      </c>
      <c r="J9" s="112"/>
      <c r="K9" s="68" t="s">
        <v>42</v>
      </c>
      <c r="L9" s="22" t="s">
        <v>43</v>
      </c>
      <c r="M9" s="22" t="s">
        <v>43</v>
      </c>
      <c r="N9" s="43" t="str">
        <f>Table13[[#This Row],[DESCRIPTION]]</f>
        <v>Allow costs for the Performance Bond. (This cost will be deducted upon opting for the performance guarantee sum).</v>
      </c>
      <c r="O9" s="39"/>
    </row>
    <row r="10" spans="3:15" ht="16.8" x14ac:dyDescent="0.3">
      <c r="C10" s="71">
        <v>4</v>
      </c>
      <c r="D10" s="72"/>
      <c r="E10" s="73" t="s">
        <v>46</v>
      </c>
      <c r="F10" s="72"/>
      <c r="G10" s="72"/>
      <c r="H10" s="115"/>
      <c r="I10" s="115" t="str">
        <f>IF(Table13[[#This Row],[UNIT]]=0,"",IF(Table13[[#This Row],[UNIT]]="L.S.",Table13[[#This Row],[Tenderer''s Response]],Table13[[#This Row],[Tenderer''s Response]]*Table13[[#This Row],[ QTY]]))</f>
        <v/>
      </c>
      <c r="J10" s="68"/>
      <c r="K10" s="68" t="s">
        <v>42</v>
      </c>
      <c r="L10" s="22" t="s">
        <v>43</v>
      </c>
      <c r="M10" s="22" t="s">
        <v>43</v>
      </c>
      <c r="N10" s="43" t="str">
        <f>Table13[[#This Row],[DESCRIPTION]]</f>
        <v>INSURANCES</v>
      </c>
      <c r="O10" s="39"/>
    </row>
    <row r="11" spans="3:15" ht="117.6" x14ac:dyDescent="0.3">
      <c r="C11" s="71">
        <v>5</v>
      </c>
      <c r="D11" s="72" t="s">
        <v>47</v>
      </c>
      <c r="E11" s="74" t="s">
        <v>48</v>
      </c>
      <c r="F11" s="75" t="s">
        <v>19</v>
      </c>
      <c r="G11" s="72"/>
      <c r="H11" s="115"/>
      <c r="I11" s="115">
        <f>IF(Table13[[#This Row],[UNIT]]=0,"",IF(Table13[[#This Row],[UNIT]]="L.S.",Table13[[#This Row],[Tenderer''s Response]],Table13[[#This Row],[Tenderer''s Response]]*Table13[[#This Row],[ QTY]]))</f>
        <v>0</v>
      </c>
      <c r="J11" s="112"/>
      <c r="K11" s="68" t="s">
        <v>42</v>
      </c>
      <c r="L11" s="22" t="s">
        <v>43</v>
      </c>
      <c r="M11" s="22" t="s">
        <v>43</v>
      </c>
      <c r="N11" s="43" t="str">
        <f>Table13[[#This Row],[DESCRIPTION]]</f>
        <v>Allow cost for the Contractor's All Risk and Third Party/ Public Liability Insurance. (Note : Insurance shall cover the total contract sum and throughout the construction period including the Defect Liability  Period).</v>
      </c>
      <c r="O11" s="39"/>
    </row>
    <row r="12" spans="3:15" ht="84" x14ac:dyDescent="0.3">
      <c r="C12" s="71">
        <v>6</v>
      </c>
      <c r="D12" s="72" t="s">
        <v>49</v>
      </c>
      <c r="E12" s="74" t="s">
        <v>50</v>
      </c>
      <c r="F12" s="75" t="s">
        <v>19</v>
      </c>
      <c r="G12" s="72"/>
      <c r="H12" s="115"/>
      <c r="I12" s="115">
        <f>IF(Table13[[#This Row],[UNIT]]=0,"",IF(Table13[[#This Row],[UNIT]]="L.S.",Table13[[#This Row],[Tenderer''s Response]],Table13[[#This Row],[Tenderer''s Response]]*Table13[[#This Row],[ QTY]]))</f>
        <v>0</v>
      </c>
      <c r="J12" s="112"/>
      <c r="K12" s="68" t="s">
        <v>42</v>
      </c>
      <c r="L12" s="22" t="s">
        <v>43</v>
      </c>
      <c r="M12" s="22" t="s">
        <v>43</v>
      </c>
      <c r="N12" s="43" t="str">
        <f>Table13[[#This Row],[DESCRIPTION]]</f>
        <v>Allow cost for the Workmen's Compensation Insurance. (Note : Insurance shall cover throughout the construction period including the Defect Liability Period)</v>
      </c>
      <c r="O12" s="39"/>
    </row>
    <row r="13" spans="3:15" ht="16.8" x14ac:dyDescent="0.3">
      <c r="C13" s="71">
        <v>7</v>
      </c>
      <c r="D13" s="72"/>
      <c r="E13" s="73" t="s">
        <v>51</v>
      </c>
      <c r="F13" s="72"/>
      <c r="G13" s="72"/>
      <c r="H13" s="115"/>
      <c r="I13" s="115" t="str">
        <f>IF(Table13[[#This Row],[UNIT]]=0,"",IF(Table13[[#This Row],[UNIT]]="L.S.",Table13[[#This Row],[Tenderer''s Response]],Table13[[#This Row],[Tenderer''s Response]]*Table13[[#This Row],[ QTY]]))</f>
        <v/>
      </c>
      <c r="J13" s="68"/>
      <c r="K13" s="68" t="s">
        <v>42</v>
      </c>
      <c r="L13" s="22" t="s">
        <v>43</v>
      </c>
      <c r="M13" s="22" t="s">
        <v>43</v>
      </c>
      <c r="N13" s="43" t="str">
        <f>Table13[[#This Row],[DESCRIPTION]]</f>
        <v>CIDB LEVY</v>
      </c>
      <c r="O13" s="39"/>
    </row>
    <row r="14" spans="3:15" ht="50.4" x14ac:dyDescent="0.3">
      <c r="C14" s="71">
        <v>8</v>
      </c>
      <c r="D14" s="72" t="s">
        <v>52</v>
      </c>
      <c r="E14" s="76" t="s">
        <v>53</v>
      </c>
      <c r="F14" s="75" t="s">
        <v>19</v>
      </c>
      <c r="G14" s="72"/>
      <c r="H14" s="115"/>
      <c r="I14" s="115">
        <f>IF(Table13[[#This Row],[UNIT]]=0,"",IF(Table13[[#This Row],[UNIT]]="L.S.",Table13[[#This Row],[Tenderer''s Response]],Table13[[#This Row],[Tenderer''s Response]]*Table13[[#This Row],[ QTY]]))</f>
        <v>0</v>
      </c>
      <c r="J14" s="112"/>
      <c r="K14" s="68" t="s">
        <v>42</v>
      </c>
      <c r="L14" s="22" t="s">
        <v>43</v>
      </c>
      <c r="M14" s="22" t="s">
        <v>43</v>
      </c>
      <c r="N14" s="43" t="str">
        <f>Table13[[#This Row],[DESCRIPTION]]</f>
        <v>Allow cost for the Construction Industry Development Board (CIDB) Levy.</v>
      </c>
      <c r="O14" s="39"/>
    </row>
    <row r="15" spans="3:15" ht="16.8" x14ac:dyDescent="0.3">
      <c r="C15" s="71">
        <v>9</v>
      </c>
      <c r="D15" s="72"/>
      <c r="E15" s="77" t="s">
        <v>54</v>
      </c>
      <c r="F15" s="72"/>
      <c r="G15" s="72"/>
      <c r="H15" s="115"/>
      <c r="I15" s="115" t="str">
        <f>IF(Table13[[#This Row],[UNIT]]=0,"",IF(Table13[[#This Row],[UNIT]]="L.S.",Table13[[#This Row],[Tenderer''s Response]],Table13[[#This Row],[Tenderer''s Response]]*Table13[[#This Row],[ QTY]]))</f>
        <v/>
      </c>
      <c r="J15" s="68"/>
      <c r="K15" s="68" t="s">
        <v>42</v>
      </c>
      <c r="L15" s="22" t="s">
        <v>43</v>
      </c>
      <c r="M15" s="22" t="s">
        <v>43</v>
      </c>
      <c r="N15" s="43" t="str">
        <f>Table13[[#This Row],[DESCRIPTION]]</f>
        <v>SOCSO CONTRIBUTION</v>
      </c>
      <c r="O15" s="39"/>
    </row>
    <row r="16" spans="3:15" ht="33.6" x14ac:dyDescent="0.3">
      <c r="C16" s="71">
        <v>10</v>
      </c>
      <c r="D16" s="72" t="s">
        <v>55</v>
      </c>
      <c r="E16" s="78" t="s">
        <v>56</v>
      </c>
      <c r="F16" s="75" t="s">
        <v>19</v>
      </c>
      <c r="G16" s="72"/>
      <c r="H16" s="115"/>
      <c r="I16" s="115">
        <f>IF(Table13[[#This Row],[UNIT]]=0,"",IF(Table13[[#This Row],[UNIT]]="L.S.",Table13[[#This Row],[Tenderer''s Response]],Table13[[#This Row],[Tenderer''s Response]]*Table13[[#This Row],[ QTY]]))</f>
        <v>0</v>
      </c>
      <c r="J16" s="112"/>
      <c r="K16" s="68" t="s">
        <v>42</v>
      </c>
      <c r="L16" s="22" t="s">
        <v>43</v>
      </c>
      <c r="M16" s="22" t="s">
        <v>43</v>
      </c>
      <c r="N16" s="43" t="str">
        <f>Table13[[#This Row],[DESCRIPTION]]</f>
        <v>Allow cost for contribution to SOCSO.</v>
      </c>
      <c r="O16" s="39"/>
    </row>
    <row r="17" spans="3:15" ht="33.6" x14ac:dyDescent="0.3">
      <c r="C17" s="71">
        <v>11</v>
      </c>
      <c r="D17" s="72"/>
      <c r="E17" s="77" t="s">
        <v>57</v>
      </c>
      <c r="F17" s="72"/>
      <c r="G17" s="72"/>
      <c r="H17" s="115"/>
      <c r="I17" s="115" t="str">
        <f>IF(Table13[[#This Row],[UNIT]]=0,"",IF(Table13[[#This Row],[UNIT]]="L.S.",Table13[[#This Row],[Tenderer''s Response]],Table13[[#This Row],[Tenderer''s Response]]*Table13[[#This Row],[ QTY]]))</f>
        <v/>
      </c>
      <c r="J17" s="68"/>
      <c r="K17" s="68" t="s">
        <v>42</v>
      </c>
      <c r="L17" s="22" t="s">
        <v>43</v>
      </c>
      <c r="M17" s="22" t="s">
        <v>43</v>
      </c>
      <c r="N17" s="43" t="str">
        <f>Table13[[#This Row],[DESCRIPTION]]</f>
        <v>MOBILIZATION AND DEMOBILIZATION</v>
      </c>
      <c r="O17" s="39"/>
    </row>
    <row r="18" spans="3:15" ht="67.2" x14ac:dyDescent="0.3">
      <c r="C18" s="71">
        <v>12</v>
      </c>
      <c r="D18" s="72" t="s">
        <v>58</v>
      </c>
      <c r="E18" s="78" t="s">
        <v>184</v>
      </c>
      <c r="F18" s="75" t="s">
        <v>19</v>
      </c>
      <c r="G18" s="79"/>
      <c r="H18" s="115"/>
      <c r="I18" s="115">
        <f>IF(Table13[[#This Row],[UNIT]]=0,"",IF(Table13[[#This Row],[UNIT]]="L.S.",Table13[[#This Row],[Tenderer''s Response]],Table13[[#This Row],[Tenderer''s Response]]*Table13[[#This Row],[ QTY]]))</f>
        <v>0</v>
      </c>
      <c r="J18" s="112"/>
      <c r="K18" s="68" t="s">
        <v>42</v>
      </c>
      <c r="L18" s="22" t="s">
        <v>43</v>
      </c>
      <c r="M18" s="22" t="s">
        <v>43</v>
      </c>
      <c r="N18" s="43" t="str">
        <f>Table13[[#This Row],[DESCRIPTION]]</f>
        <v>Allow cost for mobilisation of Contractor's plant including transport to Site and removal on completion of the Works.</v>
      </c>
      <c r="O18" s="39"/>
    </row>
    <row r="19" spans="3:15" ht="16.8" x14ac:dyDescent="0.3">
      <c r="C19" s="71">
        <v>13</v>
      </c>
      <c r="D19" s="72"/>
      <c r="E19" s="80" t="s">
        <v>62</v>
      </c>
      <c r="F19" s="75"/>
      <c r="G19" s="79"/>
      <c r="H19" s="115"/>
      <c r="I19" s="115" t="str">
        <f>IF(Table13[[#This Row],[UNIT]]=0,"",IF(Table13[[#This Row],[UNIT]]="L.S.",Table13[[#This Row],[Tenderer''s Response]],Table13[[#This Row],[Tenderer''s Response]]*Table13[[#This Row],[ QTY]]))</f>
        <v/>
      </c>
      <c r="J19" s="68"/>
      <c r="K19" s="68" t="s">
        <v>42</v>
      </c>
      <c r="L19" s="22" t="s">
        <v>43</v>
      </c>
      <c r="M19" s="22" t="s">
        <v>43</v>
      </c>
      <c r="N19" s="43" t="str">
        <f>Table13[[#This Row],[DESCRIPTION]]</f>
        <v>CONTRACTOR'S SITE OFFICE</v>
      </c>
      <c r="O19" s="39"/>
    </row>
    <row r="20" spans="3:15" ht="140.4" x14ac:dyDescent="0.3">
      <c r="C20" s="71">
        <v>14</v>
      </c>
      <c r="D20" s="72" t="s">
        <v>59</v>
      </c>
      <c r="E20" s="78" t="s">
        <v>64</v>
      </c>
      <c r="F20" s="75" t="s">
        <v>19</v>
      </c>
      <c r="G20" s="81"/>
      <c r="H20" s="115"/>
      <c r="I20" s="115">
        <f>IF(Table13[[#This Row],[UNIT]]=0,"",IF(Table13[[#This Row],[UNIT]]="L.S.",Table13[[#This Row],[Tenderer''s Response]],Table13[[#This Row],[Tenderer''s Response]]*Table13[[#This Row],[ QTY]]))</f>
        <v>0</v>
      </c>
      <c r="J20" s="112"/>
      <c r="K20" s="68" t="s">
        <v>42</v>
      </c>
      <c r="L20" s="22" t="s">
        <v>43</v>
      </c>
      <c r="M20" s="22" t="s">
        <v>43</v>
      </c>
      <c r="N20" s="43" t="str">
        <f>Table13[[#This Row],[DESCRIPTION]]</f>
        <v>Provide and maintain temporary site office, workmen accommodation, temporary buildings, temporary water supply, temporary electricity, temporary sanitation and stores to be used by the Contractor and subsequent removal on completion of the Works for the whole sites.</v>
      </c>
      <c r="O20" s="39"/>
    </row>
    <row r="21" spans="3:15" ht="93.6" x14ac:dyDescent="0.3">
      <c r="C21" s="71">
        <v>15</v>
      </c>
      <c r="D21" s="72" t="s">
        <v>60</v>
      </c>
      <c r="E21" s="78" t="s">
        <v>66</v>
      </c>
      <c r="F21" s="75" t="s">
        <v>19</v>
      </c>
      <c r="G21" s="81"/>
      <c r="H21" s="115"/>
      <c r="I21" s="115">
        <f>IF(Table13[[#This Row],[UNIT]]=0,"",IF(Table13[[#This Row],[UNIT]]="L.S.",Table13[[#This Row],[Tenderer''s Response]],Table13[[#This Row],[Tenderer''s Response]]*Table13[[#This Row],[ QTY]]))</f>
        <v>0</v>
      </c>
      <c r="J21" s="112"/>
      <c r="K21" s="68" t="s">
        <v>42</v>
      </c>
      <c r="L21" s="22" t="s">
        <v>43</v>
      </c>
      <c r="M21" s="22" t="s">
        <v>43</v>
      </c>
      <c r="N21" s="43" t="str">
        <f>Table13[[#This Row],[DESCRIPTION]]</f>
        <v>Provide and maintain temporary cabin storage (standard size 20 foot) to be used by the Contractor and subsequent removal on completion of the Works for the whole sites.</v>
      </c>
      <c r="O21" s="39"/>
    </row>
    <row r="22" spans="3:15" ht="16.8" x14ac:dyDescent="0.3">
      <c r="C22" s="71">
        <v>16</v>
      </c>
      <c r="D22" s="82"/>
      <c r="E22" s="80" t="s">
        <v>67</v>
      </c>
      <c r="F22" s="83"/>
      <c r="G22" s="81"/>
      <c r="H22" s="115"/>
      <c r="I22" s="115" t="str">
        <f>IF(Table13[[#This Row],[UNIT]]=0,"",IF(Table13[[#This Row],[UNIT]]="L.S.",Table13[[#This Row],[Tenderer''s Response]],Table13[[#This Row],[Tenderer''s Response]]*Table13[[#This Row],[ QTY]]))</f>
        <v/>
      </c>
      <c r="J22" s="68"/>
      <c r="K22" s="68" t="s">
        <v>42</v>
      </c>
      <c r="L22" s="22" t="s">
        <v>43</v>
      </c>
      <c r="M22" s="22" t="s">
        <v>43</v>
      </c>
      <c r="N22" s="43" t="str">
        <f>Table13[[#This Row],[DESCRIPTION]]</f>
        <v>PROJECT SIGNBOARD</v>
      </c>
      <c r="O22" s="39"/>
    </row>
    <row r="23" spans="3:15" ht="78" x14ac:dyDescent="0.3">
      <c r="C23" s="71">
        <v>17</v>
      </c>
      <c r="D23" s="72" t="s">
        <v>61</v>
      </c>
      <c r="E23" s="78" t="s">
        <v>187</v>
      </c>
      <c r="F23" s="75" t="s">
        <v>19</v>
      </c>
      <c r="G23" s="79"/>
      <c r="H23" s="115"/>
      <c r="I23" s="115">
        <f>IF(Table13[[#This Row],[UNIT]]=0,"",IF(Table13[[#This Row],[UNIT]]="L.S.",Table13[[#This Row],[Tenderer''s Response]],Table13[[#This Row],[Tenderer''s Response]]*Table13[[#This Row],[ QTY]]))</f>
        <v>0</v>
      </c>
      <c r="J23" s="112"/>
      <c r="K23" s="68" t="s">
        <v>42</v>
      </c>
      <c r="L23" s="22" t="s">
        <v>43</v>
      </c>
      <c r="M23" s="22" t="s">
        <v>43</v>
      </c>
      <c r="N23" s="43" t="str">
        <f>Table13[[#This Row],[DESCRIPTION]]</f>
        <v>Provide and maintain for one (1) nos of project signboards as per C.A. requirement and to be removed upon completion of the project .</v>
      </c>
      <c r="O23" s="39"/>
    </row>
    <row r="24" spans="3:15" ht="16.8" x14ac:dyDescent="0.3">
      <c r="C24" s="71">
        <v>18</v>
      </c>
      <c r="D24" s="72"/>
      <c r="E24" s="80" t="s">
        <v>69</v>
      </c>
      <c r="F24" s="75"/>
      <c r="G24" s="79"/>
      <c r="H24" s="115"/>
      <c r="I24" s="115" t="str">
        <f>IF(Table13[[#This Row],[UNIT]]=0,"",IF(Table13[[#This Row],[UNIT]]="L.S.",Table13[[#This Row],[Tenderer''s Response]],Table13[[#This Row],[Tenderer''s Response]]*Table13[[#This Row],[ QTY]]))</f>
        <v/>
      </c>
      <c r="J24" s="68"/>
      <c r="K24" s="68" t="s">
        <v>42</v>
      </c>
      <c r="L24" s="22" t="s">
        <v>43</v>
      </c>
      <c r="M24" s="22" t="s">
        <v>43</v>
      </c>
      <c r="N24" s="43" t="str">
        <f>Table13[[#This Row],[DESCRIPTION]]</f>
        <v>SITE REQUIREMENT</v>
      </c>
      <c r="O24" s="39"/>
    </row>
    <row r="25" spans="3:15" ht="100.8" x14ac:dyDescent="0.3">
      <c r="C25" s="71">
        <v>19</v>
      </c>
      <c r="D25" s="72" t="s">
        <v>63</v>
      </c>
      <c r="E25" s="78" t="s">
        <v>71</v>
      </c>
      <c r="F25" s="75" t="s">
        <v>19</v>
      </c>
      <c r="G25" s="79"/>
      <c r="H25" s="115"/>
      <c r="I25" s="115">
        <f>IF(Table13[[#This Row],[UNIT]]=0,"",IF(Table13[[#This Row],[UNIT]]="L.S.",Table13[[#This Row],[Tenderer''s Response]],Table13[[#This Row],[Tenderer''s Response]]*Table13[[#This Row],[ QTY]]))</f>
        <v>0</v>
      </c>
      <c r="J25" s="112"/>
      <c r="K25" s="68" t="s">
        <v>42</v>
      </c>
      <c r="L25" s="22" t="s">
        <v>43</v>
      </c>
      <c r="M25" s="22" t="s">
        <v>43</v>
      </c>
      <c r="N25" s="43" t="str">
        <f>Table13[[#This Row],[DESCRIPTION]]</f>
        <v>Allow cost to maintain the works being kept clear of water in all situation including but not limited to the dewatering of the trenches and during the testing and commissioning of the pipe lines.</v>
      </c>
      <c r="O25" s="39"/>
    </row>
    <row r="26" spans="3:15" ht="117.6" x14ac:dyDescent="0.3">
      <c r="C26" s="71">
        <v>20</v>
      </c>
      <c r="D26" s="72" t="s">
        <v>65</v>
      </c>
      <c r="E26" s="78" t="s">
        <v>73</v>
      </c>
      <c r="F26" s="75" t="s">
        <v>19</v>
      </c>
      <c r="G26" s="79"/>
      <c r="H26" s="115"/>
      <c r="I26" s="115">
        <f>IF(Table13[[#This Row],[UNIT]]=0,"",IF(Table13[[#This Row],[UNIT]]="L.S.",Table13[[#This Row],[Tenderer''s Response]],Table13[[#This Row],[Tenderer''s Response]]*Table13[[#This Row],[ QTY]]))</f>
        <v>0</v>
      </c>
      <c r="J26" s="112"/>
      <c r="K26" s="68" t="s">
        <v>42</v>
      </c>
      <c r="L26" s="22" t="s">
        <v>43</v>
      </c>
      <c r="M26" s="22" t="s">
        <v>43</v>
      </c>
      <c r="N26" s="43" t="str">
        <f>Table13[[#This Row],[DESCRIPTION]]</f>
        <v>Provide and maintain the temporary and existing access roads to the Site for the duration of the Contract.  Rate to include the reinstatement to the original condition on the completions of the Works.</v>
      </c>
      <c r="O26" s="39"/>
    </row>
    <row r="27" spans="3:15" ht="140.4" x14ac:dyDescent="0.3">
      <c r="C27" s="71">
        <v>21</v>
      </c>
      <c r="D27" s="72" t="s">
        <v>68</v>
      </c>
      <c r="E27" s="78" t="s">
        <v>75</v>
      </c>
      <c r="F27" s="75" t="s">
        <v>19</v>
      </c>
      <c r="G27" s="79"/>
      <c r="H27" s="115"/>
      <c r="I27" s="115">
        <f>IF(Table13[[#This Row],[UNIT]]=0,"",IF(Table13[[#This Row],[UNIT]]="L.S.",Table13[[#This Row],[Tenderer''s Response]],Table13[[#This Row],[Tenderer''s Response]]*Table13[[#This Row],[ QTY]]))</f>
        <v>0</v>
      </c>
      <c r="J27" s="112"/>
      <c r="K27" s="68" t="s">
        <v>42</v>
      </c>
      <c r="L27" s="22" t="s">
        <v>43</v>
      </c>
      <c r="M27" s="22" t="s">
        <v>43</v>
      </c>
      <c r="N27" s="43" t="str">
        <f>Table13[[#This Row],[DESCRIPTION]]</f>
        <v>Allow cost to maintain the cleanliness of the working area including the ongoing housekeeping, water spraying to reduce the dust mainly on the main road, etc to the requirement of the Authorities. Clearing up the Site as directed during the progress and upon completion of the Works.</v>
      </c>
      <c r="O27" s="39"/>
    </row>
    <row r="28" spans="3:15" ht="84" x14ac:dyDescent="0.3">
      <c r="C28" s="71">
        <v>22</v>
      </c>
      <c r="D28" s="133" t="s">
        <v>70</v>
      </c>
      <c r="E28" s="134" t="s">
        <v>271</v>
      </c>
      <c r="F28" s="75" t="s">
        <v>19</v>
      </c>
      <c r="G28" s="79"/>
      <c r="H28" s="115"/>
      <c r="I28" s="115">
        <f>IF(Table13[[#This Row],[UNIT]]=0,"",IF(Table13[[#This Row],[UNIT]]="L.S.",Table13[[#This Row],[Tenderer''s Response]],Table13[[#This Row],[Tenderer''s Response]]*Table13[[#This Row],[ QTY]]))</f>
        <v>0</v>
      </c>
      <c r="J28" s="112"/>
      <c r="K28" s="68" t="s">
        <v>42</v>
      </c>
      <c r="L28" s="22" t="s">
        <v>43</v>
      </c>
      <c r="M28" s="22" t="s">
        <v>43</v>
      </c>
      <c r="N28" s="43" t="str">
        <f>Table13[[#This Row],[DESCRIPTION]]</f>
        <v>Allow for Dilapidated Survey and Report including the provision of all necessary equipment, materials, licensed surveyor and labour as specified.</v>
      </c>
      <c r="O28" s="39"/>
    </row>
    <row r="29" spans="3:15" ht="50.4" x14ac:dyDescent="0.3">
      <c r="C29" s="71">
        <v>23</v>
      </c>
      <c r="D29" s="133" t="s">
        <v>72</v>
      </c>
      <c r="E29" s="134" t="s">
        <v>272</v>
      </c>
      <c r="F29" s="75" t="s">
        <v>19</v>
      </c>
      <c r="G29" s="79"/>
      <c r="H29" s="115"/>
      <c r="I29" s="115">
        <f>IF(Table13[[#This Row],[UNIT]]=0,"",IF(Table13[[#This Row],[UNIT]]="L.S.",Table13[[#This Row],[Tenderer''s Response]],Table13[[#This Row],[Tenderer''s Response]]*Table13[[#This Row],[ QTY]]))</f>
        <v>0</v>
      </c>
      <c r="J29" s="112"/>
      <c r="K29" s="68" t="s">
        <v>42</v>
      </c>
      <c r="L29" s="22" t="s">
        <v>43</v>
      </c>
      <c r="M29" s="22" t="s">
        <v>43</v>
      </c>
      <c r="N29" s="43" t="str">
        <f>Table13[[#This Row],[DESCRIPTION]]</f>
        <v>Allow for all setting out of work inclusive of licensed surveyor and labour as specified.</v>
      </c>
      <c r="O29" s="39"/>
    </row>
    <row r="30" spans="3:15" ht="16.8" x14ac:dyDescent="0.3">
      <c r="C30" s="71">
        <v>24</v>
      </c>
      <c r="D30" s="72"/>
      <c r="E30" s="80" t="s">
        <v>76</v>
      </c>
      <c r="F30" s="75"/>
      <c r="G30" s="79"/>
      <c r="H30" s="115"/>
      <c r="I30" s="115" t="str">
        <f>IF(Table13[[#This Row],[UNIT]]=0,"",IF(Table13[[#This Row],[UNIT]]="L.S.",Table13[[#This Row],[Tenderer''s Response]],Table13[[#This Row],[Tenderer''s Response]]*Table13[[#This Row],[ QTY]]))</f>
        <v/>
      </c>
      <c r="J30" s="68"/>
      <c r="K30" s="68" t="s">
        <v>42</v>
      </c>
      <c r="L30" s="22" t="s">
        <v>43</v>
      </c>
      <c r="M30" s="22" t="s">
        <v>43</v>
      </c>
      <c r="N30" s="43" t="str">
        <f>Table13[[#This Row],[DESCRIPTION]]</f>
        <v>SITE AGENT</v>
      </c>
      <c r="O30" s="39"/>
    </row>
    <row r="31" spans="3:15" ht="50.4" x14ac:dyDescent="0.3">
      <c r="C31" s="71">
        <v>25</v>
      </c>
      <c r="D31" s="72" t="s">
        <v>74</v>
      </c>
      <c r="E31" s="78" t="s">
        <v>78</v>
      </c>
      <c r="F31" s="75" t="s">
        <v>19</v>
      </c>
      <c r="G31" s="79"/>
      <c r="H31" s="115"/>
      <c r="I31" s="115">
        <f>IF(Table13[[#This Row],[UNIT]]=0,"",IF(Table13[[#This Row],[UNIT]]="L.S.",Table13[[#This Row],[Tenderer''s Response]],Table13[[#This Row],[Tenderer''s Response]]*Table13[[#This Row],[ QTY]]))</f>
        <v>0</v>
      </c>
      <c r="J31" s="112"/>
      <c r="K31" s="68" t="s">
        <v>42</v>
      </c>
      <c r="L31" s="22" t="s">
        <v>43</v>
      </c>
      <c r="M31" s="22" t="s">
        <v>43</v>
      </c>
      <c r="N31" s="43" t="str">
        <f>Table13[[#This Row],[DESCRIPTION]]</f>
        <v>Provide full time, qualified and experienced engineer as the Site Agent to the approval of the C.A.</v>
      </c>
      <c r="O31" s="39"/>
    </row>
    <row r="32" spans="3:15" ht="33.6" x14ac:dyDescent="0.3">
      <c r="C32" s="71">
        <v>26</v>
      </c>
      <c r="D32" s="72"/>
      <c r="E32" s="84" t="s">
        <v>79</v>
      </c>
      <c r="F32" s="75"/>
      <c r="G32" s="85"/>
      <c r="H32" s="115"/>
      <c r="I32" s="115" t="str">
        <f>IF(Table13[[#This Row],[UNIT]]=0,"",IF(Table13[[#This Row],[UNIT]]="L.S.",Table13[[#This Row],[Tenderer''s Response]],Table13[[#This Row],[Tenderer''s Response]]*Table13[[#This Row],[ QTY]]))</f>
        <v/>
      </c>
      <c r="J32" s="68"/>
      <c r="K32" s="68" t="s">
        <v>42</v>
      </c>
      <c r="L32" s="22" t="s">
        <v>43</v>
      </c>
      <c r="M32" s="22" t="s">
        <v>43</v>
      </c>
      <c r="N32" s="43" t="str">
        <f>Table13[[#This Row],[DESCRIPTION]]</f>
        <v>EQUIPMENT FOR USE BY THE C.A / ENGINEER</v>
      </c>
      <c r="O32" s="39"/>
    </row>
    <row r="33" spans="3:15" ht="171.6" x14ac:dyDescent="0.3">
      <c r="C33" s="71">
        <v>27</v>
      </c>
      <c r="D33" s="72" t="s">
        <v>77</v>
      </c>
      <c r="E33" s="78" t="s">
        <v>81</v>
      </c>
      <c r="F33" s="75" t="s">
        <v>19</v>
      </c>
      <c r="G33" s="81"/>
      <c r="H33" s="115"/>
      <c r="I33" s="115">
        <f>IF(Table13[[#This Row],[UNIT]]=0,"",IF(Table13[[#This Row],[UNIT]]="L.S.",Table13[[#This Row],[Tenderer''s Response]],Table13[[#This Row],[Tenderer''s Response]]*Table13[[#This Row],[ QTY]]))</f>
        <v>0</v>
      </c>
      <c r="J33" s="112"/>
      <c r="K33" s="68" t="s">
        <v>42</v>
      </c>
      <c r="L33" s="22" t="s">
        <v>43</v>
      </c>
      <c r="M33" s="22" t="s">
        <v>43</v>
      </c>
      <c r="N33" s="43" t="str">
        <f>Table13[[#This Row],[DESCRIPTION]]</f>
        <v>Provide C.A's temporary  &amp; maintain site office to be used during construction period, temporary water supply, temporary electricity, temporary sanitation, telephone system &amp; internet services and rental &amp; maintain of the internet services complying to C.A requirements. The location of the site office subjected to C.A approval.</v>
      </c>
      <c r="O33" s="39"/>
    </row>
    <row r="34" spans="3:15" ht="218.4" x14ac:dyDescent="0.3">
      <c r="C34" s="71">
        <v>28</v>
      </c>
      <c r="D34" s="72" t="s">
        <v>80</v>
      </c>
      <c r="E34" s="86" t="s">
        <v>261</v>
      </c>
      <c r="F34" s="75" t="s">
        <v>19</v>
      </c>
      <c r="G34" s="81"/>
      <c r="H34" s="115"/>
      <c r="I34" s="115">
        <f>IF(Table13[[#This Row],[UNIT]]=0,"",IF(Table13[[#This Row],[UNIT]]="L.S.",Table13[[#This Row],[Tenderer''s Response]],Table13[[#This Row],[Tenderer''s Response]]*Table13[[#This Row],[ QTY]]))</f>
        <v>0</v>
      </c>
      <c r="J34" s="112"/>
      <c r="K34" s="68" t="s">
        <v>42</v>
      </c>
      <c r="L34" s="22" t="s">
        <v>43</v>
      </c>
      <c r="M34" s="22" t="s">
        <v>43</v>
      </c>
      <c r="N34" s="43" t="str">
        <f>Table13[[#This Row],[DESCRIPTION]]</f>
        <v>Provide One (1) sets of the smart phone (maximum of RM1,500/unit) for the use of C.A or his authorized representatives and pay for the bills (to the maximum of RM250.00 per month per user) and provision for all the charges and deposit required by the telecommunication companies, taxes etc. and maintain them in good working condition throughout the Contract period and to be reverted to the Contractor after the issuance of the Certificate of Making Good Defects (CMGD).</v>
      </c>
      <c r="O34" s="39"/>
    </row>
    <row r="35" spans="3:15" ht="156" x14ac:dyDescent="0.3">
      <c r="C35" s="71">
        <v>29</v>
      </c>
      <c r="D35" s="72" t="s">
        <v>82</v>
      </c>
      <c r="E35" s="86" t="s">
        <v>86</v>
      </c>
      <c r="F35" s="75" t="s">
        <v>19</v>
      </c>
      <c r="G35" s="81"/>
      <c r="H35" s="115"/>
      <c r="I35" s="115">
        <f>IF(Table13[[#This Row],[UNIT]]=0,"",IF(Table13[[#This Row],[UNIT]]="L.S.",Table13[[#This Row],[Tenderer''s Response]],Table13[[#This Row],[Tenderer''s Response]]*Table13[[#This Row],[ QTY]]))</f>
        <v>0</v>
      </c>
      <c r="J35" s="112"/>
      <c r="K35" s="68" t="s">
        <v>42</v>
      </c>
      <c r="L35" s="22" t="s">
        <v>43</v>
      </c>
      <c r="M35" s="22" t="s">
        <v>43</v>
      </c>
      <c r="N35" s="43" t="str">
        <f>Table13[[#This Row],[DESCRIPTION]]</f>
        <v>Allow cost for liaison with Authorities for permit application and working within road / existing utilities reserve to meet the requirement of Road / Utilities Authorities (Jabatan Hutan, MBAJ, TNB, LUAS, CGSO etc.). All related cost including application fees and mandatory charges shall be borne by Contractor.</v>
      </c>
      <c r="O35" s="39"/>
    </row>
    <row r="36" spans="3:15" ht="202.8" x14ac:dyDescent="0.3">
      <c r="C36" s="71">
        <v>30</v>
      </c>
      <c r="D36" s="72" t="s">
        <v>83</v>
      </c>
      <c r="E36" s="78" t="s">
        <v>88</v>
      </c>
      <c r="F36" s="75" t="s">
        <v>19</v>
      </c>
      <c r="G36" s="79"/>
      <c r="H36" s="115"/>
      <c r="I36" s="115">
        <f>IF(Table13[[#This Row],[UNIT]]=0,"",IF(Table13[[#This Row],[UNIT]]="L.S.",Table13[[#This Row],[Tenderer''s Response]],Table13[[#This Row],[Tenderer''s Response]]*Table13[[#This Row],[ QTY]]))</f>
        <v>0</v>
      </c>
      <c r="J36" s="112"/>
      <c r="K36" s="68" t="s">
        <v>42</v>
      </c>
      <c r="L36" s="22" t="s">
        <v>43</v>
      </c>
      <c r="M36" s="22" t="s">
        <v>43</v>
      </c>
      <c r="N36" s="43" t="str">
        <f>Table13[[#This Row],[DESCRIPTION]]</f>
        <v>To provide materials, tools and skilful personnel to conduct training on the equipment/works/system under this contract for C.A Personnel's. The training shall include technical and practical training consisting of class theory, physical on-site operation and maintenance training inclusive trouble shooting of the equipment and complete system. The work shall include training program and schedule.</v>
      </c>
      <c r="O36" s="39"/>
    </row>
    <row r="37" spans="3:15" ht="33.6" x14ac:dyDescent="0.3">
      <c r="C37" s="71">
        <v>31</v>
      </c>
      <c r="D37" s="72"/>
      <c r="E37" s="77" t="s">
        <v>89</v>
      </c>
      <c r="F37" s="75"/>
      <c r="G37" s="75"/>
      <c r="H37" s="115"/>
      <c r="I37" s="115" t="str">
        <f>IF(Table13[[#This Row],[UNIT]]=0,"",IF(Table13[[#This Row],[UNIT]]="L.S.",Table13[[#This Row],[Tenderer''s Response]],Table13[[#This Row],[Tenderer''s Response]]*Table13[[#This Row],[ QTY]]))</f>
        <v/>
      </c>
      <c r="J37" s="68"/>
      <c r="K37" s="68" t="s">
        <v>42</v>
      </c>
      <c r="L37" s="22" t="s">
        <v>43</v>
      </c>
      <c r="M37" s="22" t="s">
        <v>43</v>
      </c>
      <c r="N37" s="43" t="str">
        <f>Table13[[#This Row],[DESCRIPTION]]</f>
        <v>PROGRAMMES, DRAWINGS AND DOCUMENTS</v>
      </c>
      <c r="O37" s="39"/>
    </row>
    <row r="38" spans="3:15" ht="171.6" x14ac:dyDescent="0.3">
      <c r="C38" s="71">
        <v>32</v>
      </c>
      <c r="D38" s="72" t="s">
        <v>84</v>
      </c>
      <c r="E38" s="78" t="s">
        <v>91</v>
      </c>
      <c r="F38" s="75" t="s">
        <v>19</v>
      </c>
      <c r="G38" s="79"/>
      <c r="H38" s="115"/>
      <c r="I38" s="115">
        <f>IF(Table13[[#This Row],[UNIT]]=0,"",IF(Table13[[#This Row],[UNIT]]="L.S.",Table13[[#This Row],[Tenderer''s Response]],Table13[[#This Row],[Tenderer''s Response]]*Table13[[#This Row],[ QTY]]))</f>
        <v>0</v>
      </c>
      <c r="J38" s="112"/>
      <c r="K38" s="68" t="s">
        <v>42</v>
      </c>
      <c r="L38" s="22" t="s">
        <v>43</v>
      </c>
      <c r="M38" s="22" t="s">
        <v>43</v>
      </c>
      <c r="N38" s="43" t="str">
        <f>Table13[[#This Row],[DESCRIPTION]]</f>
        <v>Provide, prepare and submit the As-Built Drawings as per requirement of C.A. All as-built drawings shall be certified and duty stamped by PE prior to submission. It shall be in Two (2) Sets of A1 size paper, Three (3) Sets of A3 size paper with hard cover binding and Four (4) sets in CD/DVD for drawings in AutoCAD 2010 softcopy format (dwg) and pdf format.</v>
      </c>
      <c r="O38" s="39"/>
    </row>
    <row r="39" spans="3:15" ht="100.8" x14ac:dyDescent="0.3">
      <c r="C39" s="71">
        <v>33</v>
      </c>
      <c r="D39" s="87" t="s">
        <v>85</v>
      </c>
      <c r="E39" s="88" t="s">
        <v>93</v>
      </c>
      <c r="F39" s="89" t="s">
        <v>19</v>
      </c>
      <c r="G39" s="90"/>
      <c r="H39" s="115"/>
      <c r="I39" s="115">
        <f>IF(Table13[[#This Row],[UNIT]]=0,"",IF(Table13[[#This Row],[UNIT]]="L.S.",Table13[[#This Row],[Tenderer''s Response]],Table13[[#This Row],[Tenderer''s Response]]*Table13[[#This Row],[ QTY]]))</f>
        <v>0</v>
      </c>
      <c r="J39" s="112"/>
      <c r="K39" s="68" t="s">
        <v>42</v>
      </c>
      <c r="L39" s="22" t="s">
        <v>43</v>
      </c>
      <c r="M39" s="22" t="s">
        <v>43</v>
      </c>
      <c r="N39" s="43" t="str">
        <f>Table13[[#This Row],[DESCRIPTION]]</f>
        <v>Supply 4 sets of Final Operations and Maintenance (O&amp;M) (The hard copy O&amp;M shall in hardcover binding and to follow Air Selangor Template and soft copy O&amp;M shall be in CD).</v>
      </c>
      <c r="O39" s="39"/>
    </row>
    <row r="40" spans="3:15" ht="202.8" x14ac:dyDescent="0.3">
      <c r="C40" s="71">
        <v>34</v>
      </c>
      <c r="D40" s="69" t="s">
        <v>87</v>
      </c>
      <c r="E40" s="70" t="s">
        <v>95</v>
      </c>
      <c r="F40" s="131" t="s">
        <v>19</v>
      </c>
      <c r="G40" s="132"/>
      <c r="H40" s="115"/>
      <c r="I40" s="115">
        <f>IF(Table13[[#This Row],[UNIT]]=0,"",IF(Table13[[#This Row],[UNIT]]="L.S.",Table13[[#This Row],[Tenderer''s Response]],Table13[[#This Row],[Tenderer''s Response]]*Table13[[#This Row],[ QTY]]))</f>
        <v>0</v>
      </c>
      <c r="J40" s="112"/>
      <c r="K40" s="68" t="s">
        <v>42</v>
      </c>
      <c r="L40" s="22" t="s">
        <v>43</v>
      </c>
      <c r="M40" s="22" t="s">
        <v>43</v>
      </c>
      <c r="N40" s="43" t="str">
        <f>Table13[[#This Row],[DESCRIPTION]]</f>
        <v>Provide, prepare and submit four (4) sets of official documentation for submission &amp; approval in hardcopy (hard cover binded with glossy coloured cover) and one (1) set of softcopy (pdf) in CD/DVD for shop drawings, calculation, catalogues, method statements, test procedures, test certificates, factory inspection reports, site test reports, work programme (ghant chart),  etc. c/w PE certification as per requirement of C.A.</v>
      </c>
      <c r="O40" s="39"/>
    </row>
    <row r="41" spans="3:15" ht="84" x14ac:dyDescent="0.3">
      <c r="C41" s="71">
        <v>35</v>
      </c>
      <c r="D41" s="72" t="s">
        <v>90</v>
      </c>
      <c r="E41" s="157" t="s">
        <v>282</v>
      </c>
      <c r="F41" s="75" t="s">
        <v>19</v>
      </c>
      <c r="G41" s="79"/>
      <c r="H41" s="115"/>
      <c r="I41" s="115">
        <f>IF(Table13[[#This Row],[UNIT]]=0,"",IF(Table13[[#This Row],[UNIT]]="L.S.",Table13[[#This Row],[Tenderer''s Response]],Table13[[#This Row],[Tenderer''s Response]]*Table13[[#This Row],[ QTY]]))</f>
        <v>0</v>
      </c>
      <c r="J41" s="112"/>
      <c r="K41" s="68" t="s">
        <v>42</v>
      </c>
      <c r="L41" s="22" t="s">
        <v>43</v>
      </c>
      <c r="M41" s="22" t="s">
        <v>43</v>
      </c>
      <c r="N41" s="43" t="str">
        <f>Table13[[#This Row],[DESCRIPTION]]</f>
        <v>Provide four (4) sets colour copies of monthly progress report and monthly Health &amp; Safety Report printed in suitably bound album for the duration of contract.</v>
      </c>
      <c r="O41" s="39"/>
    </row>
    <row r="42" spans="3:15" ht="100.8" x14ac:dyDescent="0.3">
      <c r="C42" s="71">
        <v>36</v>
      </c>
      <c r="D42" s="72" t="s">
        <v>92</v>
      </c>
      <c r="E42" s="78" t="s">
        <v>98</v>
      </c>
      <c r="F42" s="75" t="s">
        <v>19</v>
      </c>
      <c r="G42" s="79"/>
      <c r="H42" s="115"/>
      <c r="I42" s="115">
        <f>IF(Table13[[#This Row],[UNIT]]=0,"",IF(Table13[[#This Row],[UNIT]]="L.S.",Table13[[#This Row],[Tenderer''s Response]],Table13[[#This Row],[Tenderer''s Response]]*Table13[[#This Row],[ QTY]]))</f>
        <v>0</v>
      </c>
      <c r="J42" s="112"/>
      <c r="K42" s="68" t="s">
        <v>42</v>
      </c>
      <c r="L42" s="22" t="s">
        <v>43</v>
      </c>
      <c r="M42" s="22" t="s">
        <v>43</v>
      </c>
      <c r="N42" s="43" t="str">
        <f>Table13[[#This Row],[DESCRIPTION]]</f>
        <v>Allow cost for the preparation of contract documentation, binding in hardcover and stamping comprising of One (1) No. of Original, One (1) No. of Duplicate and Five (5) Nos. of Copy.</v>
      </c>
      <c r="O42" s="39"/>
    </row>
    <row r="43" spans="3:15" ht="16.8" x14ac:dyDescent="0.3">
      <c r="C43" s="71">
        <v>37</v>
      </c>
      <c r="D43" s="72"/>
      <c r="E43" s="73" t="s">
        <v>99</v>
      </c>
      <c r="F43" s="75"/>
      <c r="G43" s="75"/>
      <c r="H43" s="115"/>
      <c r="I43" s="115" t="str">
        <f>IF(Table13[[#This Row],[UNIT]]=0,"",IF(Table13[[#This Row],[UNIT]]="L.S.",Table13[[#This Row],[Tenderer''s Response]],Table13[[#This Row],[Tenderer''s Response]]*Table13[[#This Row],[ QTY]]))</f>
        <v/>
      </c>
      <c r="J43" s="68"/>
      <c r="K43" s="68" t="s">
        <v>42</v>
      </c>
      <c r="L43" s="22" t="s">
        <v>43</v>
      </c>
      <c r="M43" s="22" t="s">
        <v>43</v>
      </c>
      <c r="N43" s="43" t="str">
        <f>Table13[[#This Row],[DESCRIPTION]]</f>
        <v>HEALTH AND SAFETY PRECAUTIONS</v>
      </c>
      <c r="O43" s="39"/>
    </row>
    <row r="44" spans="3:15" ht="50.4" x14ac:dyDescent="0.3">
      <c r="C44" s="71">
        <v>38</v>
      </c>
      <c r="D44" s="72"/>
      <c r="E44" s="74" t="s">
        <v>100</v>
      </c>
      <c r="F44" s="75"/>
      <c r="G44" s="75"/>
      <c r="H44" s="115"/>
      <c r="I44" s="115" t="str">
        <f>IF(Table13[[#This Row],[UNIT]]=0,"",IF(Table13[[#This Row],[UNIT]]="L.S.",Table13[[#This Row],[Tenderer''s Response]],Table13[[#This Row],[Tenderer''s Response]]*Table13[[#This Row],[ QTY]]))</f>
        <v/>
      </c>
      <c r="J44" s="68"/>
      <c r="K44" s="68" t="s">
        <v>42</v>
      </c>
      <c r="L44" s="22" t="s">
        <v>43</v>
      </c>
      <c r="M44" s="22" t="s">
        <v>43</v>
      </c>
      <c r="N44" s="43" t="str">
        <f>Table13[[#This Row],[DESCRIPTION]]</f>
        <v>Note: The Contractor shall refer to Appendix A for further details and explanations.</v>
      </c>
      <c r="O44" s="39"/>
    </row>
    <row r="45" spans="3:15" ht="16.8" x14ac:dyDescent="0.3">
      <c r="C45" s="71">
        <v>39</v>
      </c>
      <c r="D45" s="72" t="s">
        <v>94</v>
      </c>
      <c r="E45" s="74" t="s">
        <v>102</v>
      </c>
      <c r="F45" s="75" t="s">
        <v>19</v>
      </c>
      <c r="G45" s="75"/>
      <c r="H45" s="115"/>
      <c r="I45" s="115">
        <f>IF(Table13[[#This Row],[UNIT]]=0,"",IF(Table13[[#This Row],[UNIT]]="L.S.",Table13[[#This Row],[Tenderer''s Response]],Table13[[#This Row],[Tenderer''s Response]]*Table13[[#This Row],[ QTY]]))</f>
        <v>0</v>
      </c>
      <c r="J45" s="112"/>
      <c r="K45" s="68" t="s">
        <v>42</v>
      </c>
      <c r="L45" s="22" t="s">
        <v>43</v>
      </c>
      <c r="M45" s="22" t="s">
        <v>43</v>
      </c>
      <c r="N45" s="43" t="str">
        <f>Table13[[#This Row],[DESCRIPTION]]</f>
        <v>Generals</v>
      </c>
      <c r="O45" s="39"/>
    </row>
    <row r="46" spans="3:15" ht="16.8" x14ac:dyDescent="0.3">
      <c r="C46" s="71">
        <v>40</v>
      </c>
      <c r="D46" s="72" t="s">
        <v>96</v>
      </c>
      <c r="E46" s="74" t="s">
        <v>104</v>
      </c>
      <c r="F46" s="75" t="s">
        <v>19</v>
      </c>
      <c r="G46" s="75"/>
      <c r="H46" s="115"/>
      <c r="I46" s="115">
        <f>IF(Table13[[#This Row],[UNIT]]=0,"",IF(Table13[[#This Row],[UNIT]]="L.S.",Table13[[#This Row],[Tenderer''s Response]],Table13[[#This Row],[Tenderer''s Response]]*Table13[[#This Row],[ QTY]]))</f>
        <v>0</v>
      </c>
      <c r="J46" s="112"/>
      <c r="K46" s="68" t="s">
        <v>42</v>
      </c>
      <c r="L46" s="22" t="s">
        <v>43</v>
      </c>
      <c r="M46" s="22" t="s">
        <v>43</v>
      </c>
      <c r="N46" s="43" t="str">
        <f>Table13[[#This Row],[DESCRIPTION]]</f>
        <v>Niosh Safety Passport Courses</v>
      </c>
      <c r="O46" s="39"/>
    </row>
    <row r="47" spans="3:15" ht="16.8" x14ac:dyDescent="0.3">
      <c r="C47" s="71">
        <v>41</v>
      </c>
      <c r="D47" s="72" t="s">
        <v>97</v>
      </c>
      <c r="E47" s="74" t="s">
        <v>106</v>
      </c>
      <c r="F47" s="75" t="s">
        <v>19</v>
      </c>
      <c r="G47" s="75"/>
      <c r="H47" s="115"/>
      <c r="I47" s="115">
        <f>IF(Table13[[#This Row],[UNIT]]=0,"",IF(Table13[[#This Row],[UNIT]]="L.S.",Table13[[#This Row],[Tenderer''s Response]],Table13[[#This Row],[Tenderer''s Response]]*Table13[[#This Row],[ QTY]]))</f>
        <v>0</v>
      </c>
      <c r="J47" s="112"/>
      <c r="K47" s="68" t="s">
        <v>42</v>
      </c>
      <c r="L47" s="22" t="s">
        <v>43</v>
      </c>
      <c r="M47" s="22" t="s">
        <v>43</v>
      </c>
      <c r="N47" s="43" t="str">
        <f>Table13[[#This Row],[DESCRIPTION]]</f>
        <v>Working at Height</v>
      </c>
      <c r="O47" s="39"/>
    </row>
    <row r="48" spans="3:15" ht="16.8" x14ac:dyDescent="0.3">
      <c r="C48" s="71">
        <v>42</v>
      </c>
      <c r="D48" s="72" t="s">
        <v>101</v>
      </c>
      <c r="E48" s="74" t="s">
        <v>273</v>
      </c>
      <c r="F48" s="75" t="s">
        <v>19</v>
      </c>
      <c r="G48" s="75"/>
      <c r="H48" s="115"/>
      <c r="I48" s="115">
        <f>IF(Table13[[#This Row],[UNIT]]=0,"",IF(Table13[[#This Row],[UNIT]]="L.S.",Table13[[#This Row],[Tenderer''s Response]],Table13[[#This Row],[Tenderer''s Response]]*Table13[[#This Row],[ QTY]]))</f>
        <v>0</v>
      </c>
      <c r="J48" s="112"/>
      <c r="K48" s="68" t="s">
        <v>42</v>
      </c>
      <c r="L48" s="22" t="s">
        <v>43</v>
      </c>
      <c r="M48" s="22" t="s">
        <v>43</v>
      </c>
      <c r="N48" s="43" t="str">
        <f>Table13[[#This Row],[DESCRIPTION]]</f>
        <v>Excavation c/w shoring (If required)</v>
      </c>
      <c r="O48" s="39"/>
    </row>
    <row r="49" spans="3:15" ht="67.2" x14ac:dyDescent="0.3">
      <c r="C49" s="71">
        <v>43</v>
      </c>
      <c r="D49" s="72" t="s">
        <v>103</v>
      </c>
      <c r="E49" s="135" t="s">
        <v>275</v>
      </c>
      <c r="F49" s="75" t="s">
        <v>19</v>
      </c>
      <c r="G49" s="75"/>
      <c r="H49" s="115"/>
      <c r="I49" s="115">
        <f>IF(Table13[[#This Row],[UNIT]]=0,"",IF(Table13[[#This Row],[UNIT]]="L.S.",Table13[[#This Row],[Tenderer''s Response]],Table13[[#This Row],[Tenderer''s Response]]*Table13[[#This Row],[ QTY]]))</f>
        <v>0</v>
      </c>
      <c r="J49" s="112"/>
      <c r="K49" s="68" t="s">
        <v>42</v>
      </c>
      <c r="L49" s="22" t="s">
        <v>43</v>
      </c>
      <c r="M49" s="22" t="s">
        <v>43</v>
      </c>
      <c r="N49" s="43" t="str">
        <f>Table13[[#This Row],[DESCRIPTION]]</f>
        <v>Provide Personal Protective Equipment (PPE) for C.A.'s site office which include three (3) safety boots, and three (3) safety helmets.</v>
      </c>
      <c r="O49" s="39"/>
    </row>
    <row r="50" spans="3:15" ht="124.8" x14ac:dyDescent="0.3">
      <c r="C50" s="71">
        <v>44</v>
      </c>
      <c r="D50" s="72" t="s">
        <v>105</v>
      </c>
      <c r="E50" s="135" t="s">
        <v>277</v>
      </c>
      <c r="F50" s="75" t="s">
        <v>19</v>
      </c>
      <c r="G50" s="75"/>
      <c r="H50" s="115"/>
      <c r="I50" s="115">
        <f>IF(Table13[[#This Row],[UNIT]]=0,"",IF(Table13[[#This Row],[UNIT]]="L.S.",Table13[[#This Row],[Tenderer''s Response]],Table13[[#This Row],[Tenderer''s Response]]*Table13[[#This Row],[ QTY]]))</f>
        <v>0</v>
      </c>
      <c r="J50" s="112"/>
      <c r="K50" s="68" t="s">
        <v>42</v>
      </c>
      <c r="L50" s="22" t="s">
        <v>43</v>
      </c>
      <c r="M50" s="22" t="s">
        <v>43</v>
      </c>
      <c r="N50" s="43" t="str">
        <f>Table13[[#This Row],[DESCRIPTION]]</f>
        <v>The Contractor shall provide and maintain all necessary Personal Protective Equipment (PPE) inclusive safety helmets, rubber boots, safety shoes etc. for all site staffs and workers to be worn at all time throughout the construction period.</v>
      </c>
      <c r="O50" s="39"/>
    </row>
    <row r="51" spans="3:15" ht="100.8" x14ac:dyDescent="0.3">
      <c r="C51" s="71">
        <v>45</v>
      </c>
      <c r="D51" s="72" t="s">
        <v>107</v>
      </c>
      <c r="E51" s="135" t="s">
        <v>264</v>
      </c>
      <c r="F51" s="75" t="s">
        <v>19</v>
      </c>
      <c r="G51" s="75"/>
      <c r="H51" s="115"/>
      <c r="I51" s="115">
        <f>IF(Table13[[#This Row],[UNIT]]=0,"",IF(Table13[[#This Row],[UNIT]]="L.S.",Table13[[#This Row],[Tenderer''s Response]],Table13[[#This Row],[Tenderer''s Response]]*Table13[[#This Row],[ QTY]]))</f>
        <v>0</v>
      </c>
      <c r="J51" s="112"/>
      <c r="K51" s="68" t="s">
        <v>42</v>
      </c>
      <c r="L51" s="22" t="s">
        <v>43</v>
      </c>
      <c r="M51" s="22" t="s">
        <v>43</v>
      </c>
      <c r="N51" s="43" t="str">
        <f>Table13[[#This Row],[DESCRIPTION]]</f>
        <v>To provide full time, qualified and experienced Site Safety Supervisor as required by the Department of Safety and Health (DOSH) to the approval of the C.A. for each location required in this package.</v>
      </c>
      <c r="O51" s="39"/>
    </row>
    <row r="52" spans="3:15" ht="16.8" x14ac:dyDescent="0.3">
      <c r="C52" s="71">
        <v>46</v>
      </c>
      <c r="D52" s="72"/>
      <c r="E52" s="80" t="s">
        <v>108</v>
      </c>
      <c r="F52" s="75"/>
      <c r="G52" s="79"/>
      <c r="H52" s="115"/>
      <c r="I52" s="115" t="str">
        <f>IF(Table13[[#This Row],[UNIT]]=0,"",IF(Table13[[#This Row],[UNIT]]="L.S.",Table13[[#This Row],[Tenderer''s Response]],Table13[[#This Row],[Tenderer''s Response]]*Table13[[#This Row],[ QTY]]))</f>
        <v/>
      </c>
      <c r="J52" s="68"/>
      <c r="K52" s="68" t="s">
        <v>42</v>
      </c>
      <c r="L52" s="22" t="s">
        <v>43</v>
      </c>
      <c r="M52" s="22" t="s">
        <v>43</v>
      </c>
      <c r="N52" s="43" t="str">
        <f>Table13[[#This Row],[DESCRIPTION]]</f>
        <v>TESTING &amp; COMMISSIONING (T&amp;C)</v>
      </c>
      <c r="O52" s="39"/>
    </row>
    <row r="53" spans="3:15" ht="33.6" x14ac:dyDescent="0.3">
      <c r="C53" s="71">
        <v>47</v>
      </c>
      <c r="D53" s="72" t="s">
        <v>279</v>
      </c>
      <c r="E53" s="78" t="s">
        <v>185</v>
      </c>
      <c r="F53" s="75" t="s">
        <v>19</v>
      </c>
      <c r="G53" s="79"/>
      <c r="H53" s="115"/>
      <c r="I53" s="115">
        <f>IF(Table13[[#This Row],[UNIT]]=0,"",IF(Table13[[#This Row],[UNIT]]="L.S.",Table13[[#This Row],[Tenderer''s Response]],Table13[[#This Row],[Tenderer''s Response]]*Table13[[#This Row],[ QTY]]))</f>
        <v>0</v>
      </c>
      <c r="J53" s="112"/>
      <c r="K53" s="68" t="s">
        <v>42</v>
      </c>
      <c r="L53" s="22" t="s">
        <v>43</v>
      </c>
      <c r="M53" s="22" t="s">
        <v>43</v>
      </c>
      <c r="N53" s="43" t="str">
        <f>Table13[[#This Row],[DESCRIPTION]]</f>
        <v>Testing and Commissioning upon completion of the works.</v>
      </c>
      <c r="O53" s="39"/>
    </row>
    <row r="54" spans="3:15" ht="16.8" x14ac:dyDescent="0.3">
      <c r="C54" s="71">
        <v>48</v>
      </c>
      <c r="D54" s="72"/>
      <c r="E54" s="80" t="s">
        <v>109</v>
      </c>
      <c r="F54" s="75"/>
      <c r="G54" s="79"/>
      <c r="H54" s="115"/>
      <c r="I54" s="115" t="str">
        <f>IF(Table13[[#This Row],[UNIT]]=0,"",IF(Table13[[#This Row],[UNIT]]="L.S.",Table13[[#This Row],[Tenderer''s Response]],Table13[[#This Row],[Tenderer''s Response]]*Table13[[#This Row],[ QTY]]))</f>
        <v/>
      </c>
      <c r="J54" s="68"/>
      <c r="K54" s="68" t="s">
        <v>42</v>
      </c>
      <c r="L54" s="22" t="s">
        <v>43</v>
      </c>
      <c r="M54" s="22" t="s">
        <v>43</v>
      </c>
      <c r="N54" s="43" t="str">
        <f>Table13[[#This Row],[DESCRIPTION]]</f>
        <v>FACTORY ACCEPTANCE TEST (FAT)</v>
      </c>
      <c r="O54" s="39"/>
    </row>
    <row r="55" spans="3:15" ht="67.2" x14ac:dyDescent="0.3">
      <c r="C55" s="71">
        <v>49</v>
      </c>
      <c r="D55" s="72" t="s">
        <v>274</v>
      </c>
      <c r="E55" s="86" t="s">
        <v>110</v>
      </c>
      <c r="F55" s="75" t="s">
        <v>19</v>
      </c>
      <c r="G55" s="79"/>
      <c r="H55" s="115"/>
      <c r="I55" s="115">
        <f>IF(Table13[[#This Row],[UNIT]]=0,"",IF(Table13[[#This Row],[UNIT]]="L.S.",Table13[[#This Row],[Tenderer''s Response]],Table13[[#This Row],[Tenderer''s Response]]*Table13[[#This Row],[ QTY]]))</f>
        <v>0</v>
      </c>
      <c r="J55" s="112"/>
      <c r="K55" s="68" t="s">
        <v>42</v>
      </c>
      <c r="L55" s="22" t="s">
        <v>43</v>
      </c>
      <c r="M55" s="22" t="s">
        <v>43</v>
      </c>
      <c r="N55" s="43" t="str">
        <f>Table13[[#This Row],[DESCRIPTION]]</f>
        <v>Factory Acceptance Test at the manufacturer before deliver to site and witness by CA representative and consultant feeder pillar.</v>
      </c>
      <c r="O55" s="39"/>
    </row>
    <row r="56" spans="3:15" ht="67.2" x14ac:dyDescent="0.3">
      <c r="C56" s="71">
        <v>50</v>
      </c>
      <c r="D56" s="72" t="s">
        <v>276</v>
      </c>
      <c r="E56" s="86" t="s">
        <v>111</v>
      </c>
      <c r="F56" s="75" t="s">
        <v>19</v>
      </c>
      <c r="G56" s="79"/>
      <c r="H56" s="115"/>
      <c r="I56" s="115">
        <f>IF(Table13[[#This Row],[UNIT]]=0,"",IF(Table13[[#This Row],[UNIT]]="L.S.",Table13[[#This Row],[Tenderer''s Response]],Table13[[#This Row],[Tenderer''s Response]]*Table13[[#This Row],[ QTY]]))</f>
        <v>0</v>
      </c>
      <c r="J56" s="112"/>
      <c r="K56" s="68" t="s">
        <v>42</v>
      </c>
      <c r="L56" s="22" t="s">
        <v>43</v>
      </c>
      <c r="M56" s="22" t="s">
        <v>43</v>
      </c>
      <c r="N56" s="43" t="str">
        <f>Table13[[#This Row],[DESCRIPTION]]</f>
        <v>Factory Acceptance Test at the manufacturer before deliver to site and witness by CA representative and consultant for switchboard</v>
      </c>
      <c r="O56" s="39"/>
    </row>
    <row r="57" spans="3:15" ht="84" x14ac:dyDescent="0.3">
      <c r="C57" s="71">
        <v>51</v>
      </c>
      <c r="D57" s="72" t="s">
        <v>278</v>
      </c>
      <c r="E57" s="86" t="s">
        <v>281</v>
      </c>
      <c r="F57" s="75" t="s">
        <v>19</v>
      </c>
      <c r="G57" s="79"/>
      <c r="H57" s="115"/>
      <c r="I57" s="115">
        <f>IF(Table13[[#This Row],[UNIT]]=0,"",IF(Table13[[#This Row],[UNIT]]="L.S.",Table13[[#This Row],[Tenderer''s Response]],Table13[[#This Row],[Tenderer''s Response]]*Table13[[#This Row],[ QTY]]))</f>
        <v>0</v>
      </c>
      <c r="J57" s="112"/>
      <c r="K57" s="68" t="s">
        <v>42</v>
      </c>
      <c r="L57" s="22" t="s">
        <v>43</v>
      </c>
      <c r="M57" s="22" t="s">
        <v>43</v>
      </c>
      <c r="N57" s="43" t="str">
        <f>Table13[[#This Row],[DESCRIPTION]]</f>
        <v>Factory Acceptance Test at the manufacturer before deliver to site and witness by CA representative and consultant for lighting pole and etc.</v>
      </c>
      <c r="O57" s="39"/>
    </row>
    <row r="58" spans="3:15" ht="16.8" x14ac:dyDescent="0.3">
      <c r="C58" s="71">
        <v>52</v>
      </c>
      <c r="D58" s="72"/>
      <c r="E58" s="91" t="s">
        <v>112</v>
      </c>
      <c r="F58" s="75"/>
      <c r="G58" s="79"/>
      <c r="H58" s="115"/>
      <c r="I58" s="115" t="str">
        <f>IF(Table13[[#This Row],[UNIT]]=0,"",IF(Table13[[#This Row],[UNIT]]="L.S.",Table13[[#This Row],[Tenderer''s Response]],Table13[[#This Row],[Tenderer''s Response]]*Table13[[#This Row],[ QTY]]))</f>
        <v/>
      </c>
      <c r="J58" s="68"/>
      <c r="K58" s="68" t="s">
        <v>42</v>
      </c>
      <c r="L58" s="22" t="s">
        <v>43</v>
      </c>
      <c r="M58" s="22" t="s">
        <v>43</v>
      </c>
      <c r="N58" s="43" t="str">
        <f>Table13[[#This Row],[DESCRIPTION]]</f>
        <v>HALF YEARLY SERVICE DURING DLP</v>
      </c>
      <c r="O58" s="39"/>
    </row>
    <row r="59" spans="3:15" ht="84" x14ac:dyDescent="0.3">
      <c r="C59" s="71">
        <v>53</v>
      </c>
      <c r="D59" s="72" t="s">
        <v>280</v>
      </c>
      <c r="E59" s="78" t="s">
        <v>186</v>
      </c>
      <c r="F59" s="75" t="s">
        <v>19</v>
      </c>
      <c r="G59" s="79"/>
      <c r="H59" s="115"/>
      <c r="I59" s="115">
        <f>IF(Table13[[#This Row],[UNIT]]=0,"",IF(Table13[[#This Row],[UNIT]]="L.S.",Table13[[#This Row],[Tenderer''s Response]],Table13[[#This Row],[Tenderer''s Response]]*Table13[[#This Row],[ QTY]]))</f>
        <v>0</v>
      </c>
      <c r="J59" s="112"/>
      <c r="K59" s="68" t="s">
        <v>42</v>
      </c>
      <c r="L59" s="22" t="s">
        <v>43</v>
      </c>
      <c r="M59" s="22" t="s">
        <v>43</v>
      </c>
      <c r="N59" s="43" t="str">
        <f>Table13[[#This Row],[DESCRIPTION]]</f>
        <v>Provide and maintain the works during Defect Liability Period (24months) and inspection half yearly service inclusive replacement of defect parts.</v>
      </c>
      <c r="O59" s="39"/>
    </row>
    <row r="60" spans="3:15" ht="16.8" x14ac:dyDescent="0.3">
      <c r="C60" s="71">
        <v>54</v>
      </c>
      <c r="D60" s="72"/>
      <c r="E60" s="80" t="s">
        <v>252</v>
      </c>
      <c r="F60" s="75"/>
      <c r="G60" s="79"/>
      <c r="H60" s="115" t="str">
        <f>IF(Table13[[#This Row],[UNIT]]=0,"",IF(Table13[[#This Row],[UNIT]]="L.S.",Table13[[#This Row],[Tenderer''s Response]],Table13[[#This Row],[Tenderer''s Response]]*Table13[[#This Row],[ QTY]]))</f>
        <v/>
      </c>
      <c r="I60" s="115" t="str">
        <f>IF(Table13[[#This Row],[UNIT]]=0,"",IF(Table13[[#This Row],[UNIT]]="L.S.",Table13[[#This Row],[Tenderer''s Response]],Table13[[#This Row],[Tenderer''s Response]]*Table13[[#This Row],[ QTY]]))</f>
        <v/>
      </c>
      <c r="J60" s="21"/>
      <c r="K60" s="68" t="s">
        <v>143</v>
      </c>
      <c r="L60" s="22" t="s">
        <v>254</v>
      </c>
      <c r="M60" s="22" t="s">
        <v>254</v>
      </c>
      <c r="N60" s="43" t="str">
        <f>Table13[[#This Row],[DESCRIPTION]]</f>
        <v>B: ELECTRICAL WORKS</v>
      </c>
      <c r="O60" s="39"/>
    </row>
    <row r="61" spans="3:15" ht="327.60000000000002" x14ac:dyDescent="0.3">
      <c r="C61" s="71">
        <v>55</v>
      </c>
      <c r="D61" s="72"/>
      <c r="E61" s="102" t="s">
        <v>113</v>
      </c>
      <c r="F61" s="75"/>
      <c r="G61" s="79"/>
      <c r="H61" s="115" t="str">
        <f>IF(Table13[[#This Row],[UNIT]]=0,"",IF(Table13[[#This Row],[UNIT]]="L.S.",Table13[[#This Row],[Tenderer''s Response]],Table13[[#This Row],[Tenderer''s Response]]*Table13[[#This Row],[ QTY]]))</f>
        <v/>
      </c>
      <c r="I61" s="115" t="str">
        <f>IF(Table13[[#This Row],[UNIT]]=0,"",IF(Table13[[#This Row],[UNIT]]="L.S.",Table13[[#This Row],[Tenderer''s Response]],Table13[[#This Row],[Tenderer''s Response]]*Table13[[#This Row],[ QTY]]))</f>
        <v/>
      </c>
      <c r="J61" s="21"/>
      <c r="K61" s="68" t="s">
        <v>143</v>
      </c>
      <c r="L61" s="22" t="s">
        <v>254</v>
      </c>
      <c r="M61" s="22" t="s">
        <v>254</v>
      </c>
      <c r="N61" s="43" t="str">
        <f>Table13[[#This Row],[DESCRIPTION]]</f>
        <v>Notes:
a)   The rate for all items here in shall be inclusive of supply, delivery and installation of complete item, setting to work, testing &amp; commissioning where required. Also where replaced indicated it shall include dismantling of the existing.
b)   Please include submission of product catalogue and detail technical specification and other necessary item.
c)   The rate also shall include preparation and submission of shop drawings for C.A approval before commencement  of the works.
d)  All quantities given are PROVISIONAL. The actual quantities installed shall be measured on site after completion and prices adjusted accordingly.</v>
      </c>
      <c r="O61" s="39"/>
    </row>
    <row r="62" spans="3:15" ht="16.8" x14ac:dyDescent="0.3">
      <c r="C62" s="71">
        <v>56</v>
      </c>
      <c r="D62" s="92"/>
      <c r="E62" s="106" t="s">
        <v>114</v>
      </c>
      <c r="F62" s="93"/>
      <c r="G62" s="93"/>
      <c r="H62" s="115" t="str">
        <f>IF(Table13[[#This Row],[UNIT]]=0,"",IF(Table13[[#This Row],[UNIT]]="L.S.",Table13[[#This Row],[Tenderer''s Response]],Table13[[#This Row],[Tenderer''s Response]]*Table13[[#This Row],[ QTY]]))</f>
        <v/>
      </c>
      <c r="I62" s="115" t="str">
        <f>IF(Table13[[#This Row],[UNIT]]=0,"",IF(Table13[[#This Row],[UNIT]]="L.S.",Table13[[#This Row],[Tenderer''s Response]],Table13[[#This Row],[Tenderer''s Response]]*Table13[[#This Row],[ QTY]]))</f>
        <v/>
      </c>
      <c r="J62" s="21"/>
      <c r="K62" s="68" t="s">
        <v>143</v>
      </c>
      <c r="L62" s="22" t="s">
        <v>254</v>
      </c>
      <c r="M62" s="22" t="s">
        <v>254</v>
      </c>
      <c r="N62" s="43" t="str">
        <f>Table13[[#This Row],[DESCRIPTION]]</f>
        <v>DISMANTLING WORKS</v>
      </c>
      <c r="O62" s="39"/>
    </row>
    <row r="63" spans="3:15" ht="140.4" x14ac:dyDescent="0.3">
      <c r="C63" s="71">
        <v>57</v>
      </c>
      <c r="D63" s="92" t="s">
        <v>188</v>
      </c>
      <c r="E63" s="107" t="s">
        <v>189</v>
      </c>
      <c r="F63" s="94" t="s">
        <v>19</v>
      </c>
      <c r="G63" s="95"/>
      <c r="H63" s="115"/>
      <c r="I63" s="115">
        <f>IF(Table13[[#This Row],[UNIT]]=0,"",IF(Table13[[#This Row],[UNIT]]="L.S.",Table13[[#This Row],[Tenderer''s Response]],Table13[[#This Row],[Tenderer''s Response]]*Table13[[#This Row],[ QTY]]))</f>
        <v>0</v>
      </c>
      <c r="J63" s="112"/>
      <c r="K63" s="68" t="s">
        <v>143</v>
      </c>
      <c r="L63" s="22" t="s">
        <v>254</v>
      </c>
      <c r="M63" s="22" t="s">
        <v>254</v>
      </c>
      <c r="N63" s="43" t="str">
        <f>Table13[[#This Row],[DESCRIPTION]]</f>
        <v xml:space="preserve">Allow provision to disconnect and dismantle of existing poles, lanterns and cables at the Dam area and deliver to the approved CA storage. Rate shall include materials, equipment, labour and skills required for welding, hacking, cutting and making good of all existing structure upon completion. </v>
      </c>
      <c r="O63" s="39"/>
    </row>
    <row r="64" spans="3:15" ht="50.4" x14ac:dyDescent="0.3">
      <c r="C64" s="71">
        <v>58</v>
      </c>
      <c r="D64" s="92" t="s">
        <v>190</v>
      </c>
      <c r="E64" s="107" t="s">
        <v>191</v>
      </c>
      <c r="F64" s="94" t="s">
        <v>19</v>
      </c>
      <c r="G64" s="95"/>
      <c r="H64" s="115"/>
      <c r="I64" s="115">
        <f>IF(Table13[[#This Row],[UNIT]]=0,"",IF(Table13[[#This Row],[UNIT]]="L.S.",Table13[[#This Row],[Tenderer''s Response]],Table13[[#This Row],[Tenderer''s Response]]*Table13[[#This Row],[ QTY]]))</f>
        <v>0</v>
      </c>
      <c r="J64" s="112"/>
      <c r="K64" s="68" t="s">
        <v>143</v>
      </c>
      <c r="L64" s="22" t="s">
        <v>254</v>
      </c>
      <c r="M64" s="22" t="s">
        <v>254</v>
      </c>
      <c r="N64" s="43" t="str">
        <f>Table13[[#This Row],[DESCRIPTION]]</f>
        <v>Terminate/dismantle the existing DB/SL and deliver to the approved CA storage.</v>
      </c>
      <c r="O64" s="39"/>
    </row>
    <row r="65" spans="3:15" ht="33.6" x14ac:dyDescent="0.3">
      <c r="C65" s="71">
        <v>59</v>
      </c>
      <c r="D65" s="92"/>
      <c r="E65" s="108" t="s">
        <v>128</v>
      </c>
      <c r="F65" s="94"/>
      <c r="G65" s="95"/>
      <c r="H65" s="115" t="str">
        <f>IF(Table13[[#This Row],[UNIT]]=0,"",IF(Table13[[#This Row],[UNIT]]="L.S.",Table13[[#This Row],[Tenderer''s Response]],Table13[[#This Row],[Tenderer''s Response]]*Table13[[#This Row],[ QTY]]))</f>
        <v/>
      </c>
      <c r="I65" s="115" t="str">
        <f>IF(Table13[[#This Row],[UNIT]]=0,"",IF(Table13[[#This Row],[UNIT]]="L.S.",Table13[[#This Row],[Tenderer''s Response]],Table13[[#This Row],[Tenderer''s Response]]*Table13[[#This Row],[ QTY]]))</f>
        <v/>
      </c>
      <c r="J65" s="21"/>
      <c r="K65" s="68" t="s">
        <v>143</v>
      </c>
      <c r="L65" s="22" t="s">
        <v>254</v>
      </c>
      <c r="M65" s="22" t="s">
        <v>254</v>
      </c>
      <c r="N65" s="43" t="str">
        <f>Table13[[#This Row],[DESCRIPTION]]</f>
        <v>SUB-MAIN BOARD/ DISTRIBUTION BOARD</v>
      </c>
      <c r="O65" s="39"/>
    </row>
    <row r="66" spans="3:15" ht="67.2" x14ac:dyDescent="0.3">
      <c r="C66" s="71">
        <v>60</v>
      </c>
      <c r="D66" s="92"/>
      <c r="E66" s="107" t="s">
        <v>116</v>
      </c>
      <c r="F66" s="94"/>
      <c r="G66" s="95"/>
      <c r="H66" s="115" t="str">
        <f>IF(Table13[[#This Row],[UNIT]]=0,"",IF(Table13[[#This Row],[UNIT]]="L.S.",Table13[[#This Row],[Tenderer''s Response]],Table13[[#This Row],[Tenderer''s Response]]*Table13[[#This Row],[ QTY]]))</f>
        <v/>
      </c>
      <c r="I66" s="115" t="str">
        <f>IF(Table13[[#This Row],[UNIT]]=0,"",IF(Table13[[#This Row],[UNIT]]="L.S.",Table13[[#This Row],[Tenderer''s Response]],Table13[[#This Row],[Tenderer''s Response]]*Table13[[#This Row],[ QTY]]))</f>
        <v/>
      </c>
      <c r="J66" s="21"/>
      <c r="K66" s="68" t="s">
        <v>143</v>
      </c>
      <c r="L66" s="22" t="s">
        <v>254</v>
      </c>
      <c r="M66" s="22" t="s">
        <v>254</v>
      </c>
      <c r="N66" s="43" t="str">
        <f>Table13[[#This Row],[DESCRIPTION]]</f>
        <v>Fabricate, supply, deliver, install and testing &amp; commissioning of the following in accordance to the drawings and specification</v>
      </c>
      <c r="O66" s="39"/>
    </row>
    <row r="67" spans="3:15" ht="84" x14ac:dyDescent="0.3">
      <c r="C67" s="71">
        <v>61</v>
      </c>
      <c r="D67" s="92" t="s">
        <v>192</v>
      </c>
      <c r="E67" s="107" t="s">
        <v>193</v>
      </c>
      <c r="F67" s="94" t="s">
        <v>19</v>
      </c>
      <c r="G67" s="95"/>
      <c r="H67" s="115"/>
      <c r="I67" s="115">
        <f>IF(Table13[[#This Row],[UNIT]]=0,"",IF(Table13[[#This Row],[UNIT]]="L.S.",Table13[[#This Row],[Tenderer''s Response]],Table13[[#This Row],[Tenderer''s Response]]*Table13[[#This Row],[ QTY]]))</f>
        <v>0</v>
      </c>
      <c r="J67" s="112"/>
      <c r="K67" s="68" t="s">
        <v>143</v>
      </c>
      <c r="L67" s="22" t="s">
        <v>254</v>
      </c>
      <c r="M67" s="22" t="s">
        <v>254</v>
      </c>
      <c r="N67" s="43" t="str">
        <f>Table13[[#This Row],[DESCRIPTION]]</f>
        <v>Inspection of existing MSB c/w modification/upgrading inclusive of supply and install new 63A TPN MCCB for the new feeder pillar (FP/1) and (DB/SL)</v>
      </c>
      <c r="O67" s="39"/>
    </row>
    <row r="68" spans="3:15" ht="100.8" x14ac:dyDescent="0.3">
      <c r="C68" s="71">
        <v>62</v>
      </c>
      <c r="D68" s="92" t="s">
        <v>194</v>
      </c>
      <c r="E68" s="107" t="s">
        <v>195</v>
      </c>
      <c r="F68" s="94" t="s">
        <v>19</v>
      </c>
      <c r="G68" s="95"/>
      <c r="H68" s="115"/>
      <c r="I68" s="115">
        <f>IF(Table13[[#This Row],[UNIT]]=0,"",IF(Table13[[#This Row],[UNIT]]="L.S.",Table13[[#This Row],[Tenderer''s Response]],Table13[[#This Row],[Tenderer''s Response]]*Table13[[#This Row],[ QTY]]))</f>
        <v>0</v>
      </c>
      <c r="J68" s="112"/>
      <c r="K68" s="68" t="s">
        <v>143</v>
      </c>
      <c r="L68" s="22" t="s">
        <v>254</v>
      </c>
      <c r="M68" s="22" t="s">
        <v>254</v>
      </c>
      <c r="N68" s="43" t="str">
        <f>Table13[[#This Row],[DESCRIPTION]]</f>
        <v>63A TPN metalclad new distribution board  (DB/SL) c/w 63A TPN MCCB, 32A MCB, RCCB, SPD, timer (24hours spring reserve), cable termination and all other accessories</v>
      </c>
      <c r="O68" s="39"/>
    </row>
    <row r="69" spans="3:15" ht="16.8" x14ac:dyDescent="0.3">
      <c r="C69" s="71">
        <v>63</v>
      </c>
      <c r="D69" s="92"/>
      <c r="E69" s="108" t="s">
        <v>115</v>
      </c>
      <c r="F69" s="94"/>
      <c r="G69" s="95"/>
      <c r="H69" s="115" t="str">
        <f>IF(Table13[[#This Row],[UNIT]]=0,"",IF(Table13[[#This Row],[UNIT]]="L.S.",Table13[[#This Row],[Tenderer''s Response]],Table13[[#This Row],[Tenderer''s Response]]*Table13[[#This Row],[ QTY]]))</f>
        <v/>
      </c>
      <c r="I69" s="115" t="str">
        <f>IF(Table13[[#This Row],[UNIT]]=0,"",IF(Table13[[#This Row],[UNIT]]="L.S.",Table13[[#This Row],[Tenderer''s Response]],Table13[[#This Row],[Tenderer''s Response]]*Table13[[#This Row],[ QTY]]))</f>
        <v/>
      </c>
      <c r="J69" s="21"/>
      <c r="K69" s="68" t="s">
        <v>143</v>
      </c>
      <c r="L69" s="22" t="s">
        <v>254</v>
      </c>
      <c r="M69" s="22" t="s">
        <v>254</v>
      </c>
      <c r="N69" s="43" t="str">
        <f>Table13[[#This Row],[DESCRIPTION]]</f>
        <v>FEEDER PILLAR</v>
      </c>
      <c r="O69" s="39"/>
    </row>
    <row r="70" spans="3:15" ht="67.2" x14ac:dyDescent="0.3">
      <c r="C70" s="71">
        <v>64</v>
      </c>
      <c r="D70" s="92"/>
      <c r="E70" s="107" t="s">
        <v>116</v>
      </c>
      <c r="F70" s="94"/>
      <c r="G70" s="94"/>
      <c r="H70" s="115" t="str">
        <f>IF(Table13[[#This Row],[UNIT]]=0,"",IF(Table13[[#This Row],[UNIT]]="L.S.",Table13[[#This Row],[Tenderer''s Response]],Table13[[#This Row],[Tenderer''s Response]]*Table13[[#This Row],[ QTY]]))</f>
        <v/>
      </c>
      <c r="I70" s="115" t="str">
        <f>IF(Table13[[#This Row],[UNIT]]=0,"",IF(Table13[[#This Row],[UNIT]]="L.S.",Table13[[#This Row],[Tenderer''s Response]],Table13[[#This Row],[Tenderer''s Response]]*Table13[[#This Row],[ QTY]]))</f>
        <v/>
      </c>
      <c r="J70" s="21"/>
      <c r="K70" s="68" t="s">
        <v>143</v>
      </c>
      <c r="L70" s="22" t="s">
        <v>254</v>
      </c>
      <c r="M70" s="22" t="s">
        <v>254</v>
      </c>
      <c r="N70" s="43" t="str">
        <f>Table13[[#This Row],[DESCRIPTION]]</f>
        <v>Fabricate, supply, deliver, install and testing &amp; commissioning of the following in accordance to the drawings and specification</v>
      </c>
      <c r="O70" s="39"/>
    </row>
    <row r="71" spans="3:15" ht="156" x14ac:dyDescent="0.3">
      <c r="C71" s="71">
        <v>65</v>
      </c>
      <c r="D71" s="92" t="s">
        <v>196</v>
      </c>
      <c r="E71" s="107" t="s">
        <v>117</v>
      </c>
      <c r="F71" s="94" t="s">
        <v>7</v>
      </c>
      <c r="G71" s="96">
        <v>1</v>
      </c>
      <c r="H71" s="115">
        <f>IF(OR(Table13[[#This Row],[UNIT]]="L.S.",Table13[[#This Row],[UNIT]]=0),"",ROUND(Table13[[#This Row],[Tenderer''s Response]],2))</f>
        <v>0</v>
      </c>
      <c r="I71" s="115">
        <f>IF(Table13[[#This Row],[UNIT]]=0,"",IF(Table13[[#This Row],[UNIT]]="L.S.",Table13[[#This Row],[Tenderer''s Response]],Table13[[#This Row],[Tenderer''s Response]]*Table13[[#This Row],[ QTY]]))</f>
        <v>0</v>
      </c>
      <c r="J71" s="112"/>
      <c r="K71" s="68" t="s">
        <v>143</v>
      </c>
      <c r="L71" s="22" t="s">
        <v>254</v>
      </c>
      <c r="M71" s="22" t="s">
        <v>254</v>
      </c>
      <c r="N71" s="43" t="str">
        <f>Table13[[#This Row],[DESCRIPTION]]</f>
        <v>63A TPN metalclad epoxy Feeder Pillar (IP56) electro-galvanized sheet steel with minimum thickness of 2mm inclusive of MCCBs, RCCBs, SPD, Timer with 24 hours spring reserve, switch socket outlet, 1 x 18W corrosive resistant fluorescent fitting, copper busbar and others accessories  painted with paint as C.A. requirement.</v>
      </c>
      <c r="O71" s="39"/>
    </row>
    <row r="72" spans="3:15" ht="50.4" x14ac:dyDescent="0.3">
      <c r="C72" s="71">
        <v>66</v>
      </c>
      <c r="D72" s="92" t="s">
        <v>197</v>
      </c>
      <c r="E72" s="107" t="s">
        <v>198</v>
      </c>
      <c r="F72" s="94" t="s">
        <v>21</v>
      </c>
      <c r="G72" s="96">
        <v>1</v>
      </c>
      <c r="H72" s="115">
        <f>IF(OR(Table13[[#This Row],[UNIT]]="L.S.",Table13[[#This Row],[UNIT]]=0),"",ROUND(Table13[[#This Row],[Tenderer''s Response]],2))</f>
        <v>0</v>
      </c>
      <c r="I72" s="115">
        <f>IF(Table13[[#This Row],[UNIT]]=0,"",IF(Table13[[#This Row],[UNIT]]="L.S.",Table13[[#This Row],[Tenderer''s Response]],Table13[[#This Row],[Tenderer''s Response]]*Table13[[#This Row],[ QTY]]))</f>
        <v>0</v>
      </c>
      <c r="J72" s="112"/>
      <c r="K72" s="68" t="s">
        <v>143</v>
      </c>
      <c r="L72" s="22" t="s">
        <v>254</v>
      </c>
      <c r="M72" s="22" t="s">
        <v>254</v>
      </c>
      <c r="N72" s="43" t="str">
        <f>Table13[[#This Row],[DESCRIPTION]]</f>
        <v xml:space="preserve">Heat shrinkable termination for all cables "IN" and "OUT" as per drawing and specification. </v>
      </c>
      <c r="O72" s="39"/>
    </row>
    <row r="73" spans="3:15" ht="50.4" x14ac:dyDescent="0.3">
      <c r="C73" s="71">
        <v>67</v>
      </c>
      <c r="D73" s="92" t="s">
        <v>199</v>
      </c>
      <c r="E73" s="107" t="s">
        <v>200</v>
      </c>
      <c r="F73" s="94" t="s">
        <v>21</v>
      </c>
      <c r="G73" s="96">
        <v>1</v>
      </c>
      <c r="H73" s="115">
        <f>IF(OR(Table13[[#This Row],[UNIT]]="L.S.",Table13[[#This Row],[UNIT]]=0),"",ROUND(Table13[[#This Row],[Tenderer''s Response]],2))</f>
        <v>0</v>
      </c>
      <c r="I73" s="115">
        <f>IF(Table13[[#This Row],[UNIT]]=0,"",IF(Table13[[#This Row],[UNIT]]="L.S.",Table13[[#This Row],[Tenderer''s Response]],Table13[[#This Row],[Tenderer''s Response]]*Table13[[#This Row],[ QTY]]))</f>
        <v>0</v>
      </c>
      <c r="J73" s="112"/>
      <c r="K73" s="68" t="s">
        <v>143</v>
      </c>
      <c r="L73" s="22" t="s">
        <v>254</v>
      </c>
      <c r="M73" s="22" t="s">
        <v>254</v>
      </c>
      <c r="N73" s="43" t="str">
        <f>Table13[[#This Row],[DESCRIPTION]]</f>
        <v>Concrete plinth complete with sufficient opening for incoming/outgoing cabling</v>
      </c>
      <c r="O73" s="39"/>
    </row>
    <row r="74" spans="3:15" ht="187.2" x14ac:dyDescent="0.3">
      <c r="C74" s="71">
        <v>68</v>
      </c>
      <c r="D74" s="92" t="s">
        <v>201</v>
      </c>
      <c r="E74" s="107" t="s">
        <v>202</v>
      </c>
      <c r="F74" s="94" t="s">
        <v>21</v>
      </c>
      <c r="G74" s="96">
        <v>1</v>
      </c>
      <c r="H74" s="115">
        <f>IF(OR(Table13[[#This Row],[UNIT]]="L.S.",Table13[[#This Row],[UNIT]]=0),"",ROUND(Table13[[#This Row],[Tenderer''s Response]],2))</f>
        <v>0</v>
      </c>
      <c r="I74" s="115">
        <f>IF(Table13[[#This Row],[UNIT]]=0,"",IF(Table13[[#This Row],[UNIT]]="L.S.",Table13[[#This Row],[Tenderer''s Response]],Table13[[#This Row],[Tenderer''s Response]]*Table13[[#This Row],[ QTY]]))</f>
        <v>0</v>
      </c>
      <c r="J74" s="112"/>
      <c r="K74" s="68" t="s">
        <v>143</v>
      </c>
      <c r="L74" s="22" t="s">
        <v>254</v>
      </c>
      <c r="M74" s="22" t="s">
        <v>254</v>
      </c>
      <c r="N74" s="43" t="str">
        <f>Table13[[#This Row],[DESCRIPTION]]</f>
        <v>Supply and install of complete solid earthing system (≤ 5 ohm) using 25mm x 3mm copper tape, 5/8" x 12 feet copper earth electrode, heavy duty pre-cast earth chamber etc. as per drawing and specification for the feeder pillars (connection of the copper tape to the earth electrode shall be exothermic welded connection (Cadweld). The price shall be costed in until achieve less than ≤ 3 ohm.)</v>
      </c>
      <c r="O74" s="39"/>
    </row>
    <row r="75" spans="3:15" ht="16.8" x14ac:dyDescent="0.3">
      <c r="C75" s="71">
        <v>69</v>
      </c>
      <c r="D75" s="92"/>
      <c r="E75" s="108" t="s">
        <v>118</v>
      </c>
      <c r="F75" s="94"/>
      <c r="G75" s="96"/>
      <c r="H75" s="115" t="str">
        <f>IF(Table13[[#This Row],[UNIT]]=0,"",IF(Table13[[#This Row],[UNIT]]="L.S.",Table13[[#This Row],[Tenderer''s Response]],Table13[[#This Row],[Tenderer''s Response]]*Table13[[#This Row],[ QTY]]))</f>
        <v/>
      </c>
      <c r="I75" s="115" t="str">
        <f>IF(Table13[[#This Row],[UNIT]]=0,"",IF(Table13[[#This Row],[UNIT]]="L.S.",Table13[[#This Row],[Tenderer''s Response]],Table13[[#This Row],[Tenderer''s Response]]*Table13[[#This Row],[ QTY]]))</f>
        <v/>
      </c>
      <c r="J75" s="21"/>
      <c r="K75" s="68" t="s">
        <v>143</v>
      </c>
      <c r="L75" s="22" t="s">
        <v>254</v>
      </c>
      <c r="M75" s="22" t="s">
        <v>254</v>
      </c>
      <c r="N75" s="43" t="str">
        <f>Table13[[#This Row],[DESCRIPTION]]</f>
        <v>MAIN/SUB-MAIN CABLING WORKS</v>
      </c>
      <c r="O75" s="39"/>
    </row>
    <row r="76" spans="3:15" ht="156" x14ac:dyDescent="0.3">
      <c r="C76" s="71">
        <v>70</v>
      </c>
      <c r="D76" s="92"/>
      <c r="E76" s="107" t="s">
        <v>245</v>
      </c>
      <c r="F76" s="94"/>
      <c r="G76" s="94"/>
      <c r="H76" s="115" t="str">
        <f>IF(Table13[[#This Row],[UNIT]]=0,"",IF(Table13[[#This Row],[UNIT]]="L.S.",Table13[[#This Row],[Tenderer''s Response]],Table13[[#This Row],[Tenderer''s Response]]*Table13[[#This Row],[ QTY]]))</f>
        <v/>
      </c>
      <c r="I76" s="115" t="str">
        <f>IF(Table13[[#This Row],[UNIT]]=0,"",IF(Table13[[#This Row],[UNIT]]="L.S.",Table13[[#This Row],[Tenderer''s Response]],Table13[[#This Row],[Tenderer''s Response]]*Table13[[#This Row],[ QTY]]))</f>
        <v/>
      </c>
      <c r="J76" s="21"/>
      <c r="K76" s="68" t="s">
        <v>143</v>
      </c>
      <c r="L76" s="22" t="s">
        <v>254</v>
      </c>
      <c r="M76" s="22" t="s">
        <v>254</v>
      </c>
      <c r="N76" s="43" t="str">
        <f>Table13[[#This Row],[DESCRIPTION]]</f>
        <v>Contractor shall fabricate, supply, deliver, cable pulling, testing and commissioning including cable termination, support or excavation, trenching, sand bedding, cable protection cover (orange) &amp; backfilling, compaction, markers, draw wire, disposal of surplus material and making good of site surface.</v>
      </c>
      <c r="O76" s="39"/>
    </row>
    <row r="77" spans="3:15" ht="84" x14ac:dyDescent="0.3">
      <c r="C77" s="71">
        <v>71</v>
      </c>
      <c r="D77" s="92" t="s">
        <v>203</v>
      </c>
      <c r="E77" s="107" t="s">
        <v>204</v>
      </c>
      <c r="F77" s="94" t="s">
        <v>20</v>
      </c>
      <c r="G77" s="96">
        <v>600</v>
      </c>
      <c r="H77" s="115">
        <f>IF(OR(Table13[[#This Row],[UNIT]]="L.S.",Table13[[#This Row],[UNIT]]=0),"",ROUND(Table13[[#This Row],[Tenderer''s Response]],2))</f>
        <v>0</v>
      </c>
      <c r="I77" s="115">
        <f>IF(Table13[[#This Row],[UNIT]]=0,"",IF(Table13[[#This Row],[UNIT]]="L.S.",Table13[[#This Row],[Tenderer''s Response]],Table13[[#This Row],[Tenderer''s Response]]*Table13[[#This Row],[ QTY]]))</f>
        <v>0</v>
      </c>
      <c r="J77" s="112"/>
      <c r="K77" s="68" t="s">
        <v>143</v>
      </c>
      <c r="L77" s="22" t="s">
        <v>254</v>
      </c>
      <c r="M77" s="22" t="s">
        <v>254</v>
      </c>
      <c r="N77" s="43" t="str">
        <f>Table13[[#This Row],[DESCRIPTION]]</f>
        <v>4C x 35mm² XLPE/SWA/PVC Copper Cable direct buried underground c/w termination &amp; accessories from MSB to new F/P (Compound Lighting)</v>
      </c>
      <c r="O77" s="39"/>
    </row>
    <row r="78" spans="3:15" ht="67.2" x14ac:dyDescent="0.3">
      <c r="C78" s="71">
        <v>72</v>
      </c>
      <c r="D78" s="92" t="s">
        <v>205</v>
      </c>
      <c r="E78" s="107" t="s">
        <v>206</v>
      </c>
      <c r="F78" s="94" t="s">
        <v>20</v>
      </c>
      <c r="G78" s="96">
        <v>20</v>
      </c>
      <c r="H78" s="115">
        <f>IF(OR(Table13[[#This Row],[UNIT]]="L.S.",Table13[[#This Row],[UNIT]]=0),"",ROUND(Table13[[#This Row],[Tenderer''s Response]],2))</f>
        <v>0</v>
      </c>
      <c r="I78" s="115">
        <f>IF(Table13[[#This Row],[UNIT]]=0,"",IF(Table13[[#This Row],[UNIT]]="L.S.",Table13[[#This Row],[Tenderer''s Response]],Table13[[#This Row],[Tenderer''s Response]]*Table13[[#This Row],[ QTY]]))</f>
        <v>0</v>
      </c>
      <c r="J78" s="112"/>
      <c r="K78" s="68" t="s">
        <v>143</v>
      </c>
      <c r="L78" s="22" t="s">
        <v>254</v>
      </c>
      <c r="M78" s="22" t="s">
        <v>254</v>
      </c>
      <c r="N78" s="43" t="str">
        <f>Table13[[#This Row],[DESCRIPTION]]</f>
        <v xml:space="preserve"> 4C x 25mm² XLPE/PVC Copper Cable laying on tray/trunking from existing MSB to DB/SL c/w termination and cable accessories</v>
      </c>
      <c r="O78" s="39"/>
    </row>
    <row r="79" spans="3:15" ht="33.6" x14ac:dyDescent="0.3">
      <c r="C79" s="71">
        <v>73</v>
      </c>
      <c r="D79" s="92" t="s">
        <v>207</v>
      </c>
      <c r="E79" s="107" t="s">
        <v>208</v>
      </c>
      <c r="F79" s="94" t="s">
        <v>20</v>
      </c>
      <c r="G79" s="96">
        <v>10</v>
      </c>
      <c r="H79" s="115">
        <f>IF(OR(Table13[[#This Row],[UNIT]]="L.S.",Table13[[#This Row],[UNIT]]=0),"",ROUND(Table13[[#This Row],[Tenderer''s Response]],2))</f>
        <v>0</v>
      </c>
      <c r="I79" s="115">
        <f>IF(Table13[[#This Row],[UNIT]]=0,"",IF(Table13[[#This Row],[UNIT]]="L.S.",Table13[[#This Row],[Tenderer''s Response]],Table13[[#This Row],[Tenderer''s Response]]*Table13[[#This Row],[ QTY]]))</f>
        <v>0</v>
      </c>
      <c r="J79" s="112"/>
      <c r="K79" s="68" t="s">
        <v>143</v>
      </c>
      <c r="L79" s="22" t="s">
        <v>254</v>
      </c>
      <c r="M79" s="22" t="s">
        <v>254</v>
      </c>
      <c r="N79" s="43" t="str">
        <f>Table13[[#This Row],[DESCRIPTION]]</f>
        <v>100mm (W) cable tray c/w bracket support &amp; accessories (to DB/SL)</v>
      </c>
      <c r="O79" s="39"/>
    </row>
    <row r="80" spans="3:15" ht="84" x14ac:dyDescent="0.3">
      <c r="C80" s="71">
        <v>74</v>
      </c>
      <c r="D80" s="92" t="s">
        <v>209</v>
      </c>
      <c r="E80" s="107" t="s">
        <v>210</v>
      </c>
      <c r="F80" s="94" t="s">
        <v>20</v>
      </c>
      <c r="G80" s="96">
        <v>105</v>
      </c>
      <c r="H80" s="115">
        <f>IF(OR(Table13[[#This Row],[UNIT]]="L.S.",Table13[[#This Row],[UNIT]]=0),"",ROUND(Table13[[#This Row],[Tenderer''s Response]],2))</f>
        <v>0</v>
      </c>
      <c r="I80" s="115">
        <f>IF(Table13[[#This Row],[UNIT]]=0,"",IF(Table13[[#This Row],[UNIT]]="L.S.",Table13[[#This Row],[Tenderer''s Response]],Table13[[#This Row],[Tenderer''s Response]]*Table13[[#This Row],[ QTY]]))</f>
        <v>0</v>
      </c>
      <c r="J80" s="112"/>
      <c r="K80" s="68" t="s">
        <v>143</v>
      </c>
      <c r="L80" s="22" t="s">
        <v>254</v>
      </c>
      <c r="M80" s="22" t="s">
        <v>254</v>
      </c>
      <c r="N80" s="43" t="str">
        <f>Table13[[#This Row],[DESCRIPTION]]</f>
        <v>4C x 25mm² XLPE/SWA/PVC Copper Cable direct buried underground from new F/P to lighting poles c/w termination and cable accessories at services box</v>
      </c>
      <c r="O80" s="39"/>
    </row>
    <row r="81" spans="3:15" ht="84" x14ac:dyDescent="0.3">
      <c r="C81" s="71">
        <v>75</v>
      </c>
      <c r="D81" s="92" t="s">
        <v>211</v>
      </c>
      <c r="E81" s="107" t="s">
        <v>212</v>
      </c>
      <c r="F81" s="94" t="s">
        <v>20</v>
      </c>
      <c r="G81" s="96">
        <v>1150</v>
      </c>
      <c r="H81" s="115">
        <f>IF(OR(Table13[[#This Row],[UNIT]]="L.S.",Table13[[#This Row],[UNIT]]=0),"",ROUND(Table13[[#This Row],[Tenderer''s Response]],2))</f>
        <v>0</v>
      </c>
      <c r="I81" s="115">
        <f>IF(Table13[[#This Row],[UNIT]]=0,"",IF(Table13[[#This Row],[UNIT]]="L.S.",Table13[[#This Row],[Tenderer''s Response]],Table13[[#This Row],[Tenderer''s Response]]*Table13[[#This Row],[ QTY]]))</f>
        <v>0</v>
      </c>
      <c r="J81" s="112"/>
      <c r="K81" s="68" t="s">
        <v>143</v>
      </c>
      <c r="L81" s="22" t="s">
        <v>254</v>
      </c>
      <c r="M81" s="22" t="s">
        <v>254</v>
      </c>
      <c r="N81" s="43" t="str">
        <f>Table13[[#This Row],[DESCRIPTION]]</f>
        <v>4C x 16mm² PVC/SWA/PVC Copper Cable direct buried underground from new F/P to lighting poles c/w termination and cable accessories at services box</v>
      </c>
      <c r="O81" s="39"/>
    </row>
    <row r="82" spans="3:15" ht="67.2" x14ac:dyDescent="0.3">
      <c r="C82" s="71">
        <v>76</v>
      </c>
      <c r="D82" s="92" t="s">
        <v>213</v>
      </c>
      <c r="E82" s="107" t="s">
        <v>214</v>
      </c>
      <c r="F82" s="94" t="s">
        <v>20</v>
      </c>
      <c r="G82" s="96">
        <v>1600</v>
      </c>
      <c r="H82" s="115">
        <f>IF(OR(Table13[[#This Row],[UNIT]]="L.S.",Table13[[#This Row],[UNIT]]=0),"",ROUND(Table13[[#This Row],[Tenderer''s Response]],2))</f>
        <v>0</v>
      </c>
      <c r="I82" s="115">
        <f>IF(Table13[[#This Row],[UNIT]]=0,"",IF(Table13[[#This Row],[UNIT]]="L.S.",Table13[[#This Row],[Tenderer''s Response]],Table13[[#This Row],[Tenderer''s Response]]*Table13[[#This Row],[ QTY]]))</f>
        <v>0</v>
      </c>
      <c r="J82" s="112"/>
      <c r="K82" s="68" t="s">
        <v>143</v>
      </c>
      <c r="L82" s="22" t="s">
        <v>254</v>
      </c>
      <c r="M82" s="22" t="s">
        <v>254</v>
      </c>
      <c r="N82" s="43" t="str">
        <f>Table13[[#This Row],[DESCRIPTION]]</f>
        <v xml:space="preserve">4C x 10mm² PVC/SWA/PVC Copper Cable on tray from new F/P &amp; DB/SL to lighting poles c/w termination at and cable accessories services box </v>
      </c>
      <c r="O82" s="39"/>
    </row>
    <row r="83" spans="3:15" ht="84" x14ac:dyDescent="0.3">
      <c r="C83" s="71">
        <v>77</v>
      </c>
      <c r="D83" s="92" t="s">
        <v>215</v>
      </c>
      <c r="E83" s="107" t="s">
        <v>216</v>
      </c>
      <c r="F83" s="94" t="s">
        <v>20</v>
      </c>
      <c r="G83" s="96">
        <v>660</v>
      </c>
      <c r="H83" s="115">
        <f>IF(OR(Table13[[#This Row],[UNIT]]="L.S.",Table13[[#This Row],[UNIT]]=0),"",ROUND(Table13[[#This Row],[Tenderer''s Response]],2))</f>
        <v>0</v>
      </c>
      <c r="I83" s="115">
        <f>IF(Table13[[#This Row],[UNIT]]=0,"",IF(Table13[[#This Row],[UNIT]]="L.S.",Table13[[#This Row],[Tenderer''s Response]],Table13[[#This Row],[Tenderer''s Response]]*Table13[[#This Row],[ QTY]]))</f>
        <v>0</v>
      </c>
      <c r="J83" s="112"/>
      <c r="K83" s="68" t="s">
        <v>143</v>
      </c>
      <c r="L83" s="22" t="s">
        <v>254</v>
      </c>
      <c r="M83" s="22" t="s">
        <v>254</v>
      </c>
      <c r="N83" s="43" t="str">
        <f>Table13[[#This Row],[DESCRIPTION]]</f>
        <v>4C x 10mm² PVC/SWA/PVC Copper Cable on tray from new DB/SL to lighting poles c/w termination and cable accessories at services box (Bridge Draw Off)</v>
      </c>
      <c r="O83" s="39"/>
    </row>
    <row r="84" spans="3:15" ht="50.4" x14ac:dyDescent="0.3">
      <c r="C84" s="71">
        <v>78</v>
      </c>
      <c r="D84" s="92" t="s">
        <v>217</v>
      </c>
      <c r="E84" s="107" t="s">
        <v>218</v>
      </c>
      <c r="F84" s="94" t="s">
        <v>20</v>
      </c>
      <c r="G84" s="96">
        <v>420</v>
      </c>
      <c r="H84" s="115">
        <f>IF(OR(Table13[[#This Row],[UNIT]]="L.S.",Table13[[#This Row],[UNIT]]=0),"",ROUND(Table13[[#This Row],[Tenderer''s Response]],2))</f>
        <v>0</v>
      </c>
      <c r="I84" s="115">
        <f>IF(Table13[[#This Row],[UNIT]]=0,"",IF(Table13[[#This Row],[UNIT]]="L.S.",Table13[[#This Row],[Tenderer''s Response]],Table13[[#This Row],[Tenderer''s Response]]*Table13[[#This Row],[ QTY]]))</f>
        <v>0</v>
      </c>
      <c r="J84" s="112"/>
      <c r="K84" s="68" t="s">
        <v>143</v>
      </c>
      <c r="L84" s="22" t="s">
        <v>254</v>
      </c>
      <c r="M84" s="22" t="s">
        <v>254</v>
      </c>
      <c r="N84" s="43" t="str">
        <f>Table13[[#This Row],[DESCRIPTION]]</f>
        <v>100mm (W) cable tray c/w bracket support &amp; accessories (at Bridge Draw Off)</v>
      </c>
      <c r="O84" s="39"/>
    </row>
    <row r="85" spans="3:15" ht="67.2" x14ac:dyDescent="0.3">
      <c r="C85" s="71">
        <v>79</v>
      </c>
      <c r="D85" s="92" t="s">
        <v>219</v>
      </c>
      <c r="E85" s="107" t="s">
        <v>220</v>
      </c>
      <c r="F85" s="94" t="s">
        <v>20</v>
      </c>
      <c r="G85" s="96">
        <v>180</v>
      </c>
      <c r="H85" s="115">
        <f>IF(OR(Table13[[#This Row],[UNIT]]="L.S.",Table13[[#This Row],[UNIT]]=0),"",ROUND(Table13[[#This Row],[Tenderer''s Response]],2))</f>
        <v>0</v>
      </c>
      <c r="I85" s="115">
        <f>IF(Table13[[#This Row],[UNIT]]=0,"",IF(Table13[[#This Row],[UNIT]]="L.S.",Table13[[#This Row],[Tenderer''s Response]],Table13[[#This Row],[Tenderer''s Response]]*Table13[[#This Row],[ QTY]]))</f>
        <v>0</v>
      </c>
      <c r="J85" s="112"/>
      <c r="K85" s="68" t="s">
        <v>143</v>
      </c>
      <c r="L85" s="22" t="s">
        <v>254</v>
      </c>
      <c r="M85" s="22" t="s">
        <v>254</v>
      </c>
      <c r="N85" s="43" t="str">
        <f>Table13[[#This Row],[DESCRIPTION]]</f>
        <v>100mm dia. GI pipe Class B for road crossing inclusive excavation, backfill, compaction and make good the surface as per existing</v>
      </c>
      <c r="O85" s="39"/>
    </row>
    <row r="86" spans="3:15" ht="16.8" x14ac:dyDescent="0.3">
      <c r="C86" s="71">
        <v>80</v>
      </c>
      <c r="D86" s="92"/>
      <c r="E86" s="108" t="s">
        <v>119</v>
      </c>
      <c r="F86" s="93"/>
      <c r="G86" s="93"/>
      <c r="H86" s="115" t="str">
        <f>IF(Table13[[#This Row],[UNIT]]=0,"",IF(Table13[[#This Row],[UNIT]]="L.S.",Table13[[#This Row],[Tenderer''s Response]],Table13[[#This Row],[Tenderer''s Response]]*Table13[[#This Row],[ QTY]]))</f>
        <v/>
      </c>
      <c r="I86" s="115" t="str">
        <f>IF(Table13[[#This Row],[UNIT]]=0,"",IF(Table13[[#This Row],[UNIT]]="L.S.",Table13[[#This Row],[Tenderer''s Response]],Table13[[#This Row],[Tenderer''s Response]]*Table13[[#This Row],[ QTY]]))</f>
        <v/>
      </c>
      <c r="J86" s="21"/>
      <c r="K86" s="68" t="s">
        <v>143</v>
      </c>
      <c r="L86" s="22" t="s">
        <v>254</v>
      </c>
      <c r="M86" s="22" t="s">
        <v>254</v>
      </c>
      <c r="N86" s="43" t="str">
        <f>Table13[[#This Row],[DESCRIPTION]]</f>
        <v>LIGHTING POLE</v>
      </c>
      <c r="O86" s="39"/>
    </row>
    <row r="87" spans="3:15" ht="67.2" x14ac:dyDescent="0.3">
      <c r="C87" s="71">
        <v>81</v>
      </c>
      <c r="D87" s="97"/>
      <c r="E87" s="107" t="s">
        <v>221</v>
      </c>
      <c r="F87" s="94"/>
      <c r="G87" s="96"/>
      <c r="H87" s="115" t="str">
        <f>IF(Table13[[#This Row],[UNIT]]=0,"",IF(Table13[[#This Row],[UNIT]]="L.S.",Table13[[#This Row],[Tenderer''s Response]],Table13[[#This Row],[Tenderer''s Response]]*Table13[[#This Row],[ QTY]]))</f>
        <v/>
      </c>
      <c r="I87" s="115" t="str">
        <f>IF(Table13[[#This Row],[UNIT]]=0,"",IF(Table13[[#This Row],[UNIT]]="L.S.",Table13[[#This Row],[Tenderer''s Response]],Table13[[#This Row],[Tenderer''s Response]]*Table13[[#This Row],[ QTY]]))</f>
        <v/>
      </c>
      <c r="J87" s="21"/>
      <c r="K87" s="68" t="s">
        <v>143</v>
      </c>
      <c r="L87" s="22" t="s">
        <v>254</v>
      </c>
      <c r="M87" s="22" t="s">
        <v>254</v>
      </c>
      <c r="N87" s="43" t="str">
        <f>Table13[[#This Row],[DESCRIPTION]]</f>
        <v>Fabricate, Supply, Deliver and Install the following as per  client requirement, specification and drawings</v>
      </c>
      <c r="O87" s="39"/>
    </row>
    <row r="88" spans="3:15" ht="204.6" x14ac:dyDescent="0.3">
      <c r="C88" s="71">
        <v>82</v>
      </c>
      <c r="D88" s="92" t="s">
        <v>222</v>
      </c>
      <c r="E88" s="98" t="s">
        <v>246</v>
      </c>
      <c r="F88" s="94" t="s">
        <v>7</v>
      </c>
      <c r="G88" s="96">
        <v>3</v>
      </c>
      <c r="H88" s="115">
        <f>IF(OR(Table13[[#This Row],[UNIT]]="L.S.",Table13[[#This Row],[UNIT]]=0),"",ROUND(Table13[[#This Row],[Tenderer''s Response]],2))</f>
        <v>0</v>
      </c>
      <c r="I88" s="115">
        <f>IF(Table13[[#This Row],[UNIT]]=0,"",IF(Table13[[#This Row],[UNIT]]="L.S.",Table13[[#This Row],[Tenderer''s Response]],Table13[[#This Row],[Tenderer''s Response]]*Table13[[#This Row],[ QTY]]))</f>
        <v>0</v>
      </c>
      <c r="J88" s="112"/>
      <c r="K88" s="68" t="s">
        <v>143</v>
      </c>
      <c r="L88" s="22" t="s">
        <v>254</v>
      </c>
      <c r="M88" s="22" t="s">
        <v>254</v>
      </c>
      <c r="N88" s="43" t="str">
        <f>Table13[[#This Row],[DESCRIPTION]]</f>
        <v xml:space="preserve">10m height mid hinged column (fordable) hot-dipped galvanised lighting pole (flanged mounted type) c/w bracket for floodlights, mounting board, flush top hinged service door , door stiffener, junction box IP54 c/w terminal block loop-in and loop-out box connection cables, heat shrinkable termination and holder, fuses and internal wiring using 2.5mm2 PVC/PVC and pole numbering sticker.    </v>
      </c>
      <c r="O88" s="39"/>
    </row>
    <row r="89" spans="3:15" ht="204.6" x14ac:dyDescent="0.3">
      <c r="C89" s="71">
        <v>83</v>
      </c>
      <c r="D89" s="92" t="s">
        <v>223</v>
      </c>
      <c r="E89" s="98" t="s">
        <v>247</v>
      </c>
      <c r="F89" s="94" t="s">
        <v>7</v>
      </c>
      <c r="G89" s="96">
        <v>14</v>
      </c>
      <c r="H89" s="115">
        <f>IF(OR(Table13[[#This Row],[UNIT]]="L.S.",Table13[[#This Row],[UNIT]]=0),"",ROUND(Table13[[#This Row],[Tenderer''s Response]],2))</f>
        <v>0</v>
      </c>
      <c r="I89" s="115">
        <f>IF(Table13[[#This Row],[UNIT]]=0,"",IF(Table13[[#This Row],[UNIT]]="L.S.",Table13[[#This Row],[Tenderer''s Response]],Table13[[#This Row],[Tenderer''s Response]]*Table13[[#This Row],[ QTY]]))</f>
        <v>0</v>
      </c>
      <c r="J89" s="112"/>
      <c r="K89" s="68" t="s">
        <v>143</v>
      </c>
      <c r="L89" s="22" t="s">
        <v>254</v>
      </c>
      <c r="M89" s="22" t="s">
        <v>254</v>
      </c>
      <c r="N89" s="43" t="str">
        <f>Table13[[#This Row],[DESCRIPTION]]</f>
        <v>8m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(At Main Road)</v>
      </c>
      <c r="O89" s="39"/>
    </row>
    <row r="90" spans="3:15" ht="204.6" x14ac:dyDescent="0.3">
      <c r="C90" s="71">
        <v>84</v>
      </c>
      <c r="D90" s="92" t="s">
        <v>224</v>
      </c>
      <c r="E90" s="98" t="s">
        <v>248</v>
      </c>
      <c r="F90" s="94" t="s">
        <v>7</v>
      </c>
      <c r="G90" s="96">
        <v>29</v>
      </c>
      <c r="H90" s="115">
        <f>IF(OR(Table13[[#This Row],[UNIT]]="L.S.",Table13[[#This Row],[UNIT]]=0),"",ROUND(Table13[[#This Row],[Tenderer''s Response]],2))</f>
        <v>0</v>
      </c>
      <c r="I90" s="115">
        <f>IF(Table13[[#This Row],[UNIT]]=0,"",IF(Table13[[#This Row],[UNIT]]="L.S.",Table13[[#This Row],[Tenderer''s Response]],Table13[[#This Row],[Tenderer''s Response]]*Table13[[#This Row],[ QTY]]))</f>
        <v>0</v>
      </c>
      <c r="J90" s="112"/>
      <c r="K90" s="68" t="s">
        <v>143</v>
      </c>
      <c r="L90" s="22" t="s">
        <v>254</v>
      </c>
      <c r="M90" s="22" t="s">
        <v>254</v>
      </c>
      <c r="N90" s="43" t="str">
        <f>Table13[[#This Row],[DESCRIPTION]]</f>
        <v>6m height mid hinged column (fordable) hot-dipped galvanised lighting pole (flanged mounted type) c/w short arm (spigot arm) for luminaire, mounting board, flush top hinged service door , door stiffener, junction box IP54 c/w terminal block loop-in and loop-out box connection cables, heat shrinkable termination and holder, fuses and internal wiring using 2.5mm2 PVC/PVC and pole numbering sticker. (At Dam Road)</v>
      </c>
      <c r="O90" s="39"/>
    </row>
    <row r="91" spans="3:15" ht="204.6" x14ac:dyDescent="0.3">
      <c r="C91" s="71">
        <v>85</v>
      </c>
      <c r="D91" s="92" t="s">
        <v>225</v>
      </c>
      <c r="E91" s="98" t="s">
        <v>249</v>
      </c>
      <c r="F91" s="94" t="s">
        <v>7</v>
      </c>
      <c r="G91" s="96">
        <v>11</v>
      </c>
      <c r="H91" s="115">
        <f>IF(OR(Table13[[#This Row],[UNIT]]="L.S.",Table13[[#This Row],[UNIT]]=0),"",ROUND(Table13[[#This Row],[Tenderer''s Response]],2))</f>
        <v>0</v>
      </c>
      <c r="I91" s="115">
        <f>IF(Table13[[#This Row],[UNIT]]=0,"",IF(Table13[[#This Row],[UNIT]]="L.S.",Table13[[#This Row],[Tenderer''s Response]],Table13[[#This Row],[Tenderer''s Response]]*Table13[[#This Row],[ QTY]]))</f>
        <v>0</v>
      </c>
      <c r="J91" s="112"/>
      <c r="K91" s="68" t="s">
        <v>143</v>
      </c>
      <c r="L91" s="22" t="s">
        <v>254</v>
      </c>
      <c r="M91" s="22" t="s">
        <v>254</v>
      </c>
      <c r="N91" s="43" t="str">
        <f>Table13[[#This Row],[DESCRIPTION]]</f>
        <v xml:space="preserve">3m height hot-dipped galvanised lighting pole (flanged mounted type) c/w short arm bracket for luminaire, mounting board, flush top hinged service door , door stiffener, junction box IP54 c/w terminal block loop-in and loop-out box connection cables, heat shrinkable termination and holder, fuses and internal wiring using 2.5mm2 PVC/PVC and pole numbering sticker. (To Gauge House)    </v>
      </c>
      <c r="O91" s="39"/>
    </row>
    <row r="92" spans="3:15" ht="189" x14ac:dyDescent="0.3">
      <c r="C92" s="71">
        <v>86</v>
      </c>
      <c r="D92" s="92" t="s">
        <v>226</v>
      </c>
      <c r="E92" s="98" t="s">
        <v>250</v>
      </c>
      <c r="F92" s="94" t="s">
        <v>7</v>
      </c>
      <c r="G92" s="96">
        <v>14</v>
      </c>
      <c r="H92" s="115">
        <f>IF(OR(Table13[[#This Row],[UNIT]]="L.S.",Table13[[#This Row],[UNIT]]=0),"",ROUND(Table13[[#This Row],[Tenderer''s Response]],2))</f>
        <v>0</v>
      </c>
      <c r="I92" s="115">
        <f>IF(Table13[[#This Row],[UNIT]]=0,"",IF(Table13[[#This Row],[UNIT]]="L.S.",Table13[[#This Row],[Tenderer''s Response]],Table13[[#This Row],[Tenderer''s Response]]*Table13[[#This Row],[ QTY]]))</f>
        <v>0</v>
      </c>
      <c r="J92" s="112"/>
      <c r="K92" s="68" t="s">
        <v>143</v>
      </c>
      <c r="L92" s="22" t="s">
        <v>254</v>
      </c>
      <c r="M92" s="22" t="s">
        <v>254</v>
      </c>
      <c r="N92" s="43" t="str">
        <f>Table13[[#This Row],[DESCRIPTION]]</f>
        <v xml:space="preserve">2m height hot-dipped galvanised lighting pole (flanged mounted type) c/w short arm bracket for luminaire, mounting board, flush top hinged service door , door stiffener, junction box IP54 c/w terminal block loop-in and loop-out box connection cables, heat shrinkable termination and holder, fuses and internal wiring using 2.5mm2 PVC/PVC and pole numbering sticker. (Draw-Off bridge)    </v>
      </c>
      <c r="O92" s="39"/>
    </row>
    <row r="93" spans="3:15" ht="50.4" x14ac:dyDescent="0.3">
      <c r="C93" s="71">
        <v>87</v>
      </c>
      <c r="D93" s="92" t="s">
        <v>227</v>
      </c>
      <c r="E93" s="107" t="s">
        <v>129</v>
      </c>
      <c r="F93" s="94" t="s">
        <v>7</v>
      </c>
      <c r="G93" s="96">
        <v>57</v>
      </c>
      <c r="H93" s="115">
        <f>IF(OR(Table13[[#This Row],[UNIT]]="L.S.",Table13[[#This Row],[UNIT]]=0),"",ROUND(Table13[[#This Row],[Tenderer''s Response]],2))</f>
        <v>0</v>
      </c>
      <c r="I93" s="115">
        <f>IF(Table13[[#This Row],[UNIT]]=0,"",IF(Table13[[#This Row],[UNIT]]="L.S.",Table13[[#This Row],[Tenderer''s Response]],Table13[[#This Row],[Tenderer''s Response]]*Table13[[#This Row],[ QTY]]))</f>
        <v>0</v>
      </c>
      <c r="J93" s="112"/>
      <c r="K93" s="68" t="s">
        <v>143</v>
      </c>
      <c r="L93" s="22" t="s">
        <v>254</v>
      </c>
      <c r="M93" s="22" t="s">
        <v>254</v>
      </c>
      <c r="N93" s="43" t="str">
        <f>Table13[[#This Row],[DESCRIPTION]]</f>
        <v>Precast concrete footing c/w anchor bolt for mounting of flange mounted column.</v>
      </c>
      <c r="O93" s="39"/>
    </row>
    <row r="94" spans="3:15" ht="33.6" x14ac:dyDescent="0.3">
      <c r="C94" s="71">
        <v>88</v>
      </c>
      <c r="D94" s="92" t="s">
        <v>228</v>
      </c>
      <c r="E94" s="98" t="s">
        <v>120</v>
      </c>
      <c r="F94" s="94" t="s">
        <v>7</v>
      </c>
      <c r="G94" s="96">
        <v>71</v>
      </c>
      <c r="H94" s="115">
        <f>IF(OR(Table13[[#This Row],[UNIT]]="L.S.",Table13[[#This Row],[UNIT]]=0),"",ROUND(Table13[[#This Row],[Tenderer''s Response]],2))</f>
        <v>0</v>
      </c>
      <c r="I94" s="115">
        <f>IF(Table13[[#This Row],[UNIT]]=0,"",IF(Table13[[#This Row],[UNIT]]="L.S.",Table13[[#This Row],[Tenderer''s Response]],Table13[[#This Row],[Tenderer''s Response]]*Table13[[#This Row],[ QTY]]))</f>
        <v>0</v>
      </c>
      <c r="J94" s="112"/>
      <c r="K94" s="68" t="s">
        <v>143</v>
      </c>
      <c r="L94" s="22" t="s">
        <v>254</v>
      </c>
      <c r="M94" s="22" t="s">
        <v>254</v>
      </c>
      <c r="N94" s="43" t="str">
        <f>Table13[[#This Row],[DESCRIPTION]]</f>
        <v>External surge protection 20kA at junction box lighting pole</v>
      </c>
      <c r="O94" s="39"/>
    </row>
    <row r="95" spans="3:15" ht="16.8" x14ac:dyDescent="0.3">
      <c r="C95" s="71">
        <v>89</v>
      </c>
      <c r="D95" s="99"/>
      <c r="E95" s="109" t="s">
        <v>127</v>
      </c>
      <c r="F95" s="100"/>
      <c r="G95" s="101"/>
      <c r="H95" s="115" t="str">
        <f>IF(Table13[[#This Row],[UNIT]]=0,"",IF(Table13[[#This Row],[UNIT]]="L.S.",Table13[[#This Row],[Tenderer''s Response]],Table13[[#This Row],[Tenderer''s Response]]*Table13[[#This Row],[ QTY]]))</f>
        <v/>
      </c>
      <c r="I95" s="115" t="str">
        <f>IF(Table13[[#This Row],[UNIT]]=0,"",IF(Table13[[#This Row],[UNIT]]="L.S.",Table13[[#This Row],[Tenderer''s Response]],Table13[[#This Row],[Tenderer''s Response]]*Table13[[#This Row],[ QTY]]))</f>
        <v/>
      </c>
      <c r="J95" s="21"/>
      <c r="K95" s="68" t="s">
        <v>143</v>
      </c>
      <c r="L95" s="22" t="s">
        <v>254</v>
      </c>
      <c r="M95" s="22" t="s">
        <v>254</v>
      </c>
      <c r="N95" s="43" t="str">
        <f>Table13[[#This Row],[DESCRIPTION]]</f>
        <v>STREET/COMPOUND LANTERN</v>
      </c>
      <c r="O95" s="39"/>
    </row>
    <row r="96" spans="3:15" ht="67.2" x14ac:dyDescent="0.3">
      <c r="C96" s="71">
        <v>90</v>
      </c>
      <c r="D96" s="105"/>
      <c r="E96" s="130" t="s">
        <v>121</v>
      </c>
      <c r="F96" s="103"/>
      <c r="G96" s="104"/>
      <c r="H96" s="115" t="str">
        <f>IF(Table13[[#This Row],[UNIT]]=0,"",IF(Table13[[#This Row],[UNIT]]="L.S.",Table13[[#This Row],[Tenderer''s Response]],Table13[[#This Row],[Tenderer''s Response]]*Table13[[#This Row],[ QTY]]))</f>
        <v/>
      </c>
      <c r="I96" s="115" t="str">
        <f>IF(Table13[[#This Row],[UNIT]]=0,"",IF(Table13[[#This Row],[UNIT]]="L.S.",Table13[[#This Row],[Tenderer''s Response]],Table13[[#This Row],[Tenderer''s Response]]*Table13[[#This Row],[ QTY]]))</f>
        <v/>
      </c>
      <c r="J96" s="21"/>
      <c r="K96" s="68" t="s">
        <v>143</v>
      </c>
      <c r="L96" s="22" t="s">
        <v>254</v>
      </c>
      <c r="M96" s="22" t="s">
        <v>254</v>
      </c>
      <c r="N96" s="43" t="str">
        <f>Table13[[#This Row],[DESCRIPTION]]</f>
        <v>Fabricate, supply, deliver, install and testing &amp; commissioning of the following as per specification &amp; requirement</v>
      </c>
      <c r="O96" s="39"/>
    </row>
    <row r="97" spans="3:15" ht="140.4" x14ac:dyDescent="0.3">
      <c r="C97" s="71">
        <v>91</v>
      </c>
      <c r="D97" s="92" t="s">
        <v>229</v>
      </c>
      <c r="E97" s="98" t="s">
        <v>230</v>
      </c>
      <c r="F97" s="94" t="s">
        <v>7</v>
      </c>
      <c r="G97" s="96">
        <v>25</v>
      </c>
      <c r="H97" s="115">
        <f>IF(OR(Table13[[#This Row],[UNIT]]="L.S.",Table13[[#This Row],[UNIT]]=0),"",ROUND(Table13[[#This Row],[Tenderer''s Response]],2))</f>
        <v>0</v>
      </c>
      <c r="I97" s="115">
        <f>IF(Table13[[#This Row],[UNIT]]=0,"",IF(Table13[[#This Row],[UNIT]]="L.S.",Table13[[#This Row],[Tenderer''s Response]],Table13[[#This Row],[Tenderer''s Response]]*Table13[[#This Row],[ QTY]]))</f>
        <v>0</v>
      </c>
      <c r="J97" s="112"/>
      <c r="K97" s="68" t="s">
        <v>143</v>
      </c>
      <c r="L97" s="22" t="s">
        <v>254</v>
      </c>
      <c r="M97" s="22" t="s">
        <v>254</v>
      </c>
      <c r="N97" s="43" t="str">
        <f>Table13[[#This Row],[DESCRIPTION]]</f>
        <v>Street lighting luminaire 50W NW LED, asymmetric medium, IP 66 c/w clear &amp; hardened glass protector, die-cast aluminium housing and corrosion resistant polyester powder painted, surge protection device, built-in driver with pf&gt;0.95 and termination. (Bridge Draw Off and Gauge House)</v>
      </c>
      <c r="O97" s="39"/>
    </row>
    <row r="98" spans="3:15" ht="134.4" x14ac:dyDescent="0.3">
      <c r="C98" s="71">
        <v>92</v>
      </c>
      <c r="D98" s="92" t="s">
        <v>231</v>
      </c>
      <c r="E98" s="98" t="s">
        <v>124</v>
      </c>
      <c r="F98" s="94" t="s">
        <v>7</v>
      </c>
      <c r="G98" s="96">
        <v>43</v>
      </c>
      <c r="H98" s="115">
        <f>IF(OR(Table13[[#This Row],[UNIT]]="L.S.",Table13[[#This Row],[UNIT]]=0),"",ROUND(Table13[[#This Row],[Tenderer''s Response]],2))</f>
        <v>0</v>
      </c>
      <c r="I98" s="115">
        <f>IF(Table13[[#This Row],[UNIT]]=0,"",IF(Table13[[#This Row],[UNIT]]="L.S.",Table13[[#This Row],[Tenderer''s Response]],Table13[[#This Row],[Tenderer''s Response]]*Table13[[#This Row],[ QTY]]))</f>
        <v>0</v>
      </c>
      <c r="J98" s="112"/>
      <c r="K98" s="68" t="s">
        <v>143</v>
      </c>
      <c r="L98" s="22" t="s">
        <v>254</v>
      </c>
      <c r="M98" s="22" t="s">
        <v>254</v>
      </c>
      <c r="N98" s="43" t="str">
        <f>Table13[[#This Row],[DESCRIPTION]]</f>
        <v>Street lighting luminaire 150W NW LED, asymmetric medium, IP 66 c/w clear &amp; hardened glass protector, die-cast aluminium housing and corrosion resistant polyester powder painted, surge protection device, built-in driver with pf&gt;0.95 and termination.</v>
      </c>
      <c r="O98" s="39"/>
    </row>
    <row r="99" spans="3:15" ht="156" x14ac:dyDescent="0.3">
      <c r="C99" s="71">
        <v>93</v>
      </c>
      <c r="D99" s="92" t="s">
        <v>232</v>
      </c>
      <c r="E99" s="98" t="s">
        <v>233</v>
      </c>
      <c r="F99" s="94" t="s">
        <v>7</v>
      </c>
      <c r="G99" s="96">
        <v>1</v>
      </c>
      <c r="H99" s="115">
        <f>IF(OR(Table13[[#This Row],[UNIT]]="L.S.",Table13[[#This Row],[UNIT]]=0),"",ROUND(Table13[[#This Row],[Tenderer''s Response]],2))</f>
        <v>0</v>
      </c>
      <c r="I99" s="115">
        <f>IF(Table13[[#This Row],[UNIT]]=0,"",IF(Table13[[#This Row],[UNIT]]="L.S.",Table13[[#This Row],[Tenderer''s Response]],Table13[[#This Row],[Tenderer''s Response]]*Table13[[#This Row],[ QTY]]))</f>
        <v>0</v>
      </c>
      <c r="J99" s="112"/>
      <c r="K99" s="68" t="s">
        <v>143</v>
      </c>
      <c r="L99" s="22" t="s">
        <v>254</v>
      </c>
      <c r="M99" s="22" t="s">
        <v>254</v>
      </c>
      <c r="N99" s="43" t="str">
        <f>Table13[[#This Row],[DESCRIPTION]]</f>
        <v>Floodlight 200W NW LED, asymmetric medium, IP 66 c/w smooth reflector &amp; thermal hardened glass diffuser, die-cast aluminium housing and corrosion resistant polyester powder painted, surge protection device, built-in driver with pf&gt;0.95, bracket support and termination. (mounting at Bridge)</v>
      </c>
      <c r="O99" s="39"/>
    </row>
    <row r="100" spans="3:15" ht="156" x14ac:dyDescent="0.3">
      <c r="C100" s="71">
        <v>94</v>
      </c>
      <c r="D100" s="92" t="s">
        <v>234</v>
      </c>
      <c r="E100" s="98" t="s">
        <v>235</v>
      </c>
      <c r="F100" s="94" t="s">
        <v>7</v>
      </c>
      <c r="G100" s="96">
        <v>7</v>
      </c>
      <c r="H100" s="115">
        <f>IF(OR(Table13[[#This Row],[UNIT]]="L.S.",Table13[[#This Row],[UNIT]]=0),"",ROUND(Table13[[#This Row],[Tenderer''s Response]],2))</f>
        <v>0</v>
      </c>
      <c r="I100" s="115">
        <f>IF(Table13[[#This Row],[UNIT]]=0,"",IF(Table13[[#This Row],[UNIT]]="L.S.",Table13[[#This Row],[Tenderer''s Response]],Table13[[#This Row],[Tenderer''s Response]]*Table13[[#This Row],[ QTY]]))</f>
        <v>0</v>
      </c>
      <c r="J100" s="112"/>
      <c r="K100" s="68" t="s">
        <v>143</v>
      </c>
      <c r="L100" s="22" t="s">
        <v>254</v>
      </c>
      <c r="M100" s="22" t="s">
        <v>254</v>
      </c>
      <c r="N100" s="43" t="str">
        <f>Table13[[#This Row],[DESCRIPTION]]</f>
        <v>Floodlight 200W NW LED, asymmetric medium, IP 66 c/w smooth reflector &amp; thermal hardened glass diffuser, die-cast aluminium housing and corrosion resistant polyester powder painted, surge protection device, built-in driver with pf&gt;0.95, bracket support and termination. (mounting at 10m (H) pole)</v>
      </c>
      <c r="O100" s="39"/>
    </row>
    <row r="101" spans="3:15" ht="33.6" x14ac:dyDescent="0.3">
      <c r="C101" s="71">
        <v>95</v>
      </c>
      <c r="D101" s="92" t="s">
        <v>236</v>
      </c>
      <c r="E101" s="98" t="s">
        <v>237</v>
      </c>
      <c r="F101" s="94" t="s">
        <v>7</v>
      </c>
      <c r="G101" s="96">
        <v>3</v>
      </c>
      <c r="H101" s="115">
        <f>IF(OR(Table13[[#This Row],[UNIT]]="L.S.",Table13[[#This Row],[UNIT]]=0),"",ROUND(Table13[[#This Row],[Tenderer''s Response]],2))</f>
        <v>0</v>
      </c>
      <c r="I101" s="115">
        <f>IF(Table13[[#This Row],[UNIT]]=0,"",IF(Table13[[#This Row],[UNIT]]="L.S.",Table13[[#This Row],[Tenderer''s Response]],Table13[[#This Row],[Tenderer''s Response]]*Table13[[#This Row],[ QTY]]))</f>
        <v>0</v>
      </c>
      <c r="J101" s="112"/>
      <c r="K101" s="68" t="s">
        <v>143</v>
      </c>
      <c r="L101" s="22" t="s">
        <v>254</v>
      </c>
      <c r="M101" s="22" t="s">
        <v>254</v>
      </c>
      <c r="N101" s="43" t="str">
        <f>Table13[[#This Row],[DESCRIPTION]]</f>
        <v>20A 3phase Isolator On/Off light switch &amp; weatherproof IP65</v>
      </c>
      <c r="O101" s="39"/>
    </row>
    <row r="102" spans="3:15" ht="33.6" x14ac:dyDescent="0.3">
      <c r="C102" s="71">
        <v>96</v>
      </c>
      <c r="D102" s="92" t="s">
        <v>238</v>
      </c>
      <c r="E102" s="98" t="s">
        <v>239</v>
      </c>
      <c r="F102" s="94" t="s">
        <v>7</v>
      </c>
      <c r="G102" s="96">
        <v>1</v>
      </c>
      <c r="H102" s="115">
        <f>IF(OR(Table13[[#This Row],[UNIT]]="L.S.",Table13[[#This Row],[UNIT]]=0),"",ROUND(Table13[[#This Row],[Tenderer''s Response]],2))</f>
        <v>0</v>
      </c>
      <c r="I102" s="115">
        <f>IF(Table13[[#This Row],[UNIT]]=0,"",IF(Table13[[#This Row],[UNIT]]="L.S.",Table13[[#This Row],[Tenderer''s Response]],Table13[[#This Row],[Tenderer''s Response]]*Table13[[#This Row],[ QTY]]))</f>
        <v>0</v>
      </c>
      <c r="J102" s="112"/>
      <c r="K102" s="68" t="s">
        <v>143</v>
      </c>
      <c r="L102" s="22" t="s">
        <v>254</v>
      </c>
      <c r="M102" s="22" t="s">
        <v>254</v>
      </c>
      <c r="N102" s="43" t="str">
        <f>Table13[[#This Row],[DESCRIPTION]]</f>
        <v>Weatherproof Junction box IP65 c/w accessories</v>
      </c>
      <c r="O102" s="39"/>
    </row>
    <row r="103" spans="3:15" ht="16.8" x14ac:dyDescent="0.3">
      <c r="C103" s="71">
        <v>97</v>
      </c>
      <c r="D103" s="97"/>
      <c r="E103" s="108" t="s">
        <v>122</v>
      </c>
      <c r="F103" s="94"/>
      <c r="G103" s="96"/>
      <c r="H103" s="115" t="str">
        <f>IF(Table13[[#This Row],[UNIT]]=0,"",IF(Table13[[#This Row],[UNIT]]="L.S.",Table13[[#This Row],[Tenderer''s Response]],Table13[[#This Row],[Tenderer''s Response]]*Table13[[#This Row],[ QTY]]))</f>
        <v/>
      </c>
      <c r="I103" s="115" t="str">
        <f>IF(Table13[[#This Row],[UNIT]]=0,"",IF(Table13[[#This Row],[UNIT]]="L.S.",Table13[[#This Row],[Tenderer''s Response]],Table13[[#This Row],[Tenderer''s Response]]*Table13[[#This Row],[ QTY]]))</f>
        <v/>
      </c>
      <c r="J103" s="21"/>
      <c r="K103" s="68" t="s">
        <v>143</v>
      </c>
      <c r="L103" s="22" t="s">
        <v>254</v>
      </c>
      <c r="M103" s="22" t="s">
        <v>254</v>
      </c>
      <c r="N103" s="43" t="str">
        <f>Table13[[#This Row],[DESCRIPTION]]</f>
        <v>SPARE PARTS</v>
      </c>
      <c r="O103" s="39"/>
    </row>
    <row r="104" spans="3:15" ht="33.6" x14ac:dyDescent="0.3">
      <c r="C104" s="71">
        <v>98</v>
      </c>
      <c r="D104" s="92" t="s">
        <v>240</v>
      </c>
      <c r="E104" s="98" t="s">
        <v>125</v>
      </c>
      <c r="F104" s="94" t="s">
        <v>7</v>
      </c>
      <c r="G104" s="96">
        <v>14</v>
      </c>
      <c r="H104" s="115">
        <f>IF(OR(Table13[[#This Row],[UNIT]]="L.S.",Table13[[#This Row],[UNIT]]=0),"",ROUND(Table13[[#This Row],[Tenderer''s Response]],2))</f>
        <v>0</v>
      </c>
      <c r="I104" s="115">
        <f>IF(Table13[[#This Row],[UNIT]]=0,"",IF(Table13[[#This Row],[UNIT]]="L.S.",Table13[[#This Row],[Tenderer''s Response]],Table13[[#This Row],[Tenderer''s Response]]*Table13[[#This Row],[ QTY]]))</f>
        <v>0</v>
      </c>
      <c r="J104" s="112"/>
      <c r="K104" s="68" t="s">
        <v>143</v>
      </c>
      <c r="L104" s="22" t="s">
        <v>254</v>
      </c>
      <c r="M104" s="22" t="s">
        <v>254</v>
      </c>
      <c r="N104" s="43" t="str">
        <f>Table13[[#This Row],[DESCRIPTION]]</f>
        <v>150NW LED street light lantern (IP66)</v>
      </c>
      <c r="O104" s="39"/>
    </row>
    <row r="105" spans="3:15" ht="33.6" x14ac:dyDescent="0.3">
      <c r="C105" s="71">
        <v>99</v>
      </c>
      <c r="D105" s="92" t="s">
        <v>241</v>
      </c>
      <c r="E105" s="98" t="s">
        <v>242</v>
      </c>
      <c r="F105" s="94" t="s">
        <v>7</v>
      </c>
      <c r="G105" s="96">
        <v>8</v>
      </c>
      <c r="H105" s="115">
        <f>IF(OR(Table13[[#This Row],[UNIT]]="L.S.",Table13[[#This Row],[UNIT]]=0),"",ROUND(Table13[[#This Row],[Tenderer''s Response]],2))</f>
        <v>0</v>
      </c>
      <c r="I105" s="115">
        <f>IF(Table13[[#This Row],[UNIT]]=0,"",IF(Table13[[#This Row],[UNIT]]="L.S.",Table13[[#This Row],[Tenderer''s Response]],Table13[[#This Row],[Tenderer''s Response]]*Table13[[#This Row],[ QTY]]))</f>
        <v>0</v>
      </c>
      <c r="J105" s="112"/>
      <c r="K105" s="68" t="s">
        <v>143</v>
      </c>
      <c r="L105" s="22" t="s">
        <v>254</v>
      </c>
      <c r="M105" s="22" t="s">
        <v>254</v>
      </c>
      <c r="N105" s="43" t="str">
        <f>Table13[[#This Row],[DESCRIPTION]]</f>
        <v>50NW LED street light lantern (IP66)</v>
      </c>
      <c r="O105" s="39"/>
    </row>
    <row r="106" spans="3:15" ht="33.6" x14ac:dyDescent="0.3">
      <c r="C106" s="71">
        <v>100</v>
      </c>
      <c r="D106" s="92" t="s">
        <v>243</v>
      </c>
      <c r="E106" s="98" t="s">
        <v>123</v>
      </c>
      <c r="F106" s="94" t="s">
        <v>7</v>
      </c>
      <c r="G106" s="96">
        <v>6</v>
      </c>
      <c r="H106" s="115">
        <f>IF(OR(Table13[[#This Row],[UNIT]]="L.S.",Table13[[#This Row],[UNIT]]=0),"",ROUND(Table13[[#This Row],[Tenderer''s Response]],2))</f>
        <v>0</v>
      </c>
      <c r="I106" s="115">
        <f>IF(Table13[[#This Row],[UNIT]]=0,"",IF(Table13[[#This Row],[UNIT]]="L.S.",Table13[[#This Row],[Tenderer''s Response]],Table13[[#This Row],[Tenderer''s Response]]*Table13[[#This Row],[ QTY]]))</f>
        <v>0</v>
      </c>
      <c r="J106" s="112"/>
      <c r="K106" s="68" t="s">
        <v>143</v>
      </c>
      <c r="L106" s="22" t="s">
        <v>254</v>
      </c>
      <c r="M106" s="22" t="s">
        <v>254</v>
      </c>
      <c r="N106" s="43" t="str">
        <f>Table13[[#This Row],[DESCRIPTION]]</f>
        <v>Surge Protection Device 20kA for pole lighting</v>
      </c>
      <c r="O106" s="39"/>
    </row>
    <row r="107" spans="3:15" ht="16.8" x14ac:dyDescent="0.3">
      <c r="C107" s="71">
        <v>101</v>
      </c>
      <c r="D107" s="92" t="s">
        <v>244</v>
      </c>
      <c r="E107" s="98" t="s">
        <v>126</v>
      </c>
      <c r="F107" s="94" t="s">
        <v>7</v>
      </c>
      <c r="G107" s="96">
        <v>3</v>
      </c>
      <c r="H107" s="115">
        <f>IF(OR(Table13[[#This Row],[UNIT]]="L.S.",Table13[[#This Row],[UNIT]]=0),"",ROUND(Table13[[#This Row],[Tenderer''s Response]],2))</f>
        <v>0</v>
      </c>
      <c r="I107" s="115">
        <f>IF(Table13[[#This Row],[UNIT]]=0,"",IF(Table13[[#This Row],[UNIT]]="L.S.",Table13[[#This Row],[Tenderer''s Response]],Table13[[#This Row],[Tenderer''s Response]]*Table13[[#This Row],[ QTY]]))</f>
        <v>0</v>
      </c>
      <c r="J107" s="112"/>
      <c r="K107" s="68" t="s">
        <v>143</v>
      </c>
      <c r="L107" s="22" t="s">
        <v>254</v>
      </c>
      <c r="M107" s="22" t="s">
        <v>254</v>
      </c>
      <c r="N107" s="43" t="str">
        <f>Table13[[#This Row],[DESCRIPTION]]</f>
        <v>200W NW Floodlight (IP66)</v>
      </c>
      <c r="O107" s="39"/>
    </row>
    <row r="108" spans="3:15" ht="16.8" x14ac:dyDescent="0.3">
      <c r="C108" s="71">
        <v>102</v>
      </c>
      <c r="D108" s="105"/>
      <c r="E108" s="110" t="s">
        <v>130</v>
      </c>
      <c r="F108" s="103"/>
      <c r="G108" s="104"/>
      <c r="H108" s="115" t="str">
        <f>IF(Table13[[#This Row],[UNIT]]=0,"",IF(Table13[[#This Row],[UNIT]]="L.S.",Table13[[#This Row],[Tenderer''s Response]],Table13[[#This Row],[Tenderer''s Response]]*Table13[[#This Row],[ QTY]]))</f>
        <v/>
      </c>
      <c r="I108" s="115" t="str">
        <f>IF(Table13[[#This Row],[UNIT]]=0,"",IF(Table13[[#This Row],[UNIT]]="L.S.",Table13[[#This Row],[Tenderer''s Response]],Table13[[#This Row],[Tenderer''s Response]]*Table13[[#This Row],[ QTY]]))</f>
        <v/>
      </c>
      <c r="J108" s="21"/>
      <c r="K108" s="68" t="s">
        <v>131</v>
      </c>
      <c r="L108" s="22" t="s">
        <v>132</v>
      </c>
      <c r="M108" s="22" t="s">
        <v>132</v>
      </c>
      <c r="N108" s="43" t="str">
        <f>Table13[[#This Row],[DESCRIPTION]]</f>
        <v>C: PROVISIONAL SUM</v>
      </c>
      <c r="O108" s="39"/>
    </row>
    <row r="109" spans="3:15" ht="84" x14ac:dyDescent="0.3">
      <c r="C109" s="71">
        <v>103</v>
      </c>
      <c r="D109" s="105"/>
      <c r="E109" s="111" t="s">
        <v>253</v>
      </c>
      <c r="F109" s="103"/>
      <c r="G109" s="104"/>
      <c r="H109" s="115" t="str">
        <f>IF(Table13[[#This Row],[UNIT]]=0,"",IF(Table13[[#This Row],[UNIT]]="L.S.",Table13[[#This Row],[Tenderer''s Response]],Table13[[#This Row],[Tenderer''s Response]]*Table13[[#This Row],[ QTY]]))</f>
        <v/>
      </c>
      <c r="I109" s="115" t="str">
        <f>IF(Table13[[#This Row],[UNIT]]=0,"",IF(Table13[[#This Row],[UNIT]]="L.S.",Table13[[#This Row],[Tenderer''s Response]],Table13[[#This Row],[Tenderer''s Response]]*Table13[[#This Row],[ QTY]]))</f>
        <v/>
      </c>
      <c r="J109" s="21"/>
      <c r="K109" s="68" t="s">
        <v>131</v>
      </c>
      <c r="L109" s="22" t="s">
        <v>132</v>
      </c>
      <c r="M109" s="22" t="s">
        <v>132</v>
      </c>
      <c r="N109" s="43" t="str">
        <f>Table13[[#This Row],[DESCRIPTION]]</f>
        <v>Notes:-
All provision sums are to be expended at the discretion and direction of C.A or deducted in whole or in part if not required</v>
      </c>
      <c r="O109" s="39"/>
    </row>
    <row r="110" spans="3:15" ht="84" x14ac:dyDescent="0.3">
      <c r="C110" s="71">
        <v>104</v>
      </c>
      <c r="D110" s="105" t="s">
        <v>133</v>
      </c>
      <c r="E110" s="111" t="s">
        <v>251</v>
      </c>
      <c r="F110" s="103" t="s">
        <v>19</v>
      </c>
      <c r="G110" s="104"/>
      <c r="H110" s="115"/>
      <c r="I110" s="115">
        <f>IF(Table13[[#This Row],[UNIT]]=0,"",IF(Table13[[#This Row],[UNIT]]="L.S.",Table13[[#This Row],[Tenderer''s Response]],Table13[[#This Row],[Tenderer''s Response]]*Table13[[#This Row],[ QTY]]))</f>
        <v>15000</v>
      </c>
      <c r="J110" s="21">
        <v>15000</v>
      </c>
      <c r="K110" s="68" t="s">
        <v>131</v>
      </c>
      <c r="L110" s="22" t="s">
        <v>132</v>
      </c>
      <c r="M110" s="22" t="s">
        <v>132</v>
      </c>
      <c r="N110" s="43" t="str">
        <f>Table13[[#This Row],[DESCRIPTION]]</f>
        <v>To provide provision sum of Ringgit Malaysia Fifteen Thousand Only (RM15,000) for underground Utility Detection Mapping to be carried out at Sg Langat Dam</v>
      </c>
      <c r="O110" s="39"/>
    </row>
    <row r="111" spans="3:15" s="23" customFormat="1" x14ac:dyDescent="0.3">
      <c r="C111" s="24">
        <f>SUBTOTAL(103,Table13[RN])</f>
        <v>104</v>
      </c>
      <c r="D111" s="127">
        <f>SUBTOTAL(103,Table13[NO])</f>
        <v>71</v>
      </c>
      <c r="E111" s="128"/>
      <c r="F111" s="116">
        <f>SUBTOTAL(103,Table13[UNIT])</f>
        <v>71</v>
      </c>
      <c r="I111" s="116">
        <f>SUBTOTAL(102,Table13[AMOUNT
(RM)])</f>
        <v>71</v>
      </c>
      <c r="J111" s="116">
        <f>SUBTOTAL(103,Table13[Tenderer''s Response])</f>
        <v>1</v>
      </c>
      <c r="K111" s="116">
        <f>SUBTOTAL(103,Table13[Navigate])</f>
        <v>104</v>
      </c>
      <c r="L111" s="116">
        <f>SUBTOTAL(103,Table13[SECTION])</f>
        <v>104</v>
      </c>
      <c r="M111" s="116">
        <f>SUBTOTAL(103,Table13[SUB-SECTION])</f>
        <v>104</v>
      </c>
      <c r="N111" s="129"/>
      <c r="O111" s="116"/>
    </row>
  </sheetData>
  <sheetProtection algorithmName="SHA-512" hashValue="gI8T8ZU6nNW/8eavRouxnTbQqjncwtgoh5iAyScpi5o5rU/W84ANTlfsdlxd1YZm8lutl7XPP7k5OsEuWLDSfQ==" saltValue="Nyxf27sL9nk4mGkwlu/LLQ==" spinCount="100000" sheet="1" autoFilter="0" pivotTables="0"/>
  <mergeCells count="4">
    <mergeCell ref="D2:I4"/>
    <mergeCell ref="J1:J5"/>
    <mergeCell ref="L1:M5"/>
    <mergeCell ref="K1:K5"/>
  </mergeCells>
  <phoneticPr fontId="11" type="noConversion"/>
  <printOptions horizontalCentered="1"/>
  <pageMargins left="0.70866141732283472" right="0.70866141732283472" top="0.74803149606299213" bottom="0.74803149606299213" header="0.31496062992125984" footer="0.31496062992125984"/>
  <pageSetup paperSize="9" orientation="portrait" r:id="rId1"/>
  <headerFooter>
    <oddFooter>&amp;C
BQ &amp;P/&amp;N</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F0"/>
    <pageSetUpPr fitToPage="1"/>
  </sheetPr>
  <dimension ref="A1:G29"/>
  <sheetViews>
    <sheetView showZeros="0" view="pageBreakPreview" zoomScale="90" zoomScaleNormal="100" zoomScaleSheetLayoutView="90" workbookViewId="0">
      <selection activeCell="B25" sqref="B25:C25"/>
    </sheetView>
  </sheetViews>
  <sheetFormatPr defaultColWidth="8.88671875" defaultRowHeight="15.6" x14ac:dyDescent="0.3"/>
  <cols>
    <col min="1" max="1" width="0.88671875" style="3" customWidth="1"/>
    <col min="2" max="2" width="68.33203125" style="3" customWidth="1"/>
    <col min="3" max="3" width="18.5546875" style="3" customWidth="1"/>
    <col min="4" max="4" width="0.88671875" style="3" customWidth="1"/>
    <col min="5" max="5" width="2.5546875" style="3" customWidth="1"/>
    <col min="6" max="6" width="11.5546875" style="3" customWidth="1"/>
    <col min="7" max="7" width="11.5546875" style="3" bestFit="1" customWidth="1"/>
    <col min="8" max="8" width="12.88671875" style="3" bestFit="1" customWidth="1"/>
    <col min="9" max="16384" width="8.88671875" style="3"/>
  </cols>
  <sheetData>
    <row r="1" spans="1:4" ht="18" x14ac:dyDescent="0.35">
      <c r="A1" s="2"/>
    </row>
    <row r="2" spans="1:4" ht="18" x14ac:dyDescent="0.35">
      <c r="A2" s="2"/>
    </row>
    <row r="3" spans="1:4" ht="18" x14ac:dyDescent="0.35">
      <c r="A3" s="2"/>
    </row>
    <row r="4" spans="1:4" ht="18" x14ac:dyDescent="0.35">
      <c r="A4" s="2"/>
    </row>
    <row r="5" spans="1:4" ht="18" x14ac:dyDescent="0.35">
      <c r="A5" s="2"/>
    </row>
    <row r="6" spans="1:4" ht="18" x14ac:dyDescent="0.35">
      <c r="A6" s="2"/>
    </row>
    <row r="7" spans="1:4" ht="18" customHeight="1" x14ac:dyDescent="0.35">
      <c r="A7" s="2"/>
      <c r="B7" s="146" t="str">
        <f>'2. BQ Normal'!D2</f>
        <v>SUPPLY, INSTALLATION, TESTING AND COMMISSIONING OF STREET LIGHTINGS AT SG LANGAT DAM</v>
      </c>
      <c r="C7" s="146"/>
      <c r="D7" s="7"/>
    </row>
    <row r="8" spans="1:4" ht="18" x14ac:dyDescent="0.35">
      <c r="A8" s="2"/>
      <c r="B8" s="146"/>
      <c r="C8" s="146"/>
      <c r="D8" s="7"/>
    </row>
    <row r="9" spans="1:4" ht="18" x14ac:dyDescent="0.35">
      <c r="A9" s="2"/>
      <c r="B9" s="146"/>
      <c r="C9" s="146"/>
      <c r="D9" s="7"/>
    </row>
    <row r="10" spans="1:4" x14ac:dyDescent="0.3">
      <c r="B10" s="4"/>
      <c r="C10" s="4"/>
      <c r="D10" s="4"/>
    </row>
    <row r="11" spans="1:4" x14ac:dyDescent="0.3">
      <c r="B11" s="148" t="s">
        <v>6</v>
      </c>
      <c r="C11" s="148"/>
      <c r="D11" s="148"/>
    </row>
    <row r="13" spans="1:4" s="49" customFormat="1" ht="13.8" x14ac:dyDescent="0.25">
      <c r="B13" s="45" t="s">
        <v>11</v>
      </c>
      <c r="C13" s="46" t="s">
        <v>12</v>
      </c>
    </row>
    <row r="14" spans="1:4" s="44" customFormat="1" ht="13.8" x14ac:dyDescent="0.25">
      <c r="B14" s="152" t="s">
        <v>43</v>
      </c>
      <c r="C14" s="153">
        <v>0</v>
      </c>
    </row>
    <row r="15" spans="1:4" s="44" customFormat="1" ht="13.8" x14ac:dyDescent="0.25">
      <c r="B15" s="152" t="s">
        <v>254</v>
      </c>
      <c r="C15" s="153">
        <v>0</v>
      </c>
    </row>
    <row r="16" spans="1:4" s="44" customFormat="1" ht="13.8" x14ac:dyDescent="0.25">
      <c r="B16" s="152" t="s">
        <v>132</v>
      </c>
      <c r="C16" s="153">
        <v>15000</v>
      </c>
    </row>
    <row r="17" spans="2:7" s="44" customFormat="1" ht="13.8" x14ac:dyDescent="0.25">
      <c r="B17" s="47" t="s">
        <v>9</v>
      </c>
      <c r="C17" s="48">
        <v>15000</v>
      </c>
    </row>
    <row r="18" spans="2:7" s="44" customFormat="1" ht="13.8" x14ac:dyDescent="0.25">
      <c r="B18"/>
      <c r="C18"/>
    </row>
    <row r="20" spans="2:7" x14ac:dyDescent="0.3">
      <c r="B20" s="15" t="s">
        <v>37</v>
      </c>
      <c r="C20" s="67">
        <f>GETPIVOTDATA("AMOUNT
(RM)",$B$13)</f>
        <v>15000</v>
      </c>
    </row>
    <row r="21" spans="2:7" x14ac:dyDescent="0.3">
      <c r="B21" s="15" t="s">
        <v>38</v>
      </c>
      <c r="C21" s="66" t="s">
        <v>40</v>
      </c>
    </row>
    <row r="22" spans="2:7" x14ac:dyDescent="0.3">
      <c r="B22" s="16"/>
      <c r="C22"/>
    </row>
    <row r="23" spans="2:7" x14ac:dyDescent="0.3">
      <c r="B23" s="17" t="s">
        <v>39</v>
      </c>
      <c r="C23"/>
    </row>
    <row r="24" spans="2:7" x14ac:dyDescent="0.3">
      <c r="B24" s="147"/>
      <c r="C24" s="147"/>
    </row>
    <row r="25" spans="2:7" x14ac:dyDescent="0.3">
      <c r="B25" s="147"/>
      <c r="C25" s="147"/>
    </row>
    <row r="26" spans="2:7" x14ac:dyDescent="0.3">
      <c r="B26" s="147"/>
      <c r="C26" s="147"/>
    </row>
    <row r="27" spans="2:7" x14ac:dyDescent="0.3">
      <c r="B27" s="147"/>
      <c r="C27" s="147"/>
      <c r="D27" s="1"/>
    </row>
    <row r="28" spans="2:7" x14ac:dyDescent="0.3">
      <c r="B28" s="147"/>
      <c r="C28" s="147"/>
      <c r="D28" s="1"/>
      <c r="E28" s="1"/>
      <c r="F28" s="1"/>
      <c r="G28" s="1"/>
    </row>
    <row r="29" spans="2:7" x14ac:dyDescent="0.3">
      <c r="B29"/>
      <c r="C29"/>
      <c r="D29" s="1"/>
      <c r="E29" s="1"/>
      <c r="F29" s="1"/>
      <c r="G29" s="1"/>
    </row>
  </sheetData>
  <sheetProtection pivotTables="0"/>
  <mergeCells count="7">
    <mergeCell ref="B7:C9"/>
    <mergeCell ref="B27:C27"/>
    <mergeCell ref="B28:C28"/>
    <mergeCell ref="B11:D11"/>
    <mergeCell ref="B24:C24"/>
    <mergeCell ref="B25:C25"/>
    <mergeCell ref="B26:C26"/>
  </mergeCells>
  <conditionalFormatting sqref="B13:C13 B14:B18">
    <cfRule type="cellIs" dxfId="1095" priority="1" operator="equal">
      <formula>"(blank)"</formula>
    </cfRule>
  </conditionalFormatting>
  <pageMargins left="0.70866141732283472" right="0.70866141732283472" top="0.74803149606299213" bottom="0.74803149606299213" header="0.31496062992125984" footer="0.31496062992125984"/>
  <pageSetup fitToHeight="0" orientation="portrait" r:id="rId2"/>
  <headerFooter>
    <oddFooter>&amp;CGS &amp;P/&amp;N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FFFF00"/>
    <pageSetUpPr fitToPage="1"/>
  </sheetPr>
  <dimension ref="B2:F515"/>
  <sheetViews>
    <sheetView showZeros="0" view="pageBreakPreview" zoomScale="90" zoomScaleNormal="100" zoomScaleSheetLayoutView="90" workbookViewId="0">
      <pane ySplit="6" topLeftCell="A7" activePane="bottomLeft" state="frozen"/>
      <selection activeCell="G35" sqref="G35"/>
      <selection pane="bottomLeft" activeCell="I29" sqref="I29"/>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49" t="str">
        <f>'2. BQ Normal'!D2</f>
        <v>SUPPLY, INSTALLATION, TESTING AND COMMISSIONING OF STREET LIGHTINGS AT SG LANGAT DAM</v>
      </c>
      <c r="C2" s="149"/>
      <c r="D2" s="149"/>
    </row>
    <row r="3" spans="2:6" x14ac:dyDescent="0.25">
      <c r="B3" s="149"/>
      <c r="C3" s="149"/>
      <c r="D3" s="149"/>
    </row>
    <row r="4" spans="2:6" x14ac:dyDescent="0.25">
      <c r="B4" s="149"/>
      <c r="C4" s="149"/>
      <c r="D4" s="149"/>
    </row>
    <row r="5" spans="2:6" x14ac:dyDescent="0.25">
      <c r="C5" s="12"/>
      <c r="D5" s="12"/>
    </row>
    <row r="6" spans="2:6" s="6" customFormat="1" ht="30" customHeight="1" x14ac:dyDescent="0.25">
      <c r="B6" s="61" t="s">
        <v>11</v>
      </c>
      <c r="C6" s="61" t="s">
        <v>262</v>
      </c>
      <c r="D6" s="6" t="s">
        <v>15</v>
      </c>
    </row>
    <row r="7" spans="2:6" x14ac:dyDescent="0.25">
      <c r="B7" s="18" t="s">
        <v>43</v>
      </c>
      <c r="C7" s="19"/>
      <c r="D7" s="8"/>
      <c r="E7"/>
      <c r="F7"/>
    </row>
    <row r="8" spans="2:6" x14ac:dyDescent="0.25">
      <c r="B8" s="20"/>
      <c r="C8" s="154" t="s">
        <v>43</v>
      </c>
      <c r="D8" s="8">
        <v>0</v>
      </c>
      <c r="E8"/>
      <c r="F8"/>
    </row>
    <row r="9" spans="2:6" x14ac:dyDescent="0.25">
      <c r="C9" s="10"/>
      <c r="D9" s="8"/>
      <c r="E9"/>
      <c r="F9"/>
    </row>
    <row r="10" spans="2:6" x14ac:dyDescent="0.25">
      <c r="B10" s="18" t="s">
        <v>254</v>
      </c>
      <c r="C10" s="19"/>
      <c r="D10" s="8"/>
      <c r="E10"/>
      <c r="F10"/>
    </row>
    <row r="11" spans="2:6" x14ac:dyDescent="0.25">
      <c r="B11" s="20"/>
      <c r="C11" s="154" t="s">
        <v>254</v>
      </c>
      <c r="D11" s="8">
        <v>0</v>
      </c>
      <c r="E11"/>
      <c r="F11"/>
    </row>
    <row r="12" spans="2:6" x14ac:dyDescent="0.25">
      <c r="C12" s="10"/>
      <c r="D12" s="8"/>
      <c r="E12"/>
      <c r="F12"/>
    </row>
    <row r="13" spans="2:6" x14ac:dyDescent="0.25">
      <c r="B13" s="18" t="s">
        <v>132</v>
      </c>
      <c r="C13" s="19"/>
      <c r="D13" s="8"/>
      <c r="E13"/>
      <c r="F13"/>
    </row>
    <row r="14" spans="2:6" x14ac:dyDescent="0.25">
      <c r="B14" s="20"/>
      <c r="C14" s="154" t="s">
        <v>132</v>
      </c>
      <c r="D14" s="8">
        <v>15000</v>
      </c>
      <c r="E14"/>
      <c r="F14"/>
    </row>
    <row r="15" spans="2:6" x14ac:dyDescent="0.25">
      <c r="C15" s="10"/>
      <c r="D15" s="8"/>
      <c r="E15"/>
      <c r="F15"/>
    </row>
    <row r="16" spans="2:6" x14ac:dyDescent="0.25">
      <c r="B16" s="62" t="s">
        <v>9</v>
      </c>
      <c r="C16" s="62"/>
      <c r="D16" s="155">
        <v>15000</v>
      </c>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s="60" customFormat="1" x14ac:dyDescent="0.25">
      <c r="B26"/>
      <c r="C26"/>
      <c r="D26"/>
    </row>
    <row r="27" spans="2:6" x14ac:dyDescent="0.25">
      <c r="B27"/>
      <c r="C27"/>
      <c r="D27"/>
      <c r="E27"/>
      <c r="F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row>
    <row r="206" spans="2:4" x14ac:dyDescent="0.25">
      <c r="B206"/>
      <c r="C206"/>
    </row>
    <row r="207" spans="2:4" x14ac:dyDescent="0.25">
      <c r="B207"/>
      <c r="C207"/>
    </row>
    <row r="208" spans="2:4" x14ac:dyDescent="0.25">
      <c r="B208"/>
      <c r="C208"/>
    </row>
    <row r="209" spans="2:6" x14ac:dyDescent="0.25">
      <c r="B209"/>
      <c r="C209"/>
    </row>
    <row r="210" spans="2:6" s="9" customFormat="1" x14ac:dyDescent="0.25">
      <c r="B210"/>
      <c r="C210"/>
      <c r="E210" s="5"/>
      <c r="F210" s="5"/>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s="10"/>
      <c r="C515" s="5"/>
      <c r="E515" s="5"/>
      <c r="F515" s="5"/>
    </row>
  </sheetData>
  <sheetProtection pivotTables="0"/>
  <mergeCells count="1">
    <mergeCell ref="B2:D4"/>
  </mergeCells>
  <conditionalFormatting sqref="B5:D6 B205:D1048576 B2 B12:B204 D35:D204">
    <cfRule type="cellIs" dxfId="1052"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82C1E-D84A-4E91-8706-BBC29209FEC6}">
  <sheetPr codeName="Sheet26">
    <tabColor rgb="FFFFFF00"/>
    <pageSetUpPr fitToPage="1"/>
  </sheetPr>
  <dimension ref="B2:F515"/>
  <sheetViews>
    <sheetView showZeros="0" view="pageBreakPreview" zoomScale="90" zoomScaleNormal="100" zoomScaleSheetLayoutView="90" workbookViewId="0">
      <pane ySplit="6" topLeftCell="A7" activePane="bottomLeft" state="frozen"/>
      <selection activeCell="G35" sqref="G35"/>
      <selection pane="bottomLeft" activeCell="H16" sqref="H16"/>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49" t="str">
        <f>'2. BQ Normal'!D2</f>
        <v>SUPPLY, INSTALLATION, TESTING AND COMMISSIONING OF STREET LIGHTINGS AT SG LANGAT DAM</v>
      </c>
      <c r="C2" s="149"/>
      <c r="D2" s="149"/>
    </row>
    <row r="3" spans="2:6" x14ac:dyDescent="0.25">
      <c r="B3" s="149"/>
      <c r="C3" s="149"/>
      <c r="D3" s="149"/>
    </row>
    <row r="4" spans="2:6" x14ac:dyDescent="0.25">
      <c r="B4" s="149"/>
      <c r="C4" s="149"/>
      <c r="D4" s="149"/>
    </row>
    <row r="5" spans="2:6" x14ac:dyDescent="0.25">
      <c r="C5" s="12"/>
      <c r="D5" s="12"/>
    </row>
    <row r="6" spans="2:6" s="6" customFormat="1" ht="30" customHeight="1" x14ac:dyDescent="0.25">
      <c r="B6" s="61" t="s">
        <v>11</v>
      </c>
      <c r="C6" s="61" t="s">
        <v>16</v>
      </c>
      <c r="D6" s="6" t="s">
        <v>15</v>
      </c>
    </row>
    <row r="7" spans="2:6" x14ac:dyDescent="0.25">
      <c r="B7" s="18" t="s">
        <v>43</v>
      </c>
      <c r="C7" s="19"/>
      <c r="D7" s="8"/>
      <c r="E7"/>
      <c r="F7"/>
    </row>
    <row r="8" spans="2:6" x14ac:dyDescent="0.25">
      <c r="B8" s="20"/>
      <c r="C8" s="154" t="s">
        <v>43</v>
      </c>
      <c r="D8" s="8">
        <v>0</v>
      </c>
      <c r="E8"/>
      <c r="F8"/>
    </row>
    <row r="9" spans="2:6" x14ac:dyDescent="0.25">
      <c r="C9" s="10"/>
      <c r="D9" s="8"/>
      <c r="E9"/>
      <c r="F9"/>
    </row>
    <row r="10" spans="2:6" x14ac:dyDescent="0.25">
      <c r="B10" s="62" t="s">
        <v>9</v>
      </c>
      <c r="C10" s="62"/>
      <c r="D10" s="155">
        <v>0</v>
      </c>
      <c r="E10"/>
      <c r="F10"/>
    </row>
    <row r="11" spans="2:6" x14ac:dyDescent="0.25">
      <c r="B11"/>
      <c r="C11"/>
      <c r="D11"/>
      <c r="E11"/>
      <c r="F11"/>
    </row>
    <row r="12" spans="2:6" x14ac:dyDescent="0.25">
      <c r="B12"/>
      <c r="C12"/>
      <c r="D12"/>
      <c r="E12"/>
      <c r="F12"/>
    </row>
    <row r="13" spans="2:6" x14ac:dyDescent="0.25">
      <c r="B13"/>
      <c r="C13"/>
      <c r="D13"/>
      <c r="E13"/>
      <c r="F13"/>
    </row>
    <row r="14" spans="2:6" x14ac:dyDescent="0.25">
      <c r="B14"/>
      <c r="C14"/>
      <c r="D14"/>
      <c r="E14"/>
      <c r="F14"/>
    </row>
    <row r="15" spans="2:6" x14ac:dyDescent="0.25">
      <c r="B15"/>
      <c r="C15"/>
      <c r="D15"/>
      <c r="E15"/>
      <c r="F15"/>
    </row>
    <row r="16" spans="2:6"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s="60" customFormat="1" x14ac:dyDescent="0.25">
      <c r="B26"/>
      <c r="C26"/>
      <c r="D26"/>
    </row>
    <row r="27" spans="2:6" x14ac:dyDescent="0.25">
      <c r="B27"/>
      <c r="C27"/>
      <c r="D27"/>
      <c r="E27"/>
      <c r="F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row>
    <row r="206" spans="2:4" x14ac:dyDescent="0.25">
      <c r="B206"/>
      <c r="C206"/>
    </row>
    <row r="207" spans="2:4" x14ac:dyDescent="0.25">
      <c r="B207"/>
      <c r="C207"/>
    </row>
    <row r="208" spans="2:4" x14ac:dyDescent="0.25">
      <c r="B208"/>
      <c r="C208"/>
    </row>
    <row r="209" spans="2:6" x14ac:dyDescent="0.25">
      <c r="B209"/>
      <c r="C209"/>
    </row>
    <row r="210" spans="2:6" s="9" customFormat="1" x14ac:dyDescent="0.25">
      <c r="B210"/>
      <c r="C210"/>
      <c r="E210" s="5"/>
      <c r="F210" s="5"/>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s="10"/>
      <c r="C515" s="5"/>
      <c r="E515" s="5"/>
      <c r="F515" s="5"/>
    </row>
  </sheetData>
  <sheetProtection pivotTables="0"/>
  <mergeCells count="1">
    <mergeCell ref="B2:D4"/>
  </mergeCells>
  <conditionalFormatting sqref="B5:D6 B205:D1048576 B2 B12:B204 D35:D204">
    <cfRule type="cellIs" dxfId="1015"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F0"/>
    <pageSetUpPr fitToPage="1"/>
  </sheetPr>
  <dimension ref="B3:N1010"/>
  <sheetViews>
    <sheetView showZeros="0" view="pageBreakPreview" zoomScale="90" zoomScaleNormal="100" zoomScaleSheetLayoutView="90" workbookViewId="0">
      <pane ySplit="8" topLeftCell="A67" activePane="bottomLeft" state="frozen"/>
      <selection activeCell="K22" sqref="K22"/>
      <selection pane="bottomLeft"/>
    </sheetView>
  </sheetViews>
  <sheetFormatPr defaultColWidth="9.109375" defaultRowHeight="13.2" x14ac:dyDescent="0.25"/>
  <cols>
    <col min="1" max="1" width="4.33203125" style="5" customWidth="1"/>
    <col min="2" max="2" width="5.6640625" style="10" customWidth="1"/>
    <col min="3" max="3" width="8.6640625" style="11" customWidth="1"/>
    <col min="4" max="4" width="40.6640625" style="9" customWidth="1"/>
    <col min="5" max="5" width="9.6640625" style="10" customWidth="1"/>
    <col min="6" max="6" width="6.6640625" style="10" customWidth="1"/>
    <col min="7" max="8" width="15.6640625" style="5" customWidth="1"/>
    <col min="9" max="10" width="0.88671875" style="5" customWidth="1"/>
    <col min="11" max="16384" width="9.109375" style="5"/>
  </cols>
  <sheetData>
    <row r="3" spans="2:14" x14ac:dyDescent="0.25">
      <c r="C3" s="150" t="str">
        <f>'2. BQ Normal'!D2</f>
        <v>SUPPLY, INSTALLATION, TESTING AND COMMISSIONING OF STREET LIGHTINGS AT SG LANGAT DAM</v>
      </c>
      <c r="D3" s="150"/>
      <c r="E3" s="150"/>
      <c r="F3" s="150"/>
      <c r="G3" s="150"/>
      <c r="H3" s="150"/>
    </row>
    <row r="4" spans="2:14" x14ac:dyDescent="0.25">
      <c r="C4" s="150"/>
      <c r="D4" s="150"/>
      <c r="E4" s="150"/>
      <c r="F4" s="150"/>
      <c r="G4" s="150"/>
      <c r="H4" s="150"/>
    </row>
    <row r="5" spans="2:14" x14ac:dyDescent="0.25">
      <c r="C5" s="150"/>
      <c r="D5" s="150"/>
      <c r="E5" s="150"/>
      <c r="F5" s="150"/>
      <c r="G5" s="150"/>
      <c r="H5" s="150"/>
    </row>
    <row r="6" spans="2:14" x14ac:dyDescent="0.25">
      <c r="C6" s="150"/>
      <c r="D6" s="150"/>
      <c r="E6" s="150"/>
      <c r="F6" s="150"/>
      <c r="G6" s="150"/>
      <c r="H6" s="150"/>
      <c r="N6" s="5" t="s">
        <v>136</v>
      </c>
    </row>
    <row r="7" spans="2:14" ht="13.8" x14ac:dyDescent="0.25">
      <c r="C7" s="56"/>
      <c r="D7" s="56"/>
      <c r="E7" s="151" t="s">
        <v>135</v>
      </c>
      <c r="F7" s="151"/>
      <c r="G7" s="151"/>
      <c r="H7" s="151"/>
    </row>
    <row r="8" spans="2:14" s="46" customFormat="1" ht="13.8" x14ac:dyDescent="0.25">
      <c r="B8" s="113" t="s">
        <v>10</v>
      </c>
      <c r="C8" s="113" t="s">
        <v>7</v>
      </c>
      <c r="D8" s="113" t="s">
        <v>0</v>
      </c>
      <c r="E8" s="113" t="s">
        <v>1</v>
      </c>
      <c r="F8" s="46" t="s">
        <v>13</v>
      </c>
      <c r="G8" s="46" t="s">
        <v>14</v>
      </c>
      <c r="H8" s="46" t="s">
        <v>15</v>
      </c>
    </row>
    <row r="9" spans="2:14" ht="13.8" x14ac:dyDescent="0.25">
      <c r="B9" s="10">
        <v>1</v>
      </c>
      <c r="C9" s="52" t="s">
        <v>8</v>
      </c>
      <c r="D9" s="59" t="s">
        <v>135</v>
      </c>
      <c r="E9" s="53" t="s">
        <v>8</v>
      </c>
      <c r="F9" s="156"/>
      <c r="G9" s="54"/>
      <c r="H9" s="54"/>
    </row>
    <row r="10" spans="2:14" ht="13.8" x14ac:dyDescent="0.25">
      <c r="B10"/>
      <c r="C10"/>
      <c r="D10"/>
      <c r="E10"/>
      <c r="F10" s="156"/>
      <c r="G10" s="54"/>
      <c r="H10" s="54"/>
    </row>
    <row r="11" spans="2:14" ht="13.8" x14ac:dyDescent="0.25">
      <c r="B11" s="10">
        <v>2</v>
      </c>
      <c r="C11" s="52" t="s">
        <v>8</v>
      </c>
      <c r="D11" s="50" t="s">
        <v>41</v>
      </c>
      <c r="E11" s="53" t="s">
        <v>8</v>
      </c>
      <c r="F11" s="156"/>
      <c r="G11" s="54"/>
      <c r="H11" s="54">
        <v>0</v>
      </c>
    </row>
    <row r="12" spans="2:14" ht="13.8" x14ac:dyDescent="0.25">
      <c r="B12"/>
      <c r="C12"/>
      <c r="D12"/>
      <c r="E12"/>
      <c r="F12" s="156"/>
      <c r="G12" s="54"/>
      <c r="H12" s="54"/>
    </row>
    <row r="13" spans="2:14" ht="41.4" x14ac:dyDescent="0.25">
      <c r="B13" s="10">
        <v>3</v>
      </c>
      <c r="C13" s="52" t="s">
        <v>44</v>
      </c>
      <c r="D13" s="51" t="s">
        <v>45</v>
      </c>
      <c r="E13" s="53" t="s">
        <v>19</v>
      </c>
      <c r="F13" s="156"/>
      <c r="G13" s="54"/>
      <c r="H13" s="54">
        <v>0</v>
      </c>
    </row>
    <row r="14" spans="2:14" ht="13.8" x14ac:dyDescent="0.25">
      <c r="B14"/>
      <c r="C14"/>
      <c r="D14"/>
      <c r="E14"/>
      <c r="F14" s="156"/>
      <c r="G14" s="54"/>
      <c r="H14" s="54"/>
    </row>
    <row r="15" spans="2:14" ht="13.8" x14ac:dyDescent="0.25">
      <c r="B15" s="10">
        <v>4</v>
      </c>
      <c r="C15" s="52" t="s">
        <v>8</v>
      </c>
      <c r="D15" s="57" t="s">
        <v>46</v>
      </c>
      <c r="E15" s="53" t="s">
        <v>8</v>
      </c>
      <c r="F15" s="156"/>
      <c r="G15" s="54"/>
      <c r="H15" s="54">
        <v>0</v>
      </c>
    </row>
    <row r="16" spans="2:14" ht="13.8" x14ac:dyDescent="0.25">
      <c r="B16"/>
      <c r="C16"/>
      <c r="D16"/>
      <c r="E16"/>
      <c r="F16" s="156"/>
      <c r="G16" s="54"/>
      <c r="H16" s="54"/>
    </row>
    <row r="17" spans="2:8" ht="82.8" x14ac:dyDescent="0.25">
      <c r="B17" s="10">
        <v>5</v>
      </c>
      <c r="C17" s="52" t="s">
        <v>47</v>
      </c>
      <c r="D17" s="51" t="s">
        <v>48</v>
      </c>
      <c r="E17" s="53" t="s">
        <v>19</v>
      </c>
      <c r="F17" s="156"/>
      <c r="G17" s="54"/>
      <c r="H17" s="54">
        <v>0</v>
      </c>
    </row>
    <row r="18" spans="2:8" ht="13.8" x14ac:dyDescent="0.25">
      <c r="B18"/>
      <c r="C18"/>
      <c r="D18"/>
      <c r="E18"/>
      <c r="F18" s="156"/>
      <c r="G18" s="54"/>
      <c r="H18" s="54"/>
    </row>
    <row r="19" spans="2:8" ht="69" x14ac:dyDescent="0.25">
      <c r="B19" s="10">
        <v>6</v>
      </c>
      <c r="C19" s="52" t="s">
        <v>49</v>
      </c>
      <c r="D19" s="51" t="s">
        <v>50</v>
      </c>
      <c r="E19" s="53" t="s">
        <v>19</v>
      </c>
      <c r="F19" s="156"/>
      <c r="G19" s="54"/>
      <c r="H19" s="54">
        <v>0</v>
      </c>
    </row>
    <row r="20" spans="2:8" ht="13.8" x14ac:dyDescent="0.25">
      <c r="B20"/>
      <c r="C20"/>
      <c r="D20"/>
      <c r="E20"/>
      <c r="F20" s="156"/>
      <c r="G20" s="54"/>
      <c r="H20" s="54"/>
    </row>
    <row r="21" spans="2:8" ht="13.8" x14ac:dyDescent="0.25">
      <c r="B21" s="10">
        <v>7</v>
      </c>
      <c r="C21" s="52" t="s">
        <v>8</v>
      </c>
      <c r="D21" s="57" t="s">
        <v>51</v>
      </c>
      <c r="E21" s="53" t="s">
        <v>8</v>
      </c>
      <c r="F21" s="156"/>
      <c r="G21" s="54"/>
      <c r="H21" s="54">
        <v>0</v>
      </c>
    </row>
    <row r="22" spans="2:8" ht="13.8" x14ac:dyDescent="0.25">
      <c r="B22"/>
      <c r="C22"/>
      <c r="D22"/>
      <c r="E22"/>
      <c r="F22" s="156"/>
      <c r="G22" s="54"/>
      <c r="H22" s="54"/>
    </row>
    <row r="23" spans="2:8" ht="27.6" x14ac:dyDescent="0.25">
      <c r="B23" s="10">
        <v>8</v>
      </c>
      <c r="C23" s="52" t="s">
        <v>52</v>
      </c>
      <c r="D23" s="51" t="s">
        <v>53</v>
      </c>
      <c r="E23" s="53" t="s">
        <v>19</v>
      </c>
      <c r="F23" s="156"/>
      <c r="G23" s="54"/>
      <c r="H23" s="54">
        <v>0</v>
      </c>
    </row>
    <row r="24" spans="2:8" ht="13.8" x14ac:dyDescent="0.25">
      <c r="B24"/>
      <c r="C24"/>
      <c r="D24"/>
      <c r="E24"/>
      <c r="F24" s="156"/>
      <c r="G24" s="54"/>
      <c r="H24" s="54"/>
    </row>
    <row r="25" spans="2:8" ht="13.8" x14ac:dyDescent="0.25">
      <c r="B25" s="10">
        <v>9</v>
      </c>
      <c r="C25" s="52" t="s">
        <v>8</v>
      </c>
      <c r="D25" s="50" t="s">
        <v>54</v>
      </c>
      <c r="E25" s="53" t="s">
        <v>8</v>
      </c>
      <c r="F25" s="156"/>
      <c r="G25" s="54"/>
      <c r="H25" s="54">
        <v>0</v>
      </c>
    </row>
    <row r="26" spans="2:8" ht="13.8" x14ac:dyDescent="0.25">
      <c r="B26"/>
      <c r="C26"/>
      <c r="D26"/>
      <c r="E26"/>
      <c r="F26" s="156"/>
      <c r="G26" s="54"/>
      <c r="H26" s="54"/>
    </row>
    <row r="27" spans="2:8" ht="13.8" x14ac:dyDescent="0.25">
      <c r="B27" s="10">
        <v>10</v>
      </c>
      <c r="C27" s="52" t="s">
        <v>55</v>
      </c>
      <c r="D27" s="51" t="s">
        <v>56</v>
      </c>
      <c r="E27" s="53" t="s">
        <v>19</v>
      </c>
      <c r="F27" s="156"/>
      <c r="G27" s="54"/>
      <c r="H27" s="54">
        <v>0</v>
      </c>
    </row>
    <row r="28" spans="2:8" ht="13.8" x14ac:dyDescent="0.25">
      <c r="B28"/>
      <c r="C28"/>
      <c r="D28"/>
      <c r="E28"/>
      <c r="F28" s="156"/>
      <c r="G28" s="54"/>
      <c r="H28" s="54"/>
    </row>
    <row r="29" spans="2:8" ht="13.8" x14ac:dyDescent="0.25">
      <c r="B29" s="10">
        <v>11</v>
      </c>
      <c r="C29" s="52" t="s">
        <v>8</v>
      </c>
      <c r="D29" s="57" t="s">
        <v>57</v>
      </c>
      <c r="E29" s="53" t="s">
        <v>8</v>
      </c>
      <c r="F29" s="156"/>
      <c r="G29" s="54"/>
      <c r="H29" s="54">
        <v>0</v>
      </c>
    </row>
    <row r="30" spans="2:8" ht="13.8" x14ac:dyDescent="0.25">
      <c r="B30"/>
      <c r="C30"/>
      <c r="D30"/>
      <c r="E30"/>
      <c r="F30" s="156"/>
      <c r="G30" s="54"/>
      <c r="H30" s="54"/>
    </row>
    <row r="31" spans="2:8" ht="41.4" x14ac:dyDescent="0.25">
      <c r="B31" s="10">
        <v>12</v>
      </c>
      <c r="C31" s="52" t="s">
        <v>58</v>
      </c>
      <c r="D31" s="51" t="s">
        <v>184</v>
      </c>
      <c r="E31" s="53" t="s">
        <v>19</v>
      </c>
      <c r="F31" s="156"/>
      <c r="G31" s="54"/>
      <c r="H31" s="54">
        <v>0</v>
      </c>
    </row>
    <row r="32" spans="2:8" ht="13.8" x14ac:dyDescent="0.25">
      <c r="B32"/>
      <c r="C32"/>
      <c r="D32"/>
      <c r="E32"/>
      <c r="F32" s="156"/>
      <c r="G32" s="54"/>
      <c r="H32" s="54"/>
    </row>
    <row r="33" spans="2:8" ht="13.8" x14ac:dyDescent="0.25">
      <c r="B33" s="10">
        <v>13</v>
      </c>
      <c r="C33" s="52" t="s">
        <v>8</v>
      </c>
      <c r="D33" s="50" t="s">
        <v>62</v>
      </c>
      <c r="E33" s="53" t="s">
        <v>8</v>
      </c>
      <c r="F33" s="156"/>
      <c r="G33" s="54"/>
      <c r="H33" s="54">
        <v>0</v>
      </c>
    </row>
    <row r="34" spans="2:8" ht="13.8" x14ac:dyDescent="0.25">
      <c r="B34"/>
      <c r="C34"/>
      <c r="D34"/>
      <c r="E34"/>
      <c r="F34" s="156"/>
      <c r="G34" s="54"/>
      <c r="H34" s="54"/>
    </row>
    <row r="35" spans="2:8" ht="110.4" x14ac:dyDescent="0.25">
      <c r="B35" s="10">
        <v>14</v>
      </c>
      <c r="C35" s="52" t="s">
        <v>59</v>
      </c>
      <c r="D35" s="51" t="s">
        <v>64</v>
      </c>
      <c r="E35" s="53" t="s">
        <v>19</v>
      </c>
      <c r="F35" s="156"/>
      <c r="G35" s="54"/>
      <c r="H35" s="54">
        <v>0</v>
      </c>
    </row>
    <row r="36" spans="2:8" ht="13.8" x14ac:dyDescent="0.25">
      <c r="B36"/>
      <c r="C36"/>
      <c r="D36"/>
      <c r="E36"/>
      <c r="F36" s="156"/>
      <c r="G36" s="54"/>
      <c r="H36" s="54"/>
    </row>
    <row r="37" spans="2:8" ht="69" x14ac:dyDescent="0.25">
      <c r="B37" s="10">
        <v>15</v>
      </c>
      <c r="C37" s="52" t="s">
        <v>60</v>
      </c>
      <c r="D37" s="51" t="s">
        <v>66</v>
      </c>
      <c r="E37" s="53" t="s">
        <v>19</v>
      </c>
      <c r="F37" s="156"/>
      <c r="G37" s="54"/>
      <c r="H37" s="54">
        <v>0</v>
      </c>
    </row>
    <row r="38" spans="2:8" ht="13.8" x14ac:dyDescent="0.25">
      <c r="B38"/>
      <c r="C38"/>
      <c r="D38"/>
      <c r="E38"/>
      <c r="F38" s="156"/>
      <c r="G38" s="54"/>
      <c r="H38" s="54"/>
    </row>
    <row r="39" spans="2:8" ht="13.8" x14ac:dyDescent="0.25">
      <c r="B39" s="10">
        <v>16</v>
      </c>
      <c r="C39" s="52" t="s">
        <v>8</v>
      </c>
      <c r="D39" s="50" t="s">
        <v>67</v>
      </c>
      <c r="E39" s="53" t="s">
        <v>8</v>
      </c>
      <c r="F39" s="156"/>
      <c r="G39" s="54"/>
      <c r="H39" s="54">
        <v>0</v>
      </c>
    </row>
    <row r="40" spans="2:8" ht="13.8" x14ac:dyDescent="0.25">
      <c r="B40"/>
      <c r="C40"/>
      <c r="D40"/>
      <c r="E40"/>
      <c r="F40" s="156"/>
      <c r="G40" s="54"/>
      <c r="H40" s="54"/>
    </row>
    <row r="41" spans="2:8" ht="55.2" x14ac:dyDescent="0.25">
      <c r="B41" s="10">
        <v>17</v>
      </c>
      <c r="C41" s="52" t="s">
        <v>61</v>
      </c>
      <c r="D41" s="51" t="s">
        <v>187</v>
      </c>
      <c r="E41" s="53" t="s">
        <v>19</v>
      </c>
      <c r="F41" s="156"/>
      <c r="G41" s="54"/>
      <c r="H41" s="54">
        <v>0</v>
      </c>
    </row>
    <row r="42" spans="2:8" ht="13.8" x14ac:dyDescent="0.25">
      <c r="B42"/>
      <c r="C42"/>
      <c r="D42"/>
      <c r="E42"/>
      <c r="F42" s="156"/>
      <c r="G42" s="54"/>
      <c r="H42" s="54"/>
    </row>
    <row r="43" spans="2:8" ht="13.8" x14ac:dyDescent="0.25">
      <c r="B43" s="10">
        <v>18</v>
      </c>
      <c r="C43" s="52" t="s">
        <v>8</v>
      </c>
      <c r="D43" s="50" t="s">
        <v>69</v>
      </c>
      <c r="E43" s="53" t="s">
        <v>8</v>
      </c>
      <c r="F43" s="156"/>
      <c r="G43" s="54"/>
      <c r="H43" s="54">
        <v>0</v>
      </c>
    </row>
    <row r="44" spans="2:8" ht="13.8" x14ac:dyDescent="0.25">
      <c r="B44"/>
      <c r="C44"/>
      <c r="D44"/>
      <c r="E44"/>
      <c r="F44" s="156"/>
      <c r="G44" s="54"/>
      <c r="H44" s="54"/>
    </row>
    <row r="45" spans="2:8" ht="69" x14ac:dyDescent="0.25">
      <c r="B45" s="10">
        <v>19</v>
      </c>
      <c r="C45" s="52" t="s">
        <v>63</v>
      </c>
      <c r="D45" s="51" t="s">
        <v>71</v>
      </c>
      <c r="E45" s="53" t="s">
        <v>19</v>
      </c>
      <c r="F45" s="156"/>
      <c r="G45" s="54"/>
      <c r="H45" s="54">
        <v>0</v>
      </c>
    </row>
    <row r="46" spans="2:8" ht="13.8" x14ac:dyDescent="0.25">
      <c r="B46"/>
      <c r="C46"/>
      <c r="D46"/>
      <c r="E46"/>
      <c r="F46" s="156"/>
      <c r="G46" s="54"/>
      <c r="H46" s="54"/>
    </row>
    <row r="47" spans="2:8" ht="69" x14ac:dyDescent="0.25">
      <c r="B47" s="10">
        <v>20</v>
      </c>
      <c r="C47" s="52" t="s">
        <v>65</v>
      </c>
      <c r="D47" s="51" t="s">
        <v>73</v>
      </c>
      <c r="E47" s="53" t="s">
        <v>19</v>
      </c>
      <c r="F47" s="156"/>
      <c r="G47" s="54"/>
      <c r="H47" s="54">
        <v>0</v>
      </c>
    </row>
    <row r="48" spans="2:8" ht="13.8" x14ac:dyDescent="0.25">
      <c r="B48"/>
      <c r="C48"/>
      <c r="D48"/>
      <c r="E48"/>
      <c r="F48" s="156"/>
      <c r="G48" s="54"/>
      <c r="H48" s="54"/>
    </row>
    <row r="49" spans="2:8" ht="110.4" x14ac:dyDescent="0.25">
      <c r="B49" s="10">
        <v>21</v>
      </c>
      <c r="C49" s="52" t="s">
        <v>68</v>
      </c>
      <c r="D49" s="51" t="s">
        <v>75</v>
      </c>
      <c r="E49" s="53" t="s">
        <v>19</v>
      </c>
      <c r="F49" s="156"/>
      <c r="G49" s="54"/>
      <c r="H49" s="54">
        <v>0</v>
      </c>
    </row>
    <row r="50" spans="2:8" ht="13.8" x14ac:dyDescent="0.25">
      <c r="B50"/>
      <c r="C50"/>
      <c r="D50"/>
      <c r="E50"/>
      <c r="F50" s="156"/>
      <c r="G50" s="54"/>
      <c r="H50" s="54"/>
    </row>
    <row r="51" spans="2:8" ht="55.2" x14ac:dyDescent="0.25">
      <c r="B51" s="10">
        <v>22</v>
      </c>
      <c r="C51" s="52" t="s">
        <v>70</v>
      </c>
      <c r="D51" s="51" t="s">
        <v>271</v>
      </c>
      <c r="E51" s="53" t="s">
        <v>19</v>
      </c>
      <c r="F51" s="156"/>
      <c r="G51" s="54"/>
      <c r="H51" s="54">
        <v>0</v>
      </c>
    </row>
    <row r="52" spans="2:8" ht="13.8" x14ac:dyDescent="0.25">
      <c r="B52"/>
      <c r="C52"/>
      <c r="D52"/>
      <c r="E52"/>
      <c r="F52" s="156"/>
      <c r="G52" s="54"/>
      <c r="H52" s="54"/>
    </row>
    <row r="53" spans="2:8" ht="41.4" x14ac:dyDescent="0.25">
      <c r="B53" s="10">
        <v>23</v>
      </c>
      <c r="C53" s="52" t="s">
        <v>72</v>
      </c>
      <c r="D53" s="51" t="s">
        <v>272</v>
      </c>
      <c r="E53" s="53" t="s">
        <v>19</v>
      </c>
      <c r="F53" s="156"/>
      <c r="G53" s="54"/>
      <c r="H53" s="54">
        <v>0</v>
      </c>
    </row>
    <row r="54" spans="2:8" ht="13.8" x14ac:dyDescent="0.25">
      <c r="B54"/>
      <c r="C54"/>
      <c r="D54"/>
      <c r="E54"/>
      <c r="F54" s="156"/>
      <c r="G54" s="54"/>
      <c r="H54" s="54"/>
    </row>
    <row r="55" spans="2:8" ht="13.8" x14ac:dyDescent="0.25">
      <c r="B55" s="10">
        <v>24</v>
      </c>
      <c r="C55" s="52" t="s">
        <v>8</v>
      </c>
      <c r="D55" s="50" t="s">
        <v>76</v>
      </c>
      <c r="E55" s="53" t="s">
        <v>8</v>
      </c>
      <c r="F55" s="156"/>
      <c r="G55" s="54"/>
      <c r="H55" s="54">
        <v>0</v>
      </c>
    </row>
    <row r="56" spans="2:8" ht="13.8" x14ac:dyDescent="0.25">
      <c r="B56"/>
      <c r="C56"/>
      <c r="D56"/>
      <c r="E56"/>
      <c r="F56" s="156"/>
      <c r="G56" s="54"/>
      <c r="H56" s="54"/>
    </row>
    <row r="57" spans="2:8" ht="41.4" x14ac:dyDescent="0.25">
      <c r="B57" s="10">
        <v>25</v>
      </c>
      <c r="C57" s="52" t="s">
        <v>74</v>
      </c>
      <c r="D57" s="51" t="s">
        <v>78</v>
      </c>
      <c r="E57" s="53" t="s">
        <v>19</v>
      </c>
      <c r="F57" s="156"/>
      <c r="G57" s="54"/>
      <c r="H57" s="54">
        <v>0</v>
      </c>
    </row>
    <row r="58" spans="2:8" ht="13.8" x14ac:dyDescent="0.25">
      <c r="B58"/>
      <c r="C58"/>
      <c r="D58"/>
      <c r="E58"/>
      <c r="F58" s="156"/>
      <c r="G58" s="54"/>
      <c r="H58" s="54"/>
    </row>
    <row r="59" spans="2:8" ht="27.6" x14ac:dyDescent="0.25">
      <c r="B59" s="10">
        <v>26</v>
      </c>
      <c r="C59" s="52" t="s">
        <v>8</v>
      </c>
      <c r="D59" s="50" t="s">
        <v>79</v>
      </c>
      <c r="E59" s="53" t="s">
        <v>8</v>
      </c>
      <c r="F59" s="156"/>
      <c r="G59" s="54"/>
      <c r="H59" s="54">
        <v>0</v>
      </c>
    </row>
    <row r="60" spans="2:8" ht="13.8" x14ac:dyDescent="0.25">
      <c r="B60"/>
      <c r="C60"/>
      <c r="D60"/>
      <c r="E60"/>
      <c r="F60" s="156"/>
      <c r="G60" s="54"/>
      <c r="H60" s="54"/>
    </row>
    <row r="61" spans="2:8" ht="124.2" x14ac:dyDescent="0.25">
      <c r="B61" s="10">
        <v>27</v>
      </c>
      <c r="C61" s="52" t="s">
        <v>77</v>
      </c>
      <c r="D61" s="51" t="s">
        <v>81</v>
      </c>
      <c r="E61" s="53" t="s">
        <v>19</v>
      </c>
      <c r="F61" s="156"/>
      <c r="G61" s="54"/>
      <c r="H61" s="54">
        <v>0</v>
      </c>
    </row>
    <row r="62" spans="2:8" ht="13.8" x14ac:dyDescent="0.25">
      <c r="B62"/>
      <c r="C62"/>
      <c r="D62"/>
      <c r="E62"/>
      <c r="F62" s="156"/>
      <c r="G62" s="54"/>
      <c r="H62" s="54"/>
    </row>
    <row r="63" spans="2:8" ht="179.4" x14ac:dyDescent="0.25">
      <c r="B63" s="10">
        <v>28</v>
      </c>
      <c r="C63" s="52" t="s">
        <v>80</v>
      </c>
      <c r="D63" s="51" t="s">
        <v>261</v>
      </c>
      <c r="E63" s="53" t="s">
        <v>19</v>
      </c>
      <c r="F63" s="156"/>
      <c r="G63" s="54"/>
      <c r="H63" s="54">
        <v>0</v>
      </c>
    </row>
    <row r="64" spans="2:8" ht="13.8" x14ac:dyDescent="0.25">
      <c r="B64"/>
      <c r="C64"/>
      <c r="D64"/>
      <c r="E64"/>
      <c r="F64" s="156"/>
      <c r="G64" s="54"/>
      <c r="H64" s="54"/>
    </row>
    <row r="65" spans="2:8" ht="110.4" x14ac:dyDescent="0.25">
      <c r="B65" s="10">
        <v>29</v>
      </c>
      <c r="C65" s="52" t="s">
        <v>82</v>
      </c>
      <c r="D65" s="51" t="s">
        <v>86</v>
      </c>
      <c r="E65" s="53" t="s">
        <v>19</v>
      </c>
      <c r="F65" s="156"/>
      <c r="G65" s="54"/>
      <c r="H65" s="54">
        <v>0</v>
      </c>
    </row>
    <row r="66" spans="2:8" ht="13.8" x14ac:dyDescent="0.25">
      <c r="B66"/>
      <c r="C66"/>
      <c r="D66"/>
      <c r="E66"/>
      <c r="F66" s="156"/>
      <c r="G66" s="54"/>
      <c r="H66" s="54"/>
    </row>
    <row r="67" spans="2:8" ht="151.80000000000001" x14ac:dyDescent="0.25">
      <c r="B67" s="10">
        <v>30</v>
      </c>
      <c r="C67" s="52" t="s">
        <v>83</v>
      </c>
      <c r="D67" s="51" t="s">
        <v>88</v>
      </c>
      <c r="E67" s="53" t="s">
        <v>19</v>
      </c>
      <c r="F67" s="156"/>
      <c r="G67" s="54"/>
      <c r="H67" s="54">
        <v>0</v>
      </c>
    </row>
    <row r="68" spans="2:8" ht="13.8" x14ac:dyDescent="0.25">
      <c r="B68"/>
      <c r="C68"/>
      <c r="D68"/>
      <c r="E68"/>
      <c r="F68" s="156"/>
      <c r="G68" s="54"/>
      <c r="H68" s="54"/>
    </row>
    <row r="69" spans="2:8" ht="27.6" x14ac:dyDescent="0.25">
      <c r="B69" s="10">
        <v>31</v>
      </c>
      <c r="C69" s="52" t="s">
        <v>8</v>
      </c>
      <c r="D69" s="50" t="s">
        <v>89</v>
      </c>
      <c r="E69" s="53" t="s">
        <v>8</v>
      </c>
      <c r="F69" s="156"/>
      <c r="G69" s="54"/>
      <c r="H69" s="54">
        <v>0</v>
      </c>
    </row>
    <row r="70" spans="2:8" ht="13.8" x14ac:dyDescent="0.25">
      <c r="B70"/>
      <c r="C70"/>
      <c r="D70"/>
      <c r="E70"/>
      <c r="F70" s="156"/>
      <c r="G70" s="54"/>
      <c r="H70" s="54"/>
    </row>
    <row r="71" spans="2:8" ht="138" x14ac:dyDescent="0.25">
      <c r="B71" s="10">
        <v>32</v>
      </c>
      <c r="C71" s="52" t="s">
        <v>84</v>
      </c>
      <c r="D71" s="51" t="s">
        <v>91</v>
      </c>
      <c r="E71" s="53" t="s">
        <v>19</v>
      </c>
      <c r="F71" s="156"/>
      <c r="G71" s="54"/>
      <c r="H71" s="54">
        <v>0</v>
      </c>
    </row>
    <row r="72" spans="2:8" ht="13.8" x14ac:dyDescent="0.25">
      <c r="B72"/>
      <c r="C72"/>
      <c r="D72"/>
      <c r="E72"/>
      <c r="F72" s="156"/>
      <c r="G72" s="54"/>
      <c r="H72" s="54"/>
    </row>
    <row r="73" spans="2:8" ht="69" x14ac:dyDescent="0.25">
      <c r="B73" s="10">
        <v>33</v>
      </c>
      <c r="C73" s="52" t="s">
        <v>85</v>
      </c>
      <c r="D73" s="51" t="s">
        <v>93</v>
      </c>
      <c r="E73" s="53" t="s">
        <v>19</v>
      </c>
      <c r="F73" s="156"/>
      <c r="G73" s="54"/>
      <c r="H73" s="54">
        <v>0</v>
      </c>
    </row>
    <row r="74" spans="2:8" ht="13.8" x14ac:dyDescent="0.25">
      <c r="B74"/>
      <c r="C74"/>
      <c r="D74"/>
      <c r="E74"/>
      <c r="F74" s="156"/>
      <c r="G74" s="54"/>
      <c r="H74" s="54"/>
    </row>
    <row r="75" spans="2:8" ht="151.80000000000001" x14ac:dyDescent="0.25">
      <c r="B75" s="10">
        <v>34</v>
      </c>
      <c r="C75" s="52" t="s">
        <v>87</v>
      </c>
      <c r="D75" s="51" t="s">
        <v>95</v>
      </c>
      <c r="E75" s="53" t="s">
        <v>19</v>
      </c>
      <c r="F75" s="156"/>
      <c r="G75" s="54"/>
      <c r="H75" s="54">
        <v>0</v>
      </c>
    </row>
    <row r="76" spans="2:8" ht="13.8" x14ac:dyDescent="0.25">
      <c r="B76"/>
      <c r="C76"/>
      <c r="D76"/>
      <c r="E76"/>
      <c r="F76" s="156"/>
      <c r="G76" s="54"/>
      <c r="H76" s="54"/>
    </row>
    <row r="77" spans="2:8" ht="55.2" x14ac:dyDescent="0.25">
      <c r="B77" s="10">
        <v>35</v>
      </c>
      <c r="C77" s="52" t="s">
        <v>90</v>
      </c>
      <c r="D77" s="51" t="s">
        <v>282</v>
      </c>
      <c r="E77" s="53" t="s">
        <v>19</v>
      </c>
      <c r="F77" s="156"/>
      <c r="G77" s="54"/>
      <c r="H77" s="54">
        <v>0</v>
      </c>
    </row>
    <row r="78" spans="2:8" ht="13.8" x14ac:dyDescent="0.25">
      <c r="B78"/>
      <c r="C78"/>
      <c r="D78"/>
      <c r="E78"/>
      <c r="F78" s="156"/>
      <c r="G78" s="54"/>
      <c r="H78" s="54"/>
    </row>
    <row r="79" spans="2:8" ht="69" x14ac:dyDescent="0.25">
      <c r="B79" s="10">
        <v>36</v>
      </c>
      <c r="C79" s="52" t="s">
        <v>92</v>
      </c>
      <c r="D79" s="51" t="s">
        <v>98</v>
      </c>
      <c r="E79" s="53" t="s">
        <v>19</v>
      </c>
      <c r="F79" s="156"/>
      <c r="G79" s="54"/>
      <c r="H79" s="54">
        <v>0</v>
      </c>
    </row>
    <row r="80" spans="2:8" ht="13.8" x14ac:dyDescent="0.25">
      <c r="B80"/>
      <c r="C80"/>
      <c r="D80"/>
      <c r="E80"/>
      <c r="F80" s="156"/>
      <c r="G80" s="54"/>
      <c r="H80" s="54"/>
    </row>
    <row r="81" spans="2:8" ht="13.8" x14ac:dyDescent="0.25">
      <c r="B81" s="10">
        <v>37</v>
      </c>
      <c r="C81" s="52" t="s">
        <v>8</v>
      </c>
      <c r="D81" s="50" t="s">
        <v>99</v>
      </c>
      <c r="E81" s="53" t="s">
        <v>8</v>
      </c>
      <c r="F81" s="156"/>
      <c r="G81" s="54"/>
      <c r="H81" s="54">
        <v>0</v>
      </c>
    </row>
    <row r="82" spans="2:8" ht="13.8" x14ac:dyDescent="0.25">
      <c r="B82"/>
      <c r="C82"/>
      <c r="D82"/>
      <c r="E82"/>
      <c r="F82" s="156"/>
      <c r="G82" s="54"/>
      <c r="H82" s="54"/>
    </row>
    <row r="83" spans="2:8" ht="41.4" x14ac:dyDescent="0.25">
      <c r="B83" s="10">
        <v>38</v>
      </c>
      <c r="C83" s="52" t="s">
        <v>8</v>
      </c>
      <c r="D83" s="51" t="s">
        <v>134</v>
      </c>
      <c r="E83"/>
      <c r="F83" s="156"/>
      <c r="G83" s="54"/>
      <c r="H83" s="54">
        <v>0</v>
      </c>
    </row>
    <row r="84" spans="2:8" ht="13.8" x14ac:dyDescent="0.25">
      <c r="B84"/>
      <c r="C84"/>
      <c r="D84"/>
      <c r="E84"/>
      <c r="F84" s="156"/>
      <c r="G84" s="54"/>
      <c r="H84" s="54"/>
    </row>
    <row r="85" spans="2:8" ht="13.8" x14ac:dyDescent="0.25">
      <c r="B85" s="10">
        <v>39</v>
      </c>
      <c r="C85" s="52" t="s">
        <v>94</v>
      </c>
      <c r="D85" s="51" t="s">
        <v>102</v>
      </c>
      <c r="E85" s="53" t="s">
        <v>19</v>
      </c>
      <c r="F85" s="156"/>
      <c r="G85" s="54"/>
      <c r="H85" s="54">
        <v>0</v>
      </c>
    </row>
    <row r="86" spans="2:8" ht="13.8" x14ac:dyDescent="0.25">
      <c r="B86"/>
      <c r="C86"/>
      <c r="D86"/>
      <c r="E86"/>
      <c r="F86" s="156"/>
      <c r="G86" s="54"/>
      <c r="H86" s="54"/>
    </row>
    <row r="87" spans="2:8" ht="13.8" x14ac:dyDescent="0.25">
      <c r="B87" s="10">
        <v>40</v>
      </c>
      <c r="C87" s="52" t="s">
        <v>96</v>
      </c>
      <c r="D87" s="51" t="s">
        <v>104</v>
      </c>
      <c r="E87" s="53" t="s">
        <v>19</v>
      </c>
      <c r="F87" s="156"/>
      <c r="G87" s="54"/>
      <c r="H87" s="54">
        <v>0</v>
      </c>
    </row>
    <row r="88" spans="2:8" ht="13.8" x14ac:dyDescent="0.25">
      <c r="B88"/>
      <c r="C88"/>
      <c r="D88"/>
      <c r="E88"/>
      <c r="F88" s="156"/>
      <c r="G88" s="54"/>
      <c r="H88" s="54"/>
    </row>
    <row r="89" spans="2:8" ht="13.8" x14ac:dyDescent="0.25">
      <c r="B89" s="10">
        <v>41</v>
      </c>
      <c r="C89" s="52" t="s">
        <v>97</v>
      </c>
      <c r="D89" s="51" t="s">
        <v>106</v>
      </c>
      <c r="E89" s="53" t="s">
        <v>19</v>
      </c>
      <c r="F89" s="156"/>
      <c r="G89" s="54"/>
      <c r="H89" s="54">
        <v>0</v>
      </c>
    </row>
    <row r="90" spans="2:8" ht="13.8" x14ac:dyDescent="0.25">
      <c r="B90"/>
      <c r="C90"/>
      <c r="D90"/>
      <c r="E90"/>
      <c r="F90" s="156"/>
      <c r="G90" s="54"/>
      <c r="H90" s="54"/>
    </row>
    <row r="91" spans="2:8" ht="13.8" x14ac:dyDescent="0.25">
      <c r="B91" s="10">
        <v>42</v>
      </c>
      <c r="C91" s="52" t="s">
        <v>101</v>
      </c>
      <c r="D91" s="51" t="s">
        <v>273</v>
      </c>
      <c r="E91" s="53" t="s">
        <v>19</v>
      </c>
      <c r="F91" s="156"/>
      <c r="G91" s="54"/>
      <c r="H91" s="54">
        <v>0</v>
      </c>
    </row>
    <row r="92" spans="2:8" ht="13.8" x14ac:dyDescent="0.25">
      <c r="B92"/>
      <c r="C92"/>
      <c r="D92"/>
      <c r="E92"/>
      <c r="F92" s="156"/>
      <c r="G92" s="54"/>
      <c r="H92" s="54"/>
    </row>
    <row r="93" spans="2:8" ht="55.2" x14ac:dyDescent="0.25">
      <c r="B93" s="10">
        <v>43</v>
      </c>
      <c r="C93" s="52" t="s">
        <v>103</v>
      </c>
      <c r="D93" s="51" t="s">
        <v>275</v>
      </c>
      <c r="E93" s="53" t="s">
        <v>19</v>
      </c>
      <c r="F93" s="156"/>
      <c r="G93" s="54"/>
      <c r="H93" s="54">
        <v>0</v>
      </c>
    </row>
    <row r="94" spans="2:8" ht="13.8" x14ac:dyDescent="0.25">
      <c r="B94"/>
      <c r="C94"/>
      <c r="D94"/>
      <c r="E94"/>
      <c r="F94" s="156"/>
      <c r="G94" s="54"/>
      <c r="H94" s="54"/>
    </row>
    <row r="95" spans="2:8" ht="96.6" x14ac:dyDescent="0.25">
      <c r="B95" s="10">
        <v>44</v>
      </c>
      <c r="C95" s="52" t="s">
        <v>105</v>
      </c>
      <c r="D95" s="51" t="s">
        <v>277</v>
      </c>
      <c r="E95" s="53" t="s">
        <v>19</v>
      </c>
      <c r="F95" s="156"/>
      <c r="G95" s="54"/>
      <c r="H95" s="54">
        <v>0</v>
      </c>
    </row>
    <row r="96" spans="2:8" ht="13.8" x14ac:dyDescent="0.25">
      <c r="B96"/>
      <c r="C96"/>
      <c r="D96"/>
      <c r="E96"/>
      <c r="F96" s="156"/>
      <c r="G96" s="54"/>
      <c r="H96" s="54"/>
    </row>
    <row r="97" spans="2:8" ht="82.8" x14ac:dyDescent="0.25">
      <c r="B97" s="10">
        <v>45</v>
      </c>
      <c r="C97" s="52" t="s">
        <v>107</v>
      </c>
      <c r="D97" s="51" t="s">
        <v>264</v>
      </c>
      <c r="E97" s="53" t="s">
        <v>19</v>
      </c>
      <c r="F97" s="156"/>
      <c r="G97" s="54"/>
      <c r="H97" s="54">
        <v>0</v>
      </c>
    </row>
    <row r="98" spans="2:8" ht="13.8" x14ac:dyDescent="0.25">
      <c r="B98"/>
      <c r="C98"/>
      <c r="D98"/>
      <c r="E98"/>
      <c r="F98" s="156"/>
      <c r="G98" s="54"/>
      <c r="H98" s="54"/>
    </row>
    <row r="99" spans="2:8" ht="13.8" x14ac:dyDescent="0.25">
      <c r="B99" s="10">
        <v>46</v>
      </c>
      <c r="C99" s="52" t="s">
        <v>8</v>
      </c>
      <c r="D99" s="50" t="s">
        <v>108</v>
      </c>
      <c r="E99" s="53" t="s">
        <v>8</v>
      </c>
      <c r="F99" s="156"/>
      <c r="G99" s="54"/>
      <c r="H99" s="54">
        <v>0</v>
      </c>
    </row>
    <row r="100" spans="2:8" ht="13.8" x14ac:dyDescent="0.25">
      <c r="B100"/>
      <c r="C100"/>
      <c r="D100"/>
      <c r="E100"/>
      <c r="F100" s="156"/>
      <c r="G100" s="54"/>
      <c r="H100" s="54"/>
    </row>
    <row r="101" spans="2:8" ht="27.6" x14ac:dyDescent="0.25">
      <c r="B101" s="10">
        <v>47</v>
      </c>
      <c r="C101" s="52" t="s">
        <v>279</v>
      </c>
      <c r="D101" s="51" t="s">
        <v>185</v>
      </c>
      <c r="E101" s="53" t="s">
        <v>19</v>
      </c>
      <c r="F101" s="156"/>
      <c r="G101" s="54"/>
      <c r="H101" s="54">
        <v>0</v>
      </c>
    </row>
    <row r="102" spans="2:8" ht="13.8" x14ac:dyDescent="0.25">
      <c r="B102"/>
      <c r="C102"/>
      <c r="D102"/>
      <c r="E102"/>
      <c r="F102" s="156"/>
      <c r="G102" s="54"/>
      <c r="H102" s="54"/>
    </row>
    <row r="103" spans="2:8" ht="13.8" x14ac:dyDescent="0.25">
      <c r="B103" s="10">
        <v>48</v>
      </c>
      <c r="C103" s="52" t="s">
        <v>8</v>
      </c>
      <c r="D103" s="50" t="s">
        <v>109</v>
      </c>
      <c r="E103"/>
      <c r="F103" s="156"/>
      <c r="G103" s="54"/>
      <c r="H103" s="54">
        <v>0</v>
      </c>
    </row>
    <row r="104" spans="2:8" ht="13.8" x14ac:dyDescent="0.25">
      <c r="B104"/>
      <c r="C104"/>
      <c r="D104"/>
      <c r="E104"/>
      <c r="F104" s="156"/>
      <c r="G104" s="54"/>
      <c r="H104" s="54"/>
    </row>
    <row r="105" spans="2:8" ht="55.2" x14ac:dyDescent="0.25">
      <c r="B105" s="10">
        <v>49</v>
      </c>
      <c r="C105" s="52" t="s">
        <v>274</v>
      </c>
      <c r="D105" s="51" t="s">
        <v>110</v>
      </c>
      <c r="E105" s="53" t="s">
        <v>19</v>
      </c>
      <c r="F105" s="156"/>
      <c r="G105" s="54"/>
      <c r="H105" s="54">
        <v>0</v>
      </c>
    </row>
    <row r="106" spans="2:8" ht="13.8" x14ac:dyDescent="0.25">
      <c r="B106"/>
      <c r="C106"/>
      <c r="D106"/>
      <c r="E106"/>
      <c r="F106" s="156"/>
      <c r="G106" s="54"/>
      <c r="H106" s="54"/>
    </row>
    <row r="107" spans="2:8" ht="55.2" x14ac:dyDescent="0.25">
      <c r="B107" s="10">
        <v>50</v>
      </c>
      <c r="C107" s="52" t="s">
        <v>276</v>
      </c>
      <c r="D107" s="51" t="s">
        <v>111</v>
      </c>
      <c r="E107" s="53" t="s">
        <v>19</v>
      </c>
      <c r="F107" s="156"/>
      <c r="G107" s="54"/>
      <c r="H107" s="54">
        <v>0</v>
      </c>
    </row>
    <row r="108" spans="2:8" ht="13.8" x14ac:dyDescent="0.25">
      <c r="B108"/>
      <c r="C108"/>
      <c r="D108"/>
      <c r="E108"/>
      <c r="F108" s="156"/>
      <c r="G108" s="54"/>
      <c r="H108" s="54"/>
    </row>
    <row r="109" spans="2:8" ht="55.2" x14ac:dyDescent="0.25">
      <c r="B109" s="10">
        <v>51</v>
      </c>
      <c r="C109" s="52" t="s">
        <v>278</v>
      </c>
      <c r="D109" s="51" t="s">
        <v>281</v>
      </c>
      <c r="E109" s="53" t="s">
        <v>19</v>
      </c>
      <c r="F109" s="156"/>
      <c r="G109" s="54"/>
      <c r="H109" s="54">
        <v>0</v>
      </c>
    </row>
    <row r="110" spans="2:8" ht="13.8" x14ac:dyDescent="0.25">
      <c r="B110"/>
      <c r="C110"/>
      <c r="D110"/>
      <c r="E110"/>
      <c r="F110" s="156"/>
      <c r="G110" s="54"/>
      <c r="H110" s="54"/>
    </row>
    <row r="111" spans="2:8" ht="13.8" x14ac:dyDescent="0.25">
      <c r="B111" s="10">
        <v>52</v>
      </c>
      <c r="C111" s="52" t="s">
        <v>8</v>
      </c>
      <c r="D111" s="50" t="s">
        <v>112</v>
      </c>
      <c r="E111" s="53" t="s">
        <v>8</v>
      </c>
      <c r="F111" s="156"/>
      <c r="G111" s="54"/>
      <c r="H111" s="54">
        <v>0</v>
      </c>
    </row>
    <row r="112" spans="2:8" ht="13.8" x14ac:dyDescent="0.25">
      <c r="B112"/>
      <c r="C112"/>
      <c r="D112"/>
      <c r="E112"/>
      <c r="F112" s="156"/>
      <c r="G112" s="54"/>
      <c r="H112" s="54"/>
    </row>
    <row r="113" spans="2:8" ht="55.2" x14ac:dyDescent="0.25">
      <c r="B113" s="10">
        <v>53</v>
      </c>
      <c r="C113" s="52" t="s">
        <v>280</v>
      </c>
      <c r="D113" s="51" t="s">
        <v>186</v>
      </c>
      <c r="E113" s="53" t="s">
        <v>19</v>
      </c>
      <c r="F113" s="156"/>
      <c r="G113" s="54"/>
      <c r="H113" s="54">
        <v>0</v>
      </c>
    </row>
    <row r="114" spans="2:8" ht="13.8" x14ac:dyDescent="0.25">
      <c r="B114"/>
      <c r="C114"/>
      <c r="D114"/>
      <c r="E114"/>
      <c r="F114" s="156"/>
      <c r="G114" s="54"/>
      <c r="H114" s="54"/>
    </row>
    <row r="115" spans="2:8" x14ac:dyDescent="0.25">
      <c r="B115"/>
      <c r="C115"/>
      <c r="D115"/>
      <c r="E115"/>
      <c r="F115"/>
      <c r="G115"/>
      <c r="H115"/>
    </row>
    <row r="116" spans="2:8" x14ac:dyDescent="0.25">
      <c r="B116"/>
      <c r="C116"/>
      <c r="D116"/>
      <c r="E116"/>
      <c r="F116"/>
      <c r="G116"/>
      <c r="H116"/>
    </row>
    <row r="117" spans="2:8" x14ac:dyDescent="0.25">
      <c r="B117"/>
      <c r="C117"/>
      <c r="D117"/>
      <c r="E117"/>
      <c r="F117"/>
      <c r="G117"/>
      <c r="H117"/>
    </row>
    <row r="118" spans="2:8" x14ac:dyDescent="0.25">
      <c r="B118"/>
      <c r="C118"/>
      <c r="D118"/>
      <c r="E118"/>
      <c r="F118"/>
      <c r="G118"/>
      <c r="H118"/>
    </row>
    <row r="119" spans="2:8" x14ac:dyDescent="0.25">
      <c r="B119"/>
      <c r="C119"/>
      <c r="D119"/>
      <c r="E119"/>
      <c r="F119"/>
      <c r="G119"/>
      <c r="H119"/>
    </row>
    <row r="120" spans="2:8" x14ac:dyDescent="0.25">
      <c r="B120"/>
      <c r="C120"/>
      <c r="D120"/>
      <c r="E120"/>
      <c r="F120"/>
      <c r="G120"/>
      <c r="H120"/>
    </row>
    <row r="121" spans="2:8" x14ac:dyDescent="0.25">
      <c r="B121"/>
      <c r="C121"/>
      <c r="D121"/>
      <c r="E121"/>
      <c r="F121"/>
      <c r="G121"/>
      <c r="H121"/>
    </row>
    <row r="122" spans="2:8" x14ac:dyDescent="0.25">
      <c r="B122"/>
      <c r="C122"/>
      <c r="D122"/>
      <c r="E122"/>
      <c r="F122"/>
      <c r="G122"/>
      <c r="H122"/>
    </row>
    <row r="123" spans="2:8" x14ac:dyDescent="0.25">
      <c r="B123"/>
      <c r="C123"/>
      <c r="D123"/>
      <c r="E123"/>
      <c r="F123"/>
      <c r="G123"/>
      <c r="H123"/>
    </row>
    <row r="124" spans="2:8" x14ac:dyDescent="0.25">
      <c r="B124"/>
      <c r="C124"/>
      <c r="D124"/>
      <c r="E124"/>
      <c r="F124"/>
      <c r="G124"/>
      <c r="H124"/>
    </row>
    <row r="125" spans="2:8" x14ac:dyDescent="0.25">
      <c r="B125"/>
      <c r="C125"/>
      <c r="D125"/>
      <c r="E125"/>
      <c r="F125"/>
      <c r="G125"/>
      <c r="H125"/>
    </row>
    <row r="126" spans="2:8" x14ac:dyDescent="0.25">
      <c r="B126"/>
      <c r="C126"/>
      <c r="D126"/>
      <c r="E126"/>
      <c r="F126"/>
      <c r="G126"/>
      <c r="H126"/>
    </row>
    <row r="127" spans="2:8" x14ac:dyDescent="0.25">
      <c r="B127"/>
      <c r="C127"/>
      <c r="D127"/>
      <c r="E127"/>
      <c r="F127"/>
      <c r="G127"/>
      <c r="H127"/>
    </row>
    <row r="128" spans="2:8" x14ac:dyDescent="0.25">
      <c r="B128"/>
      <c r="C128"/>
      <c r="D128"/>
      <c r="E128"/>
      <c r="F128"/>
      <c r="G128"/>
      <c r="H128"/>
    </row>
    <row r="129" spans="2:8" x14ac:dyDescent="0.25">
      <c r="B129"/>
      <c r="C129"/>
      <c r="D129"/>
      <c r="E129"/>
      <c r="F129"/>
      <c r="G129"/>
      <c r="H129"/>
    </row>
    <row r="130" spans="2:8" x14ac:dyDescent="0.25">
      <c r="B130"/>
      <c r="C130"/>
      <c r="D130"/>
      <c r="E130"/>
      <c r="F130"/>
      <c r="G130"/>
      <c r="H130"/>
    </row>
    <row r="131" spans="2:8" x14ac:dyDescent="0.25">
      <c r="B131"/>
      <c r="C131"/>
      <c r="D131"/>
      <c r="E131"/>
      <c r="F131"/>
      <c r="G131"/>
      <c r="H131"/>
    </row>
    <row r="132" spans="2:8" x14ac:dyDescent="0.25">
      <c r="B132"/>
      <c r="C132"/>
      <c r="D132"/>
      <c r="E132"/>
      <c r="F132"/>
      <c r="G132"/>
      <c r="H132"/>
    </row>
    <row r="133" spans="2:8" x14ac:dyDescent="0.25">
      <c r="B133"/>
      <c r="C133"/>
      <c r="D133"/>
      <c r="E133"/>
      <c r="F133"/>
      <c r="G133"/>
      <c r="H133"/>
    </row>
    <row r="134" spans="2:8" x14ac:dyDescent="0.25">
      <c r="B134"/>
      <c r="C134"/>
      <c r="D134"/>
      <c r="E134"/>
      <c r="F134"/>
      <c r="G134"/>
      <c r="H134"/>
    </row>
    <row r="135" spans="2:8" x14ac:dyDescent="0.25">
      <c r="B135"/>
      <c r="C135"/>
      <c r="D135"/>
      <c r="E135"/>
      <c r="F135"/>
      <c r="G135"/>
      <c r="H135"/>
    </row>
    <row r="136" spans="2:8" x14ac:dyDescent="0.25">
      <c r="B136"/>
      <c r="C136"/>
      <c r="D136"/>
      <c r="E136"/>
      <c r="F136"/>
      <c r="G136"/>
      <c r="H136"/>
    </row>
    <row r="137" spans="2:8" x14ac:dyDescent="0.25">
      <c r="B137"/>
      <c r="C137"/>
      <c r="D137"/>
      <c r="E137"/>
      <c r="F137"/>
      <c r="G137"/>
      <c r="H137"/>
    </row>
    <row r="138" spans="2:8" x14ac:dyDescent="0.25">
      <c r="B138"/>
      <c r="C138"/>
      <c r="D138"/>
      <c r="E138"/>
      <c r="F138"/>
      <c r="G138"/>
      <c r="H138"/>
    </row>
    <row r="139" spans="2:8" x14ac:dyDescent="0.25">
      <c r="B139"/>
      <c r="C139"/>
      <c r="D139"/>
      <c r="E139"/>
      <c r="F139"/>
      <c r="G139"/>
      <c r="H139"/>
    </row>
    <row r="140" spans="2:8" x14ac:dyDescent="0.25">
      <c r="B140"/>
      <c r="C140"/>
      <c r="D140"/>
      <c r="E140"/>
      <c r="F140"/>
      <c r="G140"/>
      <c r="H140"/>
    </row>
    <row r="141" spans="2:8" x14ac:dyDescent="0.25">
      <c r="B141"/>
      <c r="C141"/>
      <c r="D141"/>
      <c r="E141"/>
      <c r="F141"/>
      <c r="G141"/>
      <c r="H141"/>
    </row>
    <row r="142" spans="2:8" x14ac:dyDescent="0.25">
      <c r="B142"/>
      <c r="C142"/>
      <c r="D142"/>
      <c r="E142"/>
      <c r="F142"/>
      <c r="G142"/>
      <c r="H142"/>
    </row>
    <row r="143" spans="2:8" x14ac:dyDescent="0.25">
      <c r="B143"/>
      <c r="C143"/>
      <c r="D143"/>
      <c r="E143"/>
      <c r="F143"/>
      <c r="G143"/>
      <c r="H143"/>
    </row>
    <row r="144" spans="2:8" x14ac:dyDescent="0.25">
      <c r="B144"/>
      <c r="C144"/>
      <c r="D144"/>
      <c r="E144"/>
      <c r="F144"/>
      <c r="G144"/>
      <c r="H144"/>
    </row>
    <row r="145" spans="2:8" x14ac:dyDescent="0.25">
      <c r="B145"/>
      <c r="C145"/>
      <c r="D145"/>
      <c r="E145"/>
      <c r="F145"/>
      <c r="G145"/>
      <c r="H145"/>
    </row>
    <row r="146" spans="2:8" x14ac:dyDescent="0.25">
      <c r="B146"/>
      <c r="C146"/>
      <c r="D146"/>
      <c r="E146"/>
      <c r="F146"/>
      <c r="G146"/>
      <c r="H146"/>
    </row>
    <row r="147" spans="2:8" x14ac:dyDescent="0.25">
      <c r="B147"/>
      <c r="C147"/>
      <c r="D147"/>
      <c r="E147"/>
      <c r="F147"/>
      <c r="G147"/>
      <c r="H147"/>
    </row>
    <row r="148" spans="2:8" x14ac:dyDescent="0.25">
      <c r="B148"/>
      <c r="C148"/>
      <c r="D148"/>
      <c r="E148"/>
      <c r="F148"/>
      <c r="G148"/>
      <c r="H148"/>
    </row>
    <row r="149" spans="2:8" x14ac:dyDescent="0.25">
      <c r="B149"/>
      <c r="C149"/>
      <c r="D149"/>
      <c r="E149"/>
      <c r="F149"/>
      <c r="G149"/>
      <c r="H149"/>
    </row>
    <row r="150" spans="2:8" x14ac:dyDescent="0.25">
      <c r="B150"/>
      <c r="C150"/>
      <c r="D150"/>
      <c r="E150"/>
      <c r="F150"/>
      <c r="G150"/>
      <c r="H150"/>
    </row>
    <row r="151" spans="2:8" x14ac:dyDescent="0.25">
      <c r="B151"/>
      <c r="C151"/>
      <c r="D151"/>
      <c r="E151"/>
      <c r="F151"/>
      <c r="G151"/>
      <c r="H151"/>
    </row>
    <row r="152" spans="2:8" x14ac:dyDescent="0.25">
      <c r="B152"/>
      <c r="C152"/>
      <c r="D152"/>
      <c r="E152"/>
      <c r="F152"/>
      <c r="G152"/>
      <c r="H152"/>
    </row>
    <row r="153" spans="2:8" x14ac:dyDescent="0.25">
      <c r="B153"/>
      <c r="C153"/>
      <c r="D153"/>
      <c r="E153"/>
      <c r="F153"/>
      <c r="G153"/>
      <c r="H153"/>
    </row>
    <row r="154" spans="2:8" x14ac:dyDescent="0.25">
      <c r="B154"/>
      <c r="C154"/>
      <c r="D154"/>
      <c r="E154"/>
      <c r="F154"/>
      <c r="G154"/>
      <c r="H154"/>
    </row>
    <row r="155" spans="2:8" x14ac:dyDescent="0.25">
      <c r="B155"/>
      <c r="C155"/>
      <c r="D155"/>
      <c r="E155"/>
      <c r="F155"/>
      <c r="G155"/>
      <c r="H155"/>
    </row>
    <row r="156" spans="2:8" x14ac:dyDescent="0.25">
      <c r="B156"/>
      <c r="C156"/>
      <c r="D156"/>
      <c r="E156"/>
      <c r="F156"/>
      <c r="G156"/>
      <c r="H156"/>
    </row>
    <row r="157" spans="2:8" x14ac:dyDescent="0.25">
      <c r="B157"/>
      <c r="C157"/>
      <c r="D157"/>
      <c r="E157"/>
      <c r="F157"/>
      <c r="G157"/>
      <c r="H157"/>
    </row>
    <row r="158" spans="2:8" x14ac:dyDescent="0.25">
      <c r="B158"/>
      <c r="C158"/>
      <c r="D158"/>
      <c r="E158"/>
      <c r="F158"/>
      <c r="G158"/>
      <c r="H158"/>
    </row>
    <row r="159" spans="2:8" x14ac:dyDescent="0.25">
      <c r="B159"/>
      <c r="C159"/>
      <c r="D159"/>
      <c r="E159"/>
      <c r="F159"/>
      <c r="G159"/>
      <c r="H159"/>
    </row>
    <row r="160" spans="2:8" x14ac:dyDescent="0.25">
      <c r="B160"/>
      <c r="C160"/>
      <c r="D160"/>
      <c r="E160"/>
      <c r="F160"/>
      <c r="G160"/>
      <c r="H160"/>
    </row>
    <row r="161" spans="2:8" x14ac:dyDescent="0.25">
      <c r="B161"/>
      <c r="C161"/>
      <c r="D161"/>
      <c r="E161"/>
      <c r="F161"/>
      <c r="G161"/>
      <c r="H161"/>
    </row>
    <row r="162" spans="2:8" x14ac:dyDescent="0.25">
      <c r="B162"/>
      <c r="C162"/>
      <c r="D162"/>
      <c r="E162"/>
      <c r="F162"/>
      <c r="G162"/>
      <c r="H162"/>
    </row>
    <row r="163" spans="2:8" x14ac:dyDescent="0.25">
      <c r="B163"/>
      <c r="C163"/>
      <c r="D163"/>
      <c r="E163"/>
      <c r="F163"/>
      <c r="G163"/>
      <c r="H163"/>
    </row>
    <row r="164" spans="2:8" x14ac:dyDescent="0.25">
      <c r="B164"/>
      <c r="C164"/>
      <c r="D164"/>
      <c r="E164"/>
      <c r="F164"/>
      <c r="G164"/>
      <c r="H164"/>
    </row>
    <row r="165" spans="2:8" x14ac:dyDescent="0.25">
      <c r="B165"/>
      <c r="C165"/>
      <c r="D165"/>
      <c r="E165"/>
      <c r="F165"/>
      <c r="G165"/>
      <c r="H165"/>
    </row>
    <row r="166" spans="2:8" x14ac:dyDescent="0.25">
      <c r="B166"/>
      <c r="C166"/>
      <c r="D166"/>
      <c r="E166"/>
      <c r="F166"/>
      <c r="G166"/>
      <c r="H166"/>
    </row>
    <row r="167" spans="2:8" x14ac:dyDescent="0.25">
      <c r="B167"/>
      <c r="C167"/>
      <c r="D167"/>
      <c r="E167"/>
      <c r="F167"/>
      <c r="G167"/>
      <c r="H167"/>
    </row>
    <row r="168" spans="2:8" x14ac:dyDescent="0.25">
      <c r="B168"/>
      <c r="C168"/>
      <c r="D168"/>
      <c r="E168"/>
      <c r="F168"/>
      <c r="G168"/>
      <c r="H168"/>
    </row>
    <row r="169" spans="2:8" x14ac:dyDescent="0.25">
      <c r="B169"/>
      <c r="C169"/>
      <c r="D169"/>
      <c r="E169"/>
      <c r="F169"/>
      <c r="G169"/>
      <c r="H169"/>
    </row>
    <row r="170" spans="2:8" x14ac:dyDescent="0.25">
      <c r="B170"/>
      <c r="C170"/>
      <c r="D170"/>
      <c r="E170"/>
      <c r="F170"/>
      <c r="G170"/>
      <c r="H170"/>
    </row>
    <row r="171" spans="2:8" x14ac:dyDescent="0.25">
      <c r="B171"/>
      <c r="C171"/>
      <c r="D171"/>
      <c r="E171"/>
      <c r="F171"/>
      <c r="G171"/>
      <c r="H171"/>
    </row>
    <row r="172" spans="2:8" x14ac:dyDescent="0.25">
      <c r="B172"/>
      <c r="C172"/>
      <c r="D172"/>
      <c r="E172"/>
      <c r="F172"/>
      <c r="G172"/>
      <c r="H172"/>
    </row>
    <row r="173" spans="2:8" x14ac:dyDescent="0.25">
      <c r="B173"/>
      <c r="C173"/>
      <c r="D173"/>
      <c r="E173"/>
      <c r="F173"/>
      <c r="G173"/>
      <c r="H173"/>
    </row>
    <row r="174" spans="2:8" x14ac:dyDescent="0.25">
      <c r="B174"/>
      <c r="C174"/>
      <c r="D174"/>
      <c r="E174"/>
      <c r="F174"/>
      <c r="G174"/>
      <c r="H174"/>
    </row>
    <row r="175" spans="2:8" x14ac:dyDescent="0.25">
      <c r="B175"/>
      <c r="C175"/>
      <c r="D175"/>
      <c r="E175"/>
      <c r="F175"/>
      <c r="G175"/>
      <c r="H175"/>
    </row>
    <row r="176" spans="2:8" x14ac:dyDescent="0.25">
      <c r="B176"/>
      <c r="C176"/>
      <c r="D176"/>
      <c r="E176"/>
      <c r="F176"/>
      <c r="G176"/>
      <c r="H176"/>
    </row>
    <row r="177" spans="2:8" x14ac:dyDescent="0.25">
      <c r="B177"/>
      <c r="C177"/>
      <c r="D177"/>
      <c r="E177"/>
      <c r="F177"/>
      <c r="G177"/>
      <c r="H177"/>
    </row>
    <row r="178" spans="2:8" x14ac:dyDescent="0.25">
      <c r="B178"/>
      <c r="C178"/>
      <c r="D178"/>
      <c r="E178"/>
      <c r="F178"/>
      <c r="G178"/>
      <c r="H178"/>
    </row>
    <row r="179" spans="2:8" x14ac:dyDescent="0.25">
      <c r="B179"/>
      <c r="C179"/>
      <c r="D179"/>
      <c r="E179"/>
      <c r="F179"/>
      <c r="G179"/>
      <c r="H179"/>
    </row>
    <row r="180" spans="2:8" x14ac:dyDescent="0.25">
      <c r="B180"/>
      <c r="C180"/>
      <c r="D180"/>
      <c r="E180"/>
      <c r="F180"/>
      <c r="G180"/>
      <c r="H180"/>
    </row>
    <row r="181" spans="2:8" x14ac:dyDescent="0.25">
      <c r="B181"/>
      <c r="C181"/>
      <c r="D181"/>
      <c r="E181"/>
      <c r="F181"/>
      <c r="G181"/>
      <c r="H181"/>
    </row>
    <row r="182" spans="2:8" x14ac:dyDescent="0.25">
      <c r="B182"/>
      <c r="C182"/>
      <c r="D182"/>
      <c r="E182"/>
      <c r="F182"/>
      <c r="G182"/>
      <c r="H182"/>
    </row>
    <row r="183" spans="2:8" x14ac:dyDescent="0.25">
      <c r="B183"/>
      <c r="C183"/>
      <c r="D183"/>
      <c r="E183"/>
      <c r="F183"/>
      <c r="G183"/>
      <c r="H183"/>
    </row>
    <row r="184" spans="2:8" x14ac:dyDescent="0.25">
      <c r="B184"/>
      <c r="C184"/>
      <c r="D184"/>
      <c r="E184"/>
      <c r="F184"/>
      <c r="G184"/>
      <c r="H184"/>
    </row>
    <row r="185" spans="2:8" x14ac:dyDescent="0.25">
      <c r="B185"/>
      <c r="C185"/>
      <c r="D185"/>
      <c r="E185"/>
      <c r="F185"/>
      <c r="G185"/>
      <c r="H185"/>
    </row>
    <row r="186" spans="2:8" x14ac:dyDescent="0.25">
      <c r="B186"/>
      <c r="C186"/>
      <c r="D186"/>
      <c r="E186"/>
      <c r="F186"/>
      <c r="G186"/>
      <c r="H186"/>
    </row>
    <row r="187" spans="2:8" x14ac:dyDescent="0.25">
      <c r="B187"/>
      <c r="C187"/>
      <c r="D187"/>
      <c r="E187"/>
      <c r="F187"/>
      <c r="G187"/>
      <c r="H187"/>
    </row>
    <row r="188" spans="2:8" x14ac:dyDescent="0.25">
      <c r="B188"/>
      <c r="C188"/>
      <c r="D188"/>
      <c r="E188"/>
      <c r="F188"/>
      <c r="G188"/>
      <c r="H188"/>
    </row>
    <row r="189" spans="2:8" x14ac:dyDescent="0.25">
      <c r="B189"/>
      <c r="C189"/>
      <c r="D189"/>
      <c r="E189"/>
      <c r="F189"/>
      <c r="G189"/>
      <c r="H189"/>
    </row>
    <row r="190" spans="2:8" x14ac:dyDescent="0.25">
      <c r="B190"/>
      <c r="C190"/>
      <c r="D190"/>
      <c r="E190"/>
      <c r="F190"/>
      <c r="G190"/>
      <c r="H190"/>
    </row>
    <row r="191" spans="2:8" x14ac:dyDescent="0.25">
      <c r="B191"/>
      <c r="C191"/>
      <c r="D191"/>
      <c r="E191"/>
      <c r="F191"/>
      <c r="G191"/>
      <c r="H191"/>
    </row>
    <row r="192" spans="2:8" x14ac:dyDescent="0.25">
      <c r="B192"/>
      <c r="C192"/>
      <c r="D192"/>
      <c r="E192"/>
      <c r="F192"/>
      <c r="G192"/>
      <c r="H192"/>
    </row>
    <row r="193" spans="2:8" x14ac:dyDescent="0.25">
      <c r="B193"/>
      <c r="C193"/>
      <c r="D193"/>
      <c r="E193"/>
      <c r="F193"/>
      <c r="G193"/>
      <c r="H193"/>
    </row>
    <row r="194" spans="2:8" x14ac:dyDescent="0.25">
      <c r="B194"/>
      <c r="C194"/>
      <c r="D194"/>
      <c r="E194"/>
      <c r="F194"/>
      <c r="G194"/>
      <c r="H194"/>
    </row>
    <row r="195" spans="2:8" x14ac:dyDescent="0.25">
      <c r="B195"/>
      <c r="C195"/>
      <c r="D195"/>
      <c r="E195"/>
      <c r="F195"/>
      <c r="G195"/>
      <c r="H195"/>
    </row>
    <row r="196" spans="2:8" x14ac:dyDescent="0.25">
      <c r="B196"/>
      <c r="C196"/>
      <c r="D196"/>
      <c r="E196"/>
      <c r="F196"/>
      <c r="G196"/>
      <c r="H196"/>
    </row>
    <row r="197" spans="2:8" x14ac:dyDescent="0.25">
      <c r="B197"/>
      <c r="C197"/>
      <c r="D197"/>
      <c r="E197"/>
      <c r="F197"/>
      <c r="G197"/>
      <c r="H197"/>
    </row>
    <row r="198" spans="2:8" x14ac:dyDescent="0.25">
      <c r="B198"/>
      <c r="C198"/>
      <c r="D198"/>
      <c r="E198"/>
      <c r="F198"/>
      <c r="G198"/>
      <c r="H198"/>
    </row>
    <row r="199" spans="2:8" x14ac:dyDescent="0.25">
      <c r="B199"/>
      <c r="C199"/>
      <c r="D199"/>
      <c r="E199"/>
      <c r="F199"/>
      <c r="G199"/>
      <c r="H199"/>
    </row>
    <row r="200" spans="2:8" x14ac:dyDescent="0.25">
      <c r="B200"/>
      <c r="C200"/>
      <c r="D200"/>
      <c r="E200"/>
      <c r="F200"/>
      <c r="G200"/>
      <c r="H200"/>
    </row>
    <row r="201" spans="2:8" x14ac:dyDescent="0.25">
      <c r="B201"/>
      <c r="C201"/>
      <c r="D201"/>
      <c r="E201"/>
      <c r="F201"/>
      <c r="G201"/>
      <c r="H201"/>
    </row>
    <row r="202" spans="2:8" x14ac:dyDescent="0.25">
      <c r="B202"/>
      <c r="C202"/>
      <c r="D202"/>
      <c r="E202"/>
      <c r="F202"/>
      <c r="G202"/>
      <c r="H202"/>
    </row>
    <row r="203" spans="2:8" x14ac:dyDescent="0.25">
      <c r="B203"/>
      <c r="C203"/>
      <c r="D203"/>
      <c r="E203"/>
      <c r="F203"/>
      <c r="G203"/>
      <c r="H203"/>
    </row>
    <row r="204" spans="2:8" x14ac:dyDescent="0.25">
      <c r="B204"/>
      <c r="C204"/>
      <c r="D204"/>
      <c r="E204"/>
      <c r="F204"/>
      <c r="G204"/>
      <c r="H204"/>
    </row>
    <row r="205" spans="2:8" x14ac:dyDescent="0.25">
      <c r="B205"/>
      <c r="C205"/>
      <c r="D205"/>
      <c r="E205"/>
      <c r="F205"/>
      <c r="G205"/>
      <c r="H205"/>
    </row>
    <row r="206" spans="2:8" x14ac:dyDescent="0.25">
      <c r="B206"/>
      <c r="C206"/>
      <c r="D206"/>
      <c r="E206"/>
      <c r="F206"/>
      <c r="G206"/>
      <c r="H206"/>
    </row>
    <row r="207" spans="2:8" x14ac:dyDescent="0.25">
      <c r="B207"/>
      <c r="C207"/>
      <c r="D207"/>
      <c r="E207"/>
      <c r="F207"/>
      <c r="G207"/>
      <c r="H207"/>
    </row>
    <row r="208" spans="2:8" x14ac:dyDescent="0.25">
      <c r="B208"/>
      <c r="C208"/>
      <c r="D208"/>
      <c r="E208"/>
      <c r="F208"/>
      <c r="G208"/>
      <c r="H208"/>
    </row>
    <row r="209" spans="2:8" x14ac:dyDescent="0.25">
      <c r="B209"/>
      <c r="C209"/>
      <c r="D209"/>
      <c r="E209"/>
      <c r="F209"/>
      <c r="G209"/>
      <c r="H209"/>
    </row>
    <row r="210" spans="2:8" x14ac:dyDescent="0.25">
      <c r="B210"/>
      <c r="C210"/>
      <c r="D210"/>
      <c r="E210"/>
      <c r="F210"/>
      <c r="G210"/>
      <c r="H210"/>
    </row>
    <row r="211" spans="2:8" x14ac:dyDescent="0.25">
      <c r="B211"/>
      <c r="C211"/>
      <c r="D211"/>
      <c r="E211"/>
      <c r="F211"/>
      <c r="G211"/>
      <c r="H211"/>
    </row>
    <row r="212" spans="2:8" x14ac:dyDescent="0.25">
      <c r="B212"/>
      <c r="C212"/>
      <c r="D212"/>
      <c r="E212"/>
      <c r="F212"/>
      <c r="G212"/>
      <c r="H212"/>
    </row>
    <row r="213" spans="2:8" x14ac:dyDescent="0.25">
      <c r="B213"/>
      <c r="C213"/>
      <c r="D213"/>
      <c r="E213"/>
      <c r="F213"/>
      <c r="G213"/>
      <c r="H213"/>
    </row>
    <row r="214" spans="2:8" x14ac:dyDescent="0.25">
      <c r="B214"/>
      <c r="C214"/>
      <c r="D214"/>
      <c r="E214"/>
      <c r="F214"/>
      <c r="G214"/>
      <c r="H214"/>
    </row>
    <row r="215" spans="2:8" x14ac:dyDescent="0.25">
      <c r="B215"/>
      <c r="C215"/>
      <c r="D215"/>
      <c r="E215"/>
      <c r="F215"/>
      <c r="G215"/>
      <c r="H215"/>
    </row>
    <row r="216" spans="2:8" x14ac:dyDescent="0.25">
      <c r="B216"/>
      <c r="C216"/>
      <c r="D216"/>
      <c r="E216"/>
      <c r="F216"/>
      <c r="G216"/>
      <c r="H216"/>
    </row>
    <row r="217" spans="2:8" x14ac:dyDescent="0.25">
      <c r="B217"/>
      <c r="C217"/>
      <c r="D217"/>
      <c r="E217"/>
      <c r="F217"/>
      <c r="G217"/>
      <c r="H217"/>
    </row>
    <row r="218" spans="2:8" x14ac:dyDescent="0.25">
      <c r="B218"/>
      <c r="C218"/>
      <c r="D218"/>
      <c r="E218"/>
      <c r="F218"/>
      <c r="G218"/>
      <c r="H218"/>
    </row>
    <row r="219" spans="2:8" x14ac:dyDescent="0.25">
      <c r="B219"/>
      <c r="C219"/>
      <c r="D219"/>
      <c r="E219"/>
      <c r="F219"/>
      <c r="G219"/>
      <c r="H219"/>
    </row>
    <row r="220" spans="2:8" x14ac:dyDescent="0.25">
      <c r="B220"/>
      <c r="C220"/>
      <c r="D220"/>
      <c r="E220"/>
      <c r="F220"/>
      <c r="G220"/>
      <c r="H220"/>
    </row>
    <row r="221" spans="2:8" x14ac:dyDescent="0.25">
      <c r="B221"/>
      <c r="C221"/>
      <c r="D221"/>
      <c r="E221"/>
      <c r="F221"/>
      <c r="G221"/>
      <c r="H221"/>
    </row>
    <row r="222" spans="2:8" x14ac:dyDescent="0.25">
      <c r="B222"/>
      <c r="C222"/>
      <c r="D222"/>
      <c r="E222"/>
      <c r="F222"/>
      <c r="G222"/>
      <c r="H222"/>
    </row>
    <row r="223" spans="2:8" x14ac:dyDescent="0.25">
      <c r="B223"/>
      <c r="C223"/>
      <c r="D223"/>
      <c r="E223"/>
      <c r="F223"/>
      <c r="G223"/>
      <c r="H223"/>
    </row>
    <row r="224" spans="2:8" x14ac:dyDescent="0.25">
      <c r="B224"/>
      <c r="C224"/>
      <c r="D224"/>
      <c r="E224"/>
      <c r="F224"/>
      <c r="G224"/>
      <c r="H224"/>
    </row>
    <row r="225" spans="2:8" x14ac:dyDescent="0.25">
      <c r="B225"/>
      <c r="C225"/>
      <c r="D225"/>
      <c r="E225"/>
      <c r="F225"/>
      <c r="G225"/>
      <c r="H225"/>
    </row>
    <row r="226" spans="2:8" x14ac:dyDescent="0.25">
      <c r="B226"/>
      <c r="C226"/>
      <c r="D226"/>
      <c r="E226"/>
      <c r="F226"/>
      <c r="G226"/>
      <c r="H226"/>
    </row>
    <row r="227" spans="2:8" x14ac:dyDescent="0.25">
      <c r="B227"/>
      <c r="C227"/>
      <c r="D227"/>
      <c r="E227"/>
      <c r="F227"/>
      <c r="G227"/>
      <c r="H227"/>
    </row>
    <row r="228" spans="2:8" x14ac:dyDescent="0.25">
      <c r="B228"/>
      <c r="C228"/>
      <c r="D228"/>
      <c r="E228"/>
      <c r="F228"/>
      <c r="G228"/>
      <c r="H228"/>
    </row>
    <row r="229" spans="2:8" x14ac:dyDescent="0.25">
      <c r="B229"/>
      <c r="C229"/>
      <c r="D229"/>
      <c r="E229"/>
      <c r="F229"/>
      <c r="G229"/>
      <c r="H229"/>
    </row>
    <row r="230" spans="2:8" x14ac:dyDescent="0.25">
      <c r="B230"/>
      <c r="C230"/>
      <c r="D230"/>
      <c r="E230"/>
      <c r="F230"/>
      <c r="G230"/>
      <c r="H230"/>
    </row>
    <row r="231" spans="2:8" x14ac:dyDescent="0.25">
      <c r="B231"/>
      <c r="C231"/>
      <c r="D231"/>
      <c r="E231"/>
      <c r="F231"/>
      <c r="G231"/>
      <c r="H231"/>
    </row>
    <row r="232" spans="2:8" x14ac:dyDescent="0.25">
      <c r="B232"/>
      <c r="C232"/>
      <c r="D232"/>
      <c r="E232"/>
      <c r="F232"/>
      <c r="G232"/>
      <c r="H232"/>
    </row>
    <row r="233" spans="2:8" x14ac:dyDescent="0.25">
      <c r="B233"/>
      <c r="C233"/>
      <c r="D233"/>
      <c r="E233"/>
      <c r="F233"/>
      <c r="G233"/>
      <c r="H233"/>
    </row>
    <row r="234" spans="2:8" x14ac:dyDescent="0.25">
      <c r="B234"/>
      <c r="C234"/>
      <c r="D234"/>
      <c r="E234"/>
      <c r="F234"/>
      <c r="G234"/>
      <c r="H234"/>
    </row>
    <row r="235" spans="2:8" x14ac:dyDescent="0.25">
      <c r="B235"/>
      <c r="C235"/>
      <c r="D235"/>
      <c r="E235"/>
      <c r="F235"/>
      <c r="G235"/>
      <c r="H235"/>
    </row>
    <row r="236" spans="2:8" x14ac:dyDescent="0.25">
      <c r="B236"/>
      <c r="C236"/>
      <c r="D236"/>
      <c r="E236"/>
      <c r="F236"/>
      <c r="G236"/>
      <c r="H236"/>
    </row>
    <row r="237" spans="2:8" x14ac:dyDescent="0.25">
      <c r="B237"/>
      <c r="C237"/>
      <c r="D237"/>
      <c r="E237"/>
      <c r="F237"/>
      <c r="G237"/>
      <c r="H237"/>
    </row>
    <row r="238" spans="2:8" x14ac:dyDescent="0.25">
      <c r="B238"/>
      <c r="C238"/>
      <c r="D238"/>
      <c r="E238"/>
      <c r="F238"/>
      <c r="G238"/>
      <c r="H238"/>
    </row>
    <row r="239" spans="2:8" x14ac:dyDescent="0.25">
      <c r="B239"/>
      <c r="C239"/>
      <c r="D239"/>
      <c r="E239"/>
      <c r="F239"/>
      <c r="G239"/>
      <c r="H239"/>
    </row>
    <row r="240" spans="2:8" x14ac:dyDescent="0.25">
      <c r="B240"/>
      <c r="C240"/>
      <c r="D240"/>
      <c r="E240"/>
      <c r="F240"/>
      <c r="G240"/>
      <c r="H240"/>
    </row>
    <row r="241" spans="2:8" x14ac:dyDescent="0.25">
      <c r="B241"/>
      <c r="C241"/>
      <c r="D241"/>
      <c r="E241"/>
      <c r="F241"/>
      <c r="G241"/>
      <c r="H241"/>
    </row>
    <row r="242" spans="2:8" x14ac:dyDescent="0.25">
      <c r="B242"/>
      <c r="C242"/>
      <c r="D242"/>
      <c r="E242"/>
      <c r="F242"/>
      <c r="G242"/>
      <c r="H242"/>
    </row>
    <row r="243" spans="2:8" x14ac:dyDescent="0.25">
      <c r="B243"/>
      <c r="C243"/>
      <c r="D243"/>
      <c r="E243"/>
      <c r="F243"/>
      <c r="G243"/>
      <c r="H243"/>
    </row>
    <row r="244" spans="2:8" x14ac:dyDescent="0.25">
      <c r="B244"/>
      <c r="C244"/>
      <c r="D244"/>
      <c r="E244"/>
      <c r="F244"/>
      <c r="G244"/>
      <c r="H244"/>
    </row>
    <row r="245" spans="2:8" x14ac:dyDescent="0.25">
      <c r="B245"/>
      <c r="C245"/>
      <c r="D245"/>
      <c r="E245"/>
      <c r="F245"/>
      <c r="G245"/>
      <c r="H245"/>
    </row>
    <row r="246" spans="2:8" x14ac:dyDescent="0.25">
      <c r="B246"/>
      <c r="C246"/>
      <c r="D246"/>
      <c r="E246"/>
      <c r="F246"/>
      <c r="G246"/>
      <c r="H246"/>
    </row>
    <row r="247" spans="2:8" x14ac:dyDescent="0.25">
      <c r="B247"/>
      <c r="C247"/>
      <c r="D247"/>
      <c r="E247"/>
      <c r="F247"/>
      <c r="G247"/>
      <c r="H247"/>
    </row>
    <row r="248" spans="2:8" x14ac:dyDescent="0.25">
      <c r="B248"/>
      <c r="C248"/>
      <c r="D248"/>
      <c r="E248"/>
      <c r="F248"/>
      <c r="G248"/>
      <c r="H248"/>
    </row>
    <row r="249" spans="2:8" x14ac:dyDescent="0.25">
      <c r="B249"/>
      <c r="C249"/>
      <c r="D249"/>
      <c r="E249"/>
      <c r="F249"/>
      <c r="G249"/>
      <c r="H249"/>
    </row>
    <row r="250" spans="2:8" x14ac:dyDescent="0.25">
      <c r="B250"/>
      <c r="C250"/>
      <c r="D250"/>
      <c r="E250"/>
      <c r="F250"/>
      <c r="G250"/>
      <c r="H250"/>
    </row>
    <row r="251" spans="2:8" x14ac:dyDescent="0.25">
      <c r="B251"/>
      <c r="C251"/>
      <c r="D251"/>
      <c r="E251"/>
      <c r="F251"/>
      <c r="G251"/>
      <c r="H251"/>
    </row>
    <row r="252" spans="2:8" x14ac:dyDescent="0.25">
      <c r="B252"/>
      <c r="C252"/>
      <c r="D252"/>
      <c r="E252"/>
      <c r="F252"/>
      <c r="G252"/>
      <c r="H252"/>
    </row>
    <row r="253" spans="2:8" x14ac:dyDescent="0.25">
      <c r="B253"/>
      <c r="C253"/>
      <c r="D253"/>
      <c r="E253"/>
      <c r="F253"/>
      <c r="G253"/>
      <c r="H253"/>
    </row>
    <row r="254" spans="2:8" x14ac:dyDescent="0.25">
      <c r="B254"/>
      <c r="C254"/>
      <c r="D254"/>
      <c r="E254"/>
      <c r="F254"/>
      <c r="G254"/>
      <c r="H254"/>
    </row>
    <row r="255" spans="2:8" x14ac:dyDescent="0.25">
      <c r="B255"/>
      <c r="C255"/>
      <c r="D255"/>
      <c r="E255"/>
      <c r="F255"/>
      <c r="G255"/>
      <c r="H255"/>
    </row>
    <row r="256" spans="2:8" x14ac:dyDescent="0.25">
      <c r="B256"/>
      <c r="C256"/>
      <c r="D256"/>
      <c r="E256"/>
      <c r="F256"/>
      <c r="G256"/>
      <c r="H256"/>
    </row>
    <row r="257" spans="2:8" x14ac:dyDescent="0.25">
      <c r="B257"/>
      <c r="C257"/>
      <c r="D257"/>
      <c r="E257"/>
      <c r="F257"/>
      <c r="G257"/>
      <c r="H257"/>
    </row>
    <row r="258" spans="2:8" x14ac:dyDescent="0.25">
      <c r="B258"/>
      <c r="C258"/>
      <c r="D258"/>
      <c r="E258"/>
      <c r="F258"/>
      <c r="G258"/>
      <c r="H258"/>
    </row>
    <row r="259" spans="2:8" x14ac:dyDescent="0.25">
      <c r="B259"/>
      <c r="C259"/>
      <c r="D259"/>
      <c r="E259"/>
      <c r="F259"/>
      <c r="G259"/>
      <c r="H259"/>
    </row>
    <row r="260" spans="2:8" x14ac:dyDescent="0.25">
      <c r="B260"/>
      <c r="C260"/>
      <c r="D260"/>
      <c r="E260"/>
      <c r="F260"/>
      <c r="G260"/>
      <c r="H260"/>
    </row>
    <row r="261" spans="2:8" x14ac:dyDescent="0.25">
      <c r="B261"/>
      <c r="C261"/>
      <c r="D261"/>
      <c r="E261"/>
      <c r="F261"/>
      <c r="G261"/>
      <c r="H261"/>
    </row>
    <row r="262" spans="2:8" x14ac:dyDescent="0.25">
      <c r="B262"/>
      <c r="C262"/>
      <c r="D262"/>
      <c r="E262"/>
      <c r="F262"/>
      <c r="G262"/>
      <c r="H262"/>
    </row>
    <row r="263" spans="2:8" x14ac:dyDescent="0.25">
      <c r="B263"/>
      <c r="C263"/>
      <c r="D263"/>
      <c r="E263"/>
      <c r="F263"/>
      <c r="G263"/>
      <c r="H263"/>
    </row>
    <row r="264" spans="2:8" x14ac:dyDescent="0.25">
      <c r="B264"/>
      <c r="C264"/>
      <c r="D264"/>
      <c r="E264"/>
      <c r="F264"/>
      <c r="G264"/>
      <c r="H264"/>
    </row>
    <row r="265" spans="2:8" x14ac:dyDescent="0.25">
      <c r="B265"/>
      <c r="C265"/>
      <c r="D265"/>
      <c r="E265"/>
      <c r="F265"/>
      <c r="G265"/>
      <c r="H265"/>
    </row>
    <row r="266" spans="2:8" x14ac:dyDescent="0.25">
      <c r="B266"/>
      <c r="C266"/>
      <c r="D266"/>
      <c r="E266"/>
      <c r="F266"/>
      <c r="G266"/>
      <c r="H266"/>
    </row>
    <row r="267" spans="2:8" x14ac:dyDescent="0.25">
      <c r="B267"/>
      <c r="C267"/>
      <c r="D267"/>
      <c r="E267"/>
      <c r="F267"/>
      <c r="G267"/>
      <c r="H267"/>
    </row>
    <row r="268" spans="2:8" x14ac:dyDescent="0.25">
      <c r="B268"/>
      <c r="C268"/>
      <c r="D268"/>
      <c r="E268"/>
      <c r="F268"/>
      <c r="G268"/>
      <c r="H268"/>
    </row>
    <row r="269" spans="2:8" x14ac:dyDescent="0.25">
      <c r="B269"/>
      <c r="C269"/>
      <c r="D269"/>
      <c r="E269"/>
      <c r="F269"/>
      <c r="G269"/>
      <c r="H269"/>
    </row>
    <row r="270" spans="2:8" x14ac:dyDescent="0.25">
      <c r="B270"/>
      <c r="C270"/>
      <c r="D270"/>
      <c r="E270"/>
      <c r="F270"/>
      <c r="G270"/>
      <c r="H270"/>
    </row>
    <row r="271" spans="2:8" x14ac:dyDescent="0.25">
      <c r="B271"/>
      <c r="C271"/>
      <c r="D271"/>
      <c r="E271"/>
      <c r="F271"/>
      <c r="G271"/>
      <c r="H271"/>
    </row>
    <row r="272" spans="2:8" x14ac:dyDescent="0.25">
      <c r="B272"/>
      <c r="C272"/>
      <c r="D272"/>
      <c r="E272"/>
      <c r="F272"/>
      <c r="G272"/>
      <c r="H272"/>
    </row>
    <row r="273" spans="2:8" x14ac:dyDescent="0.25">
      <c r="B273"/>
      <c r="C273"/>
      <c r="D273"/>
      <c r="E273"/>
      <c r="F273"/>
      <c r="G273"/>
      <c r="H273"/>
    </row>
    <row r="274" spans="2:8" x14ac:dyDescent="0.25">
      <c r="B274"/>
      <c r="C274"/>
      <c r="D274"/>
      <c r="E274"/>
      <c r="F274"/>
      <c r="G274"/>
      <c r="H274"/>
    </row>
    <row r="275" spans="2:8" x14ac:dyDescent="0.25">
      <c r="B275"/>
      <c r="C275"/>
      <c r="D275"/>
      <c r="E275"/>
      <c r="F275"/>
      <c r="G275"/>
      <c r="H275"/>
    </row>
    <row r="276" spans="2:8" x14ac:dyDescent="0.25">
      <c r="B276"/>
      <c r="C276"/>
      <c r="D276"/>
      <c r="E276"/>
      <c r="F276"/>
      <c r="G276"/>
      <c r="H276"/>
    </row>
    <row r="277" spans="2:8" x14ac:dyDescent="0.25">
      <c r="B277"/>
      <c r="C277"/>
      <c r="D277"/>
      <c r="E277"/>
      <c r="F277"/>
      <c r="G277"/>
      <c r="H277"/>
    </row>
    <row r="278" spans="2:8" x14ac:dyDescent="0.25">
      <c r="B278"/>
      <c r="C278"/>
      <c r="D278"/>
      <c r="E278"/>
      <c r="F278"/>
      <c r="G278"/>
      <c r="H278"/>
    </row>
    <row r="279" spans="2:8" x14ac:dyDescent="0.25">
      <c r="B279"/>
      <c r="C279"/>
      <c r="D279"/>
      <c r="E279"/>
      <c r="F279"/>
      <c r="G279"/>
      <c r="H279"/>
    </row>
    <row r="280" spans="2:8" x14ac:dyDescent="0.25">
      <c r="B280"/>
      <c r="C280"/>
      <c r="D280"/>
      <c r="E280"/>
      <c r="F280"/>
      <c r="G280"/>
      <c r="H280"/>
    </row>
    <row r="281" spans="2:8" x14ac:dyDescent="0.25">
      <c r="B281"/>
      <c r="C281"/>
      <c r="D281"/>
      <c r="E281"/>
      <c r="F281"/>
      <c r="G281"/>
      <c r="H281"/>
    </row>
    <row r="282" spans="2:8" x14ac:dyDescent="0.25">
      <c r="B282"/>
      <c r="C282"/>
      <c r="D282"/>
      <c r="E282"/>
      <c r="F282"/>
      <c r="G282"/>
      <c r="H282"/>
    </row>
    <row r="283" spans="2:8" x14ac:dyDescent="0.25">
      <c r="B283"/>
      <c r="C283"/>
      <c r="D283"/>
      <c r="E283"/>
      <c r="F283"/>
      <c r="G283"/>
      <c r="H283"/>
    </row>
    <row r="284" spans="2:8" x14ac:dyDescent="0.25">
      <c r="B284"/>
      <c r="C284"/>
      <c r="D284"/>
      <c r="E284"/>
      <c r="F284"/>
      <c r="G284"/>
      <c r="H284"/>
    </row>
    <row r="285" spans="2:8" x14ac:dyDescent="0.25">
      <c r="B285"/>
      <c r="C285"/>
      <c r="D285"/>
      <c r="E285"/>
      <c r="F285"/>
      <c r="G285"/>
      <c r="H285"/>
    </row>
    <row r="286" spans="2:8" x14ac:dyDescent="0.25">
      <c r="B286"/>
      <c r="C286"/>
      <c r="D286"/>
      <c r="E286"/>
      <c r="F286"/>
      <c r="G286"/>
      <c r="H286"/>
    </row>
    <row r="287" spans="2:8" x14ac:dyDescent="0.25">
      <c r="B287"/>
      <c r="C287"/>
      <c r="D287"/>
      <c r="E287"/>
      <c r="F287"/>
      <c r="G287"/>
      <c r="H287"/>
    </row>
    <row r="288" spans="2:8" x14ac:dyDescent="0.25">
      <c r="B288"/>
      <c r="C288"/>
      <c r="D288"/>
      <c r="E288"/>
      <c r="F288"/>
      <c r="G288"/>
      <c r="H288"/>
    </row>
    <row r="289" spans="2:8" x14ac:dyDescent="0.25">
      <c r="B289"/>
      <c r="C289"/>
      <c r="D289"/>
      <c r="E289"/>
      <c r="F289"/>
      <c r="G289"/>
      <c r="H289"/>
    </row>
    <row r="290" spans="2:8" x14ac:dyDescent="0.25">
      <c r="B290"/>
      <c r="C290"/>
      <c r="D290"/>
      <c r="E290"/>
      <c r="F290"/>
      <c r="G290"/>
      <c r="H290"/>
    </row>
    <row r="291" spans="2:8" x14ac:dyDescent="0.25">
      <c r="B291"/>
      <c r="C291"/>
      <c r="D291"/>
      <c r="E291"/>
      <c r="F291"/>
      <c r="G291"/>
      <c r="H291"/>
    </row>
    <row r="292" spans="2:8" x14ac:dyDescent="0.25">
      <c r="B292"/>
      <c r="C292"/>
      <c r="D292"/>
      <c r="E292"/>
      <c r="F292"/>
      <c r="G292"/>
      <c r="H292"/>
    </row>
    <row r="293" spans="2:8" x14ac:dyDescent="0.25">
      <c r="B293"/>
      <c r="C293"/>
      <c r="D293"/>
      <c r="E293"/>
      <c r="F293"/>
      <c r="G293"/>
      <c r="H293"/>
    </row>
    <row r="294" spans="2:8" x14ac:dyDescent="0.25">
      <c r="B294"/>
      <c r="C294"/>
      <c r="D294"/>
      <c r="E294"/>
      <c r="F294"/>
      <c r="G294"/>
      <c r="H294"/>
    </row>
    <row r="295" spans="2:8" x14ac:dyDescent="0.25">
      <c r="B295"/>
      <c r="C295"/>
      <c r="D295"/>
      <c r="E295"/>
      <c r="F295"/>
      <c r="G295"/>
      <c r="H295"/>
    </row>
    <row r="296" spans="2:8" x14ac:dyDescent="0.25">
      <c r="B296"/>
      <c r="C296"/>
      <c r="D296"/>
      <c r="E296"/>
      <c r="F296"/>
      <c r="G296"/>
      <c r="H296"/>
    </row>
    <row r="297" spans="2:8" x14ac:dyDescent="0.25">
      <c r="B297"/>
      <c r="C297"/>
      <c r="D297"/>
      <c r="E297"/>
      <c r="F297"/>
      <c r="G297"/>
      <c r="H297"/>
    </row>
    <row r="298" spans="2:8" x14ac:dyDescent="0.25">
      <c r="B298"/>
      <c r="C298"/>
      <c r="D298"/>
      <c r="E298"/>
      <c r="F298"/>
      <c r="G298"/>
      <c r="H298"/>
    </row>
    <row r="299" spans="2:8" x14ac:dyDescent="0.25">
      <c r="B299"/>
      <c r="C299"/>
      <c r="D299"/>
      <c r="E299"/>
      <c r="F299"/>
      <c r="G299"/>
      <c r="H299"/>
    </row>
    <row r="300" spans="2:8" x14ac:dyDescent="0.25">
      <c r="B300"/>
      <c r="C300"/>
      <c r="D300"/>
      <c r="E300"/>
      <c r="F300"/>
      <c r="G300"/>
      <c r="H300"/>
    </row>
    <row r="301" spans="2:8" x14ac:dyDescent="0.25">
      <c r="B301"/>
      <c r="C301"/>
      <c r="D301"/>
      <c r="E301"/>
      <c r="F301"/>
      <c r="G301"/>
      <c r="H301"/>
    </row>
    <row r="302" spans="2:8" x14ac:dyDescent="0.25">
      <c r="B302"/>
      <c r="C302"/>
      <c r="D302"/>
      <c r="E302"/>
      <c r="F302"/>
      <c r="G302"/>
      <c r="H302"/>
    </row>
    <row r="303" spans="2:8" x14ac:dyDescent="0.25">
      <c r="B303"/>
      <c r="C303"/>
      <c r="D303"/>
      <c r="E303"/>
      <c r="F303"/>
      <c r="G303"/>
      <c r="H303"/>
    </row>
    <row r="304" spans="2:8" x14ac:dyDescent="0.25">
      <c r="B304"/>
      <c r="C304"/>
      <c r="D304"/>
      <c r="E304"/>
      <c r="F304"/>
      <c r="G304"/>
      <c r="H304"/>
    </row>
    <row r="305" spans="2:8" x14ac:dyDescent="0.25">
      <c r="B305"/>
      <c r="C305"/>
      <c r="D305"/>
      <c r="E305"/>
      <c r="F305"/>
      <c r="G305"/>
      <c r="H305"/>
    </row>
    <row r="306" spans="2:8" x14ac:dyDescent="0.25">
      <c r="B306"/>
      <c r="C306"/>
      <c r="D306"/>
      <c r="E306"/>
      <c r="F306"/>
      <c r="G306"/>
      <c r="H306"/>
    </row>
    <row r="307" spans="2:8" x14ac:dyDescent="0.25">
      <c r="B307"/>
      <c r="C307"/>
      <c r="D307"/>
      <c r="E307"/>
      <c r="F307"/>
      <c r="G307"/>
      <c r="H307"/>
    </row>
    <row r="308" spans="2:8" x14ac:dyDescent="0.25">
      <c r="B308"/>
      <c r="C308"/>
      <c r="D308"/>
      <c r="E308"/>
      <c r="F308"/>
      <c r="G308"/>
      <c r="H308"/>
    </row>
    <row r="309" spans="2:8" x14ac:dyDescent="0.25">
      <c r="B309"/>
      <c r="C309"/>
      <c r="D309"/>
      <c r="E309"/>
      <c r="F309"/>
      <c r="G309"/>
      <c r="H309"/>
    </row>
    <row r="310" spans="2:8" x14ac:dyDescent="0.25">
      <c r="B310"/>
      <c r="C310"/>
      <c r="D310"/>
      <c r="E310"/>
      <c r="F310"/>
      <c r="G310"/>
      <c r="H310"/>
    </row>
    <row r="311" spans="2:8" x14ac:dyDescent="0.25">
      <c r="B311"/>
      <c r="C311"/>
      <c r="D311"/>
      <c r="E311"/>
      <c r="F311"/>
      <c r="G311"/>
      <c r="H311"/>
    </row>
    <row r="312" spans="2:8" x14ac:dyDescent="0.25">
      <c r="B312"/>
      <c r="C312"/>
      <c r="D312"/>
      <c r="E312"/>
      <c r="F312"/>
      <c r="G312"/>
      <c r="H312"/>
    </row>
    <row r="313" spans="2:8" x14ac:dyDescent="0.25">
      <c r="B313"/>
      <c r="C313"/>
      <c r="D313"/>
      <c r="E313"/>
      <c r="F313"/>
      <c r="G313"/>
      <c r="H313"/>
    </row>
    <row r="314" spans="2:8" x14ac:dyDescent="0.25">
      <c r="B314"/>
      <c r="C314"/>
      <c r="D314"/>
      <c r="E314"/>
      <c r="F314"/>
      <c r="G314"/>
      <c r="H314"/>
    </row>
    <row r="315" spans="2:8" x14ac:dyDescent="0.25">
      <c r="B315"/>
      <c r="C315"/>
      <c r="D315"/>
      <c r="E315"/>
      <c r="F315"/>
      <c r="G315"/>
      <c r="H315"/>
    </row>
    <row r="316" spans="2:8" x14ac:dyDescent="0.25">
      <c r="B316"/>
      <c r="C316"/>
      <c r="D316"/>
      <c r="E316"/>
      <c r="F316"/>
      <c r="G316"/>
      <c r="H316"/>
    </row>
    <row r="317" spans="2:8" x14ac:dyDescent="0.25">
      <c r="B317"/>
      <c r="C317"/>
      <c r="D317"/>
      <c r="E317"/>
      <c r="F317"/>
      <c r="G317"/>
      <c r="H317"/>
    </row>
    <row r="318" spans="2:8" x14ac:dyDescent="0.25">
      <c r="B318"/>
      <c r="C318"/>
      <c r="D318"/>
      <c r="E318"/>
      <c r="F318"/>
      <c r="G318"/>
      <c r="H318"/>
    </row>
    <row r="319" spans="2:8" x14ac:dyDescent="0.25">
      <c r="B319"/>
      <c r="C319"/>
      <c r="D319"/>
      <c r="E319"/>
      <c r="F319"/>
      <c r="G319"/>
      <c r="H319"/>
    </row>
    <row r="320" spans="2:8" x14ac:dyDescent="0.25">
      <c r="B320"/>
      <c r="C320"/>
      <c r="D320"/>
      <c r="E320"/>
      <c r="F320"/>
      <c r="G320"/>
      <c r="H320"/>
    </row>
    <row r="321" spans="2:8" x14ac:dyDescent="0.25">
      <c r="B321"/>
      <c r="C321"/>
      <c r="D321"/>
      <c r="E321"/>
      <c r="F321"/>
      <c r="G321"/>
      <c r="H321"/>
    </row>
    <row r="322" spans="2:8" x14ac:dyDescent="0.25">
      <c r="B322"/>
      <c r="C322"/>
      <c r="D322"/>
      <c r="E322"/>
      <c r="F322"/>
      <c r="G322"/>
      <c r="H322"/>
    </row>
    <row r="323" spans="2:8" x14ac:dyDescent="0.25">
      <c r="B323"/>
      <c r="C323"/>
      <c r="D323"/>
      <c r="E323"/>
      <c r="F323"/>
      <c r="G323"/>
      <c r="H323"/>
    </row>
    <row r="324" spans="2:8" x14ac:dyDescent="0.25">
      <c r="B324"/>
      <c r="C324"/>
      <c r="D324"/>
      <c r="E324"/>
      <c r="F324"/>
      <c r="G324"/>
      <c r="H324"/>
    </row>
    <row r="325" spans="2:8" x14ac:dyDescent="0.25">
      <c r="B325"/>
      <c r="C325"/>
      <c r="D325"/>
      <c r="E325"/>
      <c r="F325"/>
      <c r="G325"/>
      <c r="H325"/>
    </row>
    <row r="326" spans="2:8" x14ac:dyDescent="0.25">
      <c r="B326"/>
      <c r="C326"/>
      <c r="D326"/>
      <c r="E326"/>
      <c r="F326"/>
      <c r="G326"/>
      <c r="H326"/>
    </row>
    <row r="327" spans="2:8" x14ac:dyDescent="0.25">
      <c r="B327"/>
      <c r="C327"/>
      <c r="D327"/>
      <c r="E327"/>
      <c r="F327"/>
      <c r="G327"/>
      <c r="H327"/>
    </row>
    <row r="328" spans="2:8" x14ac:dyDescent="0.25">
      <c r="B328"/>
      <c r="C328"/>
      <c r="D328"/>
      <c r="E328"/>
      <c r="F328"/>
      <c r="G328"/>
      <c r="H328"/>
    </row>
    <row r="329" spans="2:8" x14ac:dyDescent="0.25">
      <c r="B329"/>
      <c r="C329"/>
      <c r="D329"/>
      <c r="E329"/>
      <c r="F329"/>
      <c r="G329"/>
      <c r="H329"/>
    </row>
    <row r="330" spans="2:8" x14ac:dyDescent="0.25">
      <c r="B330"/>
      <c r="C330"/>
      <c r="D330"/>
      <c r="E330"/>
      <c r="F330"/>
      <c r="G330"/>
      <c r="H330"/>
    </row>
    <row r="331" spans="2:8" x14ac:dyDescent="0.25">
      <c r="B331"/>
      <c r="C331"/>
      <c r="D331"/>
      <c r="E331"/>
      <c r="F331"/>
      <c r="G331"/>
      <c r="H331"/>
    </row>
    <row r="332" spans="2:8" x14ac:dyDescent="0.25">
      <c r="B332"/>
      <c r="C332"/>
      <c r="D332"/>
      <c r="E332"/>
      <c r="F332"/>
      <c r="G332"/>
      <c r="H332"/>
    </row>
    <row r="333" spans="2:8" x14ac:dyDescent="0.25">
      <c r="B333"/>
      <c r="C333"/>
      <c r="D333"/>
      <c r="E333"/>
      <c r="F333"/>
      <c r="G333"/>
      <c r="H333"/>
    </row>
    <row r="334" spans="2:8" x14ac:dyDescent="0.25">
      <c r="B334"/>
      <c r="C334"/>
      <c r="D334"/>
      <c r="E334"/>
      <c r="F334"/>
      <c r="G334"/>
      <c r="H334"/>
    </row>
    <row r="335" spans="2:8" x14ac:dyDescent="0.25">
      <c r="B335"/>
      <c r="C335"/>
      <c r="D335"/>
      <c r="E335"/>
      <c r="F335"/>
      <c r="G335"/>
      <c r="H335"/>
    </row>
    <row r="336" spans="2:8" x14ac:dyDescent="0.25">
      <c r="B336"/>
      <c r="C336"/>
      <c r="D336"/>
      <c r="E336"/>
      <c r="F336"/>
      <c r="G336"/>
      <c r="H336"/>
    </row>
    <row r="337" spans="2:8" x14ac:dyDescent="0.25">
      <c r="B337"/>
      <c r="C337"/>
      <c r="D337"/>
      <c r="E337"/>
      <c r="F337"/>
      <c r="G337"/>
      <c r="H337"/>
    </row>
    <row r="338" spans="2:8" x14ac:dyDescent="0.25">
      <c r="B338"/>
      <c r="C338"/>
      <c r="D338"/>
      <c r="E338"/>
      <c r="F338"/>
      <c r="G338"/>
      <c r="H338"/>
    </row>
    <row r="339" spans="2:8" x14ac:dyDescent="0.25">
      <c r="B339"/>
      <c r="C339"/>
      <c r="D339"/>
      <c r="E339"/>
      <c r="F339"/>
      <c r="G339"/>
      <c r="H339"/>
    </row>
    <row r="340" spans="2:8" x14ac:dyDescent="0.25">
      <c r="B340"/>
      <c r="C340"/>
      <c r="D340"/>
      <c r="E340"/>
      <c r="F340"/>
      <c r="G340"/>
      <c r="H340"/>
    </row>
    <row r="341" spans="2:8" x14ac:dyDescent="0.25">
      <c r="B341"/>
      <c r="C341"/>
      <c r="D341"/>
      <c r="E341"/>
      <c r="F341"/>
      <c r="G341"/>
      <c r="H341"/>
    </row>
    <row r="342" spans="2:8" x14ac:dyDescent="0.25">
      <c r="B342"/>
      <c r="C342"/>
      <c r="D342"/>
      <c r="E342"/>
      <c r="F342"/>
      <c r="G342"/>
      <c r="H342"/>
    </row>
    <row r="343" spans="2:8" x14ac:dyDescent="0.25">
      <c r="B343"/>
      <c r="C343"/>
      <c r="D343"/>
      <c r="E343"/>
      <c r="F343"/>
      <c r="G343"/>
      <c r="H343"/>
    </row>
    <row r="344" spans="2:8" x14ac:dyDescent="0.25">
      <c r="B344"/>
      <c r="C344"/>
      <c r="D344"/>
      <c r="E344"/>
      <c r="F344"/>
      <c r="G344"/>
      <c r="H344"/>
    </row>
    <row r="345" spans="2:8" x14ac:dyDescent="0.25">
      <c r="B345"/>
      <c r="C345"/>
      <c r="D345"/>
      <c r="E345"/>
      <c r="F345"/>
      <c r="G345"/>
      <c r="H345"/>
    </row>
    <row r="346" spans="2:8" x14ac:dyDescent="0.25">
      <c r="B346"/>
      <c r="C346"/>
      <c r="D346"/>
      <c r="E346"/>
      <c r="F346"/>
      <c r="G346"/>
      <c r="H346"/>
    </row>
    <row r="347" spans="2:8" x14ac:dyDescent="0.25">
      <c r="B347"/>
      <c r="C347"/>
      <c r="D347"/>
      <c r="E347"/>
      <c r="F347"/>
      <c r="G347"/>
      <c r="H347"/>
    </row>
    <row r="348" spans="2:8" x14ac:dyDescent="0.25">
      <c r="B348"/>
      <c r="C348"/>
      <c r="D348"/>
      <c r="E348"/>
      <c r="F348"/>
      <c r="G348"/>
      <c r="H348"/>
    </row>
    <row r="349" spans="2:8" x14ac:dyDescent="0.25">
      <c r="B349"/>
      <c r="C349"/>
      <c r="D349"/>
      <c r="E349"/>
      <c r="F349"/>
      <c r="G349"/>
      <c r="H349"/>
    </row>
    <row r="350" spans="2:8" x14ac:dyDescent="0.25">
      <c r="B350"/>
      <c r="C350"/>
      <c r="D350"/>
      <c r="E350"/>
      <c r="F350"/>
      <c r="G350"/>
      <c r="H350"/>
    </row>
    <row r="351" spans="2:8" x14ac:dyDescent="0.25">
      <c r="B351"/>
      <c r="C351"/>
      <c r="D351"/>
      <c r="E351"/>
      <c r="F351"/>
      <c r="G351"/>
      <c r="H351"/>
    </row>
    <row r="352" spans="2:8" x14ac:dyDescent="0.25">
      <c r="B352"/>
      <c r="C352"/>
      <c r="D352"/>
      <c r="E352"/>
      <c r="F352"/>
      <c r="G352"/>
      <c r="H352"/>
    </row>
    <row r="353" spans="2:8" x14ac:dyDescent="0.25">
      <c r="B353"/>
      <c r="C353"/>
      <c r="D353"/>
      <c r="E353"/>
      <c r="F353"/>
      <c r="G353"/>
      <c r="H353"/>
    </row>
    <row r="354" spans="2:8" x14ac:dyDescent="0.25">
      <c r="B354"/>
      <c r="C354"/>
      <c r="D354"/>
      <c r="E354"/>
      <c r="F354"/>
      <c r="G354"/>
      <c r="H354"/>
    </row>
    <row r="355" spans="2:8" x14ac:dyDescent="0.25">
      <c r="B355"/>
      <c r="C355"/>
      <c r="D355"/>
      <c r="E355"/>
      <c r="F355"/>
      <c r="G355"/>
      <c r="H355"/>
    </row>
    <row r="356" spans="2:8" x14ac:dyDescent="0.25">
      <c r="B356"/>
      <c r="C356"/>
      <c r="D356"/>
      <c r="E356"/>
      <c r="F356"/>
      <c r="G356"/>
      <c r="H356"/>
    </row>
    <row r="357" spans="2:8" x14ac:dyDescent="0.25">
      <c r="B357"/>
      <c r="C357"/>
      <c r="D357"/>
      <c r="E357"/>
      <c r="F357"/>
      <c r="G357"/>
      <c r="H357"/>
    </row>
    <row r="358" spans="2:8" x14ac:dyDescent="0.25">
      <c r="B358"/>
      <c r="C358"/>
      <c r="D358"/>
      <c r="E358"/>
      <c r="F358"/>
      <c r="G358"/>
      <c r="H358"/>
    </row>
    <row r="359" spans="2:8" x14ac:dyDescent="0.25">
      <c r="B359"/>
      <c r="C359"/>
      <c r="D359"/>
      <c r="E359"/>
      <c r="F359"/>
      <c r="G359"/>
      <c r="H359"/>
    </row>
    <row r="360" spans="2:8" x14ac:dyDescent="0.25">
      <c r="B360"/>
      <c r="C360"/>
      <c r="D360"/>
      <c r="E360"/>
      <c r="F360"/>
      <c r="G360"/>
      <c r="H360"/>
    </row>
    <row r="361" spans="2:8" x14ac:dyDescent="0.25">
      <c r="B361"/>
      <c r="C361"/>
      <c r="D361"/>
      <c r="E361"/>
      <c r="F361"/>
      <c r="G361"/>
      <c r="H361"/>
    </row>
    <row r="362" spans="2:8" x14ac:dyDescent="0.25">
      <c r="B362"/>
      <c r="C362"/>
      <c r="D362"/>
      <c r="E362"/>
      <c r="F362"/>
      <c r="G362"/>
      <c r="H362"/>
    </row>
    <row r="363" spans="2:8" x14ac:dyDescent="0.25">
      <c r="B363"/>
      <c r="C363"/>
      <c r="D363"/>
      <c r="E363"/>
      <c r="F363"/>
      <c r="G363"/>
      <c r="H363"/>
    </row>
    <row r="364" spans="2:8" x14ac:dyDescent="0.25">
      <c r="B364"/>
      <c r="C364"/>
      <c r="D364"/>
      <c r="E364"/>
      <c r="F364"/>
      <c r="G364"/>
      <c r="H364"/>
    </row>
    <row r="365" spans="2:8" x14ac:dyDescent="0.25">
      <c r="B365"/>
      <c r="C365"/>
      <c r="D365"/>
      <c r="E365"/>
      <c r="F365"/>
      <c r="G365"/>
      <c r="H365"/>
    </row>
    <row r="366" spans="2:8" x14ac:dyDescent="0.25">
      <c r="B366"/>
      <c r="C366"/>
      <c r="D366"/>
      <c r="E366"/>
      <c r="F366"/>
      <c r="G366"/>
      <c r="H366"/>
    </row>
    <row r="367" spans="2:8" x14ac:dyDescent="0.25">
      <c r="B367"/>
      <c r="C367"/>
      <c r="D367"/>
      <c r="E367"/>
      <c r="F367"/>
      <c r="G367"/>
      <c r="H367"/>
    </row>
    <row r="368" spans="2:8" x14ac:dyDescent="0.25">
      <c r="B368"/>
      <c r="C368"/>
      <c r="D368"/>
      <c r="E368"/>
      <c r="F368"/>
      <c r="G368"/>
      <c r="H368"/>
    </row>
    <row r="369" spans="2:8" x14ac:dyDescent="0.25">
      <c r="B369"/>
      <c r="C369"/>
      <c r="D369"/>
      <c r="E369"/>
      <c r="F369"/>
      <c r="G369"/>
      <c r="H369"/>
    </row>
    <row r="370" spans="2:8" x14ac:dyDescent="0.25">
      <c r="B370"/>
      <c r="C370"/>
      <c r="D370"/>
      <c r="E370"/>
      <c r="F370"/>
      <c r="G370"/>
      <c r="H370"/>
    </row>
    <row r="371" spans="2:8" x14ac:dyDescent="0.25">
      <c r="B371"/>
      <c r="C371"/>
      <c r="D371"/>
      <c r="E371"/>
      <c r="F371"/>
      <c r="G371"/>
      <c r="H371"/>
    </row>
    <row r="372" spans="2:8" x14ac:dyDescent="0.25">
      <c r="B372"/>
      <c r="C372"/>
      <c r="D372"/>
      <c r="E372"/>
      <c r="F372"/>
      <c r="G372"/>
      <c r="H372"/>
    </row>
    <row r="373" spans="2:8" x14ac:dyDescent="0.25">
      <c r="B373"/>
      <c r="C373"/>
      <c r="D373"/>
      <c r="E373"/>
      <c r="F373"/>
      <c r="G373"/>
      <c r="H373"/>
    </row>
    <row r="374" spans="2:8" x14ac:dyDescent="0.25">
      <c r="B374"/>
      <c r="C374"/>
      <c r="D374"/>
      <c r="E374"/>
      <c r="F374"/>
      <c r="G374"/>
      <c r="H374"/>
    </row>
    <row r="375" spans="2:8" x14ac:dyDescent="0.25">
      <c r="B375"/>
      <c r="C375"/>
      <c r="D375"/>
      <c r="E375"/>
      <c r="F375"/>
      <c r="G375"/>
      <c r="H375"/>
    </row>
    <row r="376" spans="2:8" x14ac:dyDescent="0.25">
      <c r="B376"/>
      <c r="C376"/>
      <c r="D376"/>
      <c r="E376"/>
      <c r="F376"/>
      <c r="G376"/>
      <c r="H376"/>
    </row>
    <row r="377" spans="2:8" x14ac:dyDescent="0.25">
      <c r="B377"/>
      <c r="C377"/>
      <c r="D377"/>
      <c r="E377"/>
      <c r="F377"/>
      <c r="G377"/>
      <c r="H377"/>
    </row>
    <row r="378" spans="2:8" x14ac:dyDescent="0.25">
      <c r="B378"/>
      <c r="C378"/>
      <c r="D378"/>
      <c r="E378"/>
      <c r="F378"/>
      <c r="G378"/>
      <c r="H378"/>
    </row>
    <row r="379" spans="2:8" x14ac:dyDescent="0.25">
      <c r="B379"/>
      <c r="C379"/>
      <c r="D379"/>
      <c r="E379"/>
      <c r="F379"/>
      <c r="G379"/>
      <c r="H379"/>
    </row>
    <row r="380" spans="2:8" x14ac:dyDescent="0.25">
      <c r="B380"/>
      <c r="C380"/>
      <c r="D380"/>
      <c r="E380"/>
      <c r="F380"/>
      <c r="G380"/>
      <c r="H380"/>
    </row>
    <row r="381" spans="2:8" x14ac:dyDescent="0.25">
      <c r="B381"/>
      <c r="C381"/>
      <c r="D381"/>
      <c r="E381"/>
      <c r="F381"/>
      <c r="G381"/>
      <c r="H381"/>
    </row>
    <row r="382" spans="2:8" x14ac:dyDescent="0.25">
      <c r="B382"/>
      <c r="C382"/>
      <c r="D382"/>
      <c r="E382"/>
      <c r="F382"/>
      <c r="G382"/>
      <c r="H382"/>
    </row>
    <row r="383" spans="2:8" x14ac:dyDescent="0.25">
      <c r="B383"/>
      <c r="C383"/>
      <c r="D383"/>
      <c r="E383"/>
      <c r="F383"/>
      <c r="G383"/>
      <c r="H383"/>
    </row>
    <row r="384" spans="2:8" x14ac:dyDescent="0.25">
      <c r="B384"/>
      <c r="C384"/>
      <c r="D384"/>
      <c r="E384"/>
      <c r="F384"/>
      <c r="G384"/>
      <c r="H384"/>
    </row>
    <row r="385" spans="2:8" x14ac:dyDescent="0.25">
      <c r="B385"/>
      <c r="C385"/>
      <c r="D385"/>
      <c r="E385"/>
      <c r="F385"/>
      <c r="G385"/>
      <c r="H385"/>
    </row>
    <row r="386" spans="2:8" x14ac:dyDescent="0.25">
      <c r="B386"/>
      <c r="C386"/>
      <c r="D386"/>
      <c r="E386"/>
      <c r="F386"/>
      <c r="G386"/>
      <c r="H386"/>
    </row>
    <row r="387" spans="2:8" x14ac:dyDescent="0.25">
      <c r="B387"/>
      <c r="C387"/>
      <c r="D387"/>
      <c r="E387"/>
      <c r="F387"/>
      <c r="G387"/>
      <c r="H387"/>
    </row>
    <row r="388" spans="2:8" x14ac:dyDescent="0.25">
      <c r="B388"/>
      <c r="C388"/>
      <c r="D388"/>
      <c r="E388"/>
      <c r="F388"/>
      <c r="G388"/>
      <c r="H388"/>
    </row>
    <row r="389" spans="2:8" x14ac:dyDescent="0.25">
      <c r="B389"/>
      <c r="C389"/>
      <c r="D389"/>
      <c r="E389"/>
      <c r="F389"/>
      <c r="G389"/>
      <c r="H389"/>
    </row>
    <row r="390" spans="2:8" x14ac:dyDescent="0.25">
      <c r="B390"/>
      <c r="C390"/>
      <c r="D390"/>
      <c r="E390"/>
      <c r="F390"/>
      <c r="G390"/>
      <c r="H390"/>
    </row>
    <row r="391" spans="2:8" x14ac:dyDescent="0.25">
      <c r="B391"/>
      <c r="C391"/>
      <c r="D391"/>
      <c r="E391"/>
      <c r="F391"/>
      <c r="G391"/>
      <c r="H391"/>
    </row>
    <row r="392" spans="2:8" x14ac:dyDescent="0.25">
      <c r="B392"/>
      <c r="C392"/>
      <c r="D392"/>
      <c r="E392"/>
      <c r="F392"/>
      <c r="G392"/>
      <c r="H392"/>
    </row>
    <row r="393" spans="2:8" x14ac:dyDescent="0.25">
      <c r="B393"/>
      <c r="C393"/>
      <c r="D393"/>
      <c r="E393"/>
      <c r="F393"/>
      <c r="G393"/>
      <c r="H393"/>
    </row>
    <row r="394" spans="2:8" x14ac:dyDescent="0.25">
      <c r="B394"/>
      <c r="C394"/>
      <c r="D394"/>
      <c r="E394"/>
      <c r="F394"/>
      <c r="G394"/>
      <c r="H394"/>
    </row>
    <row r="395" spans="2:8" x14ac:dyDescent="0.25">
      <c r="B395"/>
      <c r="C395"/>
      <c r="D395"/>
      <c r="E395"/>
      <c r="F395"/>
      <c r="G395"/>
      <c r="H395"/>
    </row>
    <row r="396" spans="2:8" x14ac:dyDescent="0.25">
      <c r="B396"/>
      <c r="C396"/>
      <c r="D396"/>
      <c r="E396"/>
      <c r="F396"/>
      <c r="G396"/>
      <c r="H396"/>
    </row>
    <row r="397" spans="2:8" x14ac:dyDescent="0.25">
      <c r="B397"/>
      <c r="C397"/>
      <c r="D397"/>
      <c r="E397"/>
      <c r="F397"/>
      <c r="G397"/>
      <c r="H397"/>
    </row>
    <row r="398" spans="2:8" x14ac:dyDescent="0.25">
      <c r="B398"/>
      <c r="C398"/>
      <c r="D398"/>
      <c r="E398"/>
      <c r="F398"/>
      <c r="G398"/>
      <c r="H398"/>
    </row>
    <row r="399" spans="2:8" x14ac:dyDescent="0.25">
      <c r="B399"/>
      <c r="C399"/>
      <c r="D399"/>
      <c r="E399"/>
      <c r="F399"/>
      <c r="G399"/>
      <c r="H399"/>
    </row>
    <row r="400" spans="2:8" x14ac:dyDescent="0.25">
      <c r="B400"/>
      <c r="C400"/>
      <c r="D400"/>
      <c r="E400"/>
      <c r="F400"/>
      <c r="G400"/>
      <c r="H400"/>
    </row>
    <row r="401" spans="2:8" x14ac:dyDescent="0.25">
      <c r="B401"/>
      <c r="C401"/>
      <c r="D401"/>
      <c r="E401"/>
      <c r="F401"/>
      <c r="G401"/>
      <c r="H401"/>
    </row>
    <row r="402" spans="2:8" x14ac:dyDescent="0.25">
      <c r="B402"/>
      <c r="C402"/>
      <c r="D402"/>
      <c r="E402"/>
      <c r="F402"/>
      <c r="G402"/>
      <c r="H402"/>
    </row>
    <row r="403" spans="2:8" x14ac:dyDescent="0.25">
      <c r="B403"/>
      <c r="C403"/>
      <c r="D403"/>
      <c r="E403"/>
      <c r="F403"/>
      <c r="G403"/>
      <c r="H403"/>
    </row>
    <row r="404" spans="2:8" x14ac:dyDescent="0.25">
      <c r="B404"/>
      <c r="C404"/>
      <c r="D404"/>
      <c r="E404"/>
      <c r="F404"/>
      <c r="G404"/>
      <c r="H404"/>
    </row>
    <row r="405" spans="2:8" x14ac:dyDescent="0.25">
      <c r="B405"/>
      <c r="C405"/>
      <c r="D405"/>
      <c r="E405"/>
      <c r="F405"/>
      <c r="G405"/>
      <c r="H405"/>
    </row>
    <row r="406" spans="2:8" x14ac:dyDescent="0.25">
      <c r="B406"/>
      <c r="C406"/>
      <c r="D406"/>
      <c r="E406"/>
      <c r="F406"/>
      <c r="G406"/>
      <c r="H406"/>
    </row>
    <row r="407" spans="2:8" x14ac:dyDescent="0.25">
      <c r="B407"/>
      <c r="C407"/>
      <c r="D407"/>
      <c r="E407"/>
      <c r="F407"/>
      <c r="G407"/>
      <c r="H407"/>
    </row>
    <row r="408" spans="2:8" x14ac:dyDescent="0.25">
      <c r="B408"/>
      <c r="C408"/>
      <c r="D408"/>
      <c r="E408"/>
      <c r="F408"/>
      <c r="G408"/>
      <c r="H408"/>
    </row>
    <row r="409" spans="2:8" x14ac:dyDescent="0.25">
      <c r="B409"/>
      <c r="C409"/>
      <c r="D409"/>
      <c r="E409"/>
      <c r="F409"/>
      <c r="G409"/>
      <c r="H409"/>
    </row>
    <row r="410" spans="2:8" x14ac:dyDescent="0.25">
      <c r="B410"/>
      <c r="C410"/>
      <c r="D410"/>
      <c r="E410"/>
      <c r="F410"/>
      <c r="G410"/>
      <c r="H410"/>
    </row>
    <row r="411" spans="2:8" x14ac:dyDescent="0.25">
      <c r="B411"/>
      <c r="C411"/>
      <c r="D411"/>
      <c r="E411"/>
      <c r="F411"/>
      <c r="G411"/>
      <c r="H411"/>
    </row>
    <row r="412" spans="2:8" x14ac:dyDescent="0.25">
      <c r="B412"/>
      <c r="C412"/>
      <c r="D412"/>
      <c r="E412"/>
      <c r="F412"/>
      <c r="G412"/>
      <c r="H412"/>
    </row>
    <row r="413" spans="2:8" x14ac:dyDescent="0.25">
      <c r="B413"/>
      <c r="C413"/>
      <c r="D413"/>
      <c r="E413"/>
      <c r="F413"/>
      <c r="G413"/>
      <c r="H413"/>
    </row>
    <row r="414" spans="2:8" x14ac:dyDescent="0.25">
      <c r="B414"/>
      <c r="C414"/>
      <c r="D414"/>
      <c r="E414"/>
      <c r="F414"/>
      <c r="G414"/>
      <c r="H414"/>
    </row>
    <row r="415" spans="2:8" x14ac:dyDescent="0.25">
      <c r="B415"/>
      <c r="C415"/>
      <c r="D415"/>
      <c r="E415"/>
      <c r="F415"/>
      <c r="G415"/>
      <c r="H415"/>
    </row>
    <row r="416" spans="2:8" x14ac:dyDescent="0.25">
      <c r="B416"/>
      <c r="C416"/>
      <c r="D416"/>
      <c r="E416"/>
      <c r="F416"/>
      <c r="G416"/>
      <c r="H416"/>
    </row>
    <row r="417" spans="2:8" x14ac:dyDescent="0.25">
      <c r="B417"/>
      <c r="C417"/>
      <c r="D417"/>
      <c r="E417"/>
      <c r="F417"/>
      <c r="G417"/>
      <c r="H417"/>
    </row>
    <row r="418" spans="2:8" x14ac:dyDescent="0.25">
      <c r="B418"/>
      <c r="C418"/>
      <c r="D418"/>
      <c r="E418"/>
      <c r="F418"/>
      <c r="G418"/>
      <c r="H418"/>
    </row>
    <row r="419" spans="2:8" x14ac:dyDescent="0.25">
      <c r="B419"/>
      <c r="C419"/>
      <c r="D419"/>
      <c r="E419"/>
      <c r="F419"/>
      <c r="G419"/>
      <c r="H419"/>
    </row>
    <row r="420" spans="2:8" x14ac:dyDescent="0.25">
      <c r="B420"/>
      <c r="C420"/>
      <c r="D420"/>
      <c r="E420"/>
      <c r="F420"/>
      <c r="G420"/>
      <c r="H420"/>
    </row>
    <row r="421" spans="2:8" x14ac:dyDescent="0.25">
      <c r="B421"/>
      <c r="C421"/>
      <c r="D421"/>
      <c r="E421"/>
      <c r="F421"/>
      <c r="G421"/>
      <c r="H421"/>
    </row>
    <row r="422" spans="2:8" x14ac:dyDescent="0.25">
      <c r="B422"/>
      <c r="C422"/>
      <c r="D422"/>
      <c r="E422"/>
      <c r="F422"/>
      <c r="G422"/>
      <c r="H422"/>
    </row>
    <row r="423" spans="2:8" x14ac:dyDescent="0.25">
      <c r="B423"/>
      <c r="C423"/>
      <c r="D423"/>
      <c r="E423"/>
      <c r="F423"/>
      <c r="G423"/>
      <c r="H423"/>
    </row>
    <row r="424" spans="2:8" x14ac:dyDescent="0.25">
      <c r="B424"/>
      <c r="C424"/>
      <c r="D424"/>
      <c r="E424"/>
      <c r="F424"/>
      <c r="G424"/>
      <c r="H424"/>
    </row>
    <row r="425" spans="2:8" x14ac:dyDescent="0.25">
      <c r="B425"/>
      <c r="C425"/>
      <c r="D425"/>
      <c r="E425"/>
      <c r="F425"/>
      <c r="G425"/>
      <c r="H425"/>
    </row>
    <row r="426" spans="2:8" x14ac:dyDescent="0.25">
      <c r="B426"/>
      <c r="C426"/>
      <c r="D426"/>
      <c r="E426"/>
      <c r="F426"/>
      <c r="G426"/>
      <c r="H426"/>
    </row>
    <row r="427" spans="2:8" x14ac:dyDescent="0.25">
      <c r="B427"/>
      <c r="C427"/>
      <c r="D427"/>
      <c r="E427"/>
      <c r="F427"/>
      <c r="G427"/>
      <c r="H427"/>
    </row>
    <row r="428" spans="2:8" x14ac:dyDescent="0.25">
      <c r="B428"/>
      <c r="C428"/>
      <c r="D428"/>
      <c r="E428"/>
      <c r="F428"/>
      <c r="G428"/>
      <c r="H428"/>
    </row>
    <row r="429" spans="2:8" x14ac:dyDescent="0.25">
      <c r="B429"/>
      <c r="C429"/>
      <c r="D429"/>
      <c r="E429"/>
      <c r="F429"/>
      <c r="G429"/>
      <c r="H429"/>
    </row>
    <row r="430" spans="2:8" x14ac:dyDescent="0.25">
      <c r="B430"/>
      <c r="C430"/>
      <c r="D430"/>
      <c r="E430"/>
      <c r="F430"/>
      <c r="G430"/>
      <c r="H430"/>
    </row>
    <row r="431" spans="2:8" x14ac:dyDescent="0.25">
      <c r="B431"/>
      <c r="C431"/>
      <c r="D431"/>
      <c r="E431"/>
      <c r="F431"/>
      <c r="G431"/>
      <c r="H431"/>
    </row>
    <row r="432" spans="2:8" x14ac:dyDescent="0.25">
      <c r="B432"/>
      <c r="C432"/>
      <c r="D432"/>
      <c r="E432"/>
      <c r="F432"/>
      <c r="G432"/>
      <c r="H432"/>
    </row>
    <row r="433" spans="2:8" x14ac:dyDescent="0.25">
      <c r="B433"/>
      <c r="C433"/>
      <c r="D433"/>
      <c r="E433"/>
      <c r="F433"/>
      <c r="G433"/>
      <c r="H433"/>
    </row>
    <row r="434" spans="2:8" x14ac:dyDescent="0.25">
      <c r="B434"/>
      <c r="C434"/>
      <c r="D434"/>
      <c r="E434"/>
      <c r="F434"/>
      <c r="G434"/>
      <c r="H434"/>
    </row>
    <row r="435" spans="2:8" x14ac:dyDescent="0.25">
      <c r="B435"/>
      <c r="C435"/>
      <c r="D435"/>
      <c r="E435"/>
      <c r="F435"/>
      <c r="G435"/>
      <c r="H435"/>
    </row>
    <row r="436" spans="2:8" x14ac:dyDescent="0.25">
      <c r="B436"/>
      <c r="C436"/>
      <c r="D436"/>
      <c r="E436"/>
      <c r="F436"/>
      <c r="G436"/>
      <c r="H436"/>
    </row>
    <row r="437" spans="2:8" x14ac:dyDescent="0.25">
      <c r="B437"/>
      <c r="C437"/>
      <c r="D437"/>
      <c r="E437"/>
      <c r="F437"/>
      <c r="G437"/>
      <c r="H437"/>
    </row>
    <row r="438" spans="2:8" x14ac:dyDescent="0.25">
      <c r="B438"/>
      <c r="C438"/>
      <c r="D438"/>
      <c r="E438"/>
      <c r="F438"/>
      <c r="G438"/>
      <c r="H438"/>
    </row>
    <row r="439" spans="2:8" x14ac:dyDescent="0.25">
      <c r="B439"/>
      <c r="C439"/>
      <c r="D439"/>
      <c r="E439"/>
      <c r="F439"/>
      <c r="G439"/>
      <c r="H439"/>
    </row>
    <row r="440" spans="2:8" x14ac:dyDescent="0.25">
      <c r="B440"/>
      <c r="C440"/>
      <c r="D440"/>
      <c r="E440"/>
      <c r="F440"/>
      <c r="G440"/>
      <c r="H440"/>
    </row>
    <row r="441" spans="2:8" x14ac:dyDescent="0.25">
      <c r="B441"/>
      <c r="C441"/>
      <c r="D441"/>
      <c r="E441"/>
      <c r="F441"/>
      <c r="G441"/>
      <c r="H441"/>
    </row>
    <row r="442" spans="2:8" x14ac:dyDescent="0.25">
      <c r="B442"/>
      <c r="C442"/>
      <c r="D442"/>
      <c r="E442"/>
      <c r="F442"/>
      <c r="G442"/>
      <c r="H442"/>
    </row>
    <row r="443" spans="2:8" x14ac:dyDescent="0.25">
      <c r="B443"/>
      <c r="C443"/>
      <c r="D443"/>
      <c r="E443"/>
      <c r="F443"/>
      <c r="G443"/>
      <c r="H443"/>
    </row>
    <row r="444" spans="2:8" x14ac:dyDescent="0.25">
      <c r="B444"/>
      <c r="C444"/>
      <c r="D444"/>
      <c r="E444"/>
      <c r="F444"/>
      <c r="G444"/>
      <c r="H444"/>
    </row>
    <row r="445" spans="2:8" x14ac:dyDescent="0.25">
      <c r="B445"/>
      <c r="C445"/>
      <c r="D445"/>
      <c r="E445"/>
      <c r="F445"/>
      <c r="G445"/>
      <c r="H445"/>
    </row>
    <row r="446" spans="2:8" x14ac:dyDescent="0.25">
      <c r="B446"/>
      <c r="C446"/>
      <c r="D446"/>
      <c r="E446"/>
      <c r="F446"/>
      <c r="G446"/>
      <c r="H446"/>
    </row>
    <row r="447" spans="2:8" x14ac:dyDescent="0.25">
      <c r="B447"/>
      <c r="C447"/>
      <c r="D447"/>
      <c r="E447"/>
      <c r="F447"/>
      <c r="G447"/>
      <c r="H447"/>
    </row>
    <row r="448" spans="2:8" x14ac:dyDescent="0.25">
      <c r="B448"/>
      <c r="C448"/>
      <c r="D448"/>
      <c r="E448"/>
      <c r="F448"/>
      <c r="G448"/>
      <c r="H448"/>
    </row>
    <row r="449" spans="2:8" x14ac:dyDescent="0.25">
      <c r="B449"/>
      <c r="C449"/>
      <c r="D449"/>
      <c r="E449"/>
      <c r="F449"/>
      <c r="G449"/>
      <c r="H449"/>
    </row>
    <row r="450" spans="2:8" x14ac:dyDescent="0.25">
      <c r="B450"/>
      <c r="C450"/>
      <c r="D450"/>
      <c r="E450"/>
      <c r="F450"/>
      <c r="G450"/>
      <c r="H450"/>
    </row>
    <row r="451" spans="2:8" x14ac:dyDescent="0.25">
      <c r="B451"/>
      <c r="C451"/>
      <c r="D451"/>
      <c r="E451"/>
      <c r="F451"/>
      <c r="G451"/>
      <c r="H451"/>
    </row>
    <row r="452" spans="2:8" x14ac:dyDescent="0.25">
      <c r="B452"/>
      <c r="C452"/>
      <c r="D452"/>
      <c r="E452"/>
      <c r="F452"/>
      <c r="G452"/>
      <c r="H452"/>
    </row>
    <row r="453" spans="2:8" x14ac:dyDescent="0.25">
      <c r="B453"/>
      <c r="C453"/>
      <c r="D453"/>
      <c r="E453"/>
      <c r="F453"/>
      <c r="G453"/>
      <c r="H453"/>
    </row>
    <row r="454" spans="2:8" x14ac:dyDescent="0.25">
      <c r="B454"/>
      <c r="C454"/>
      <c r="D454"/>
      <c r="E454"/>
      <c r="F454"/>
      <c r="G454"/>
      <c r="H454"/>
    </row>
    <row r="455" spans="2:8" x14ac:dyDescent="0.25">
      <c r="B455"/>
      <c r="C455"/>
      <c r="D455"/>
      <c r="E455"/>
      <c r="F455"/>
      <c r="G455"/>
      <c r="H455"/>
    </row>
    <row r="456" spans="2:8" x14ac:dyDescent="0.25">
      <c r="B456"/>
      <c r="C456"/>
      <c r="D456"/>
      <c r="E456"/>
      <c r="F456"/>
      <c r="G456"/>
      <c r="H456"/>
    </row>
    <row r="457" spans="2:8" x14ac:dyDescent="0.25">
      <c r="B457"/>
      <c r="C457"/>
      <c r="D457"/>
      <c r="E457"/>
      <c r="F457"/>
      <c r="G457"/>
      <c r="H457"/>
    </row>
    <row r="458" spans="2:8" x14ac:dyDescent="0.25">
      <c r="B458"/>
      <c r="C458"/>
      <c r="D458"/>
      <c r="E458"/>
      <c r="F458"/>
      <c r="G458"/>
      <c r="H458"/>
    </row>
    <row r="459" spans="2:8" x14ac:dyDescent="0.25">
      <c r="B459"/>
      <c r="C459"/>
      <c r="D459"/>
      <c r="E459"/>
      <c r="F459"/>
      <c r="G459"/>
      <c r="H459"/>
    </row>
    <row r="460" spans="2:8" x14ac:dyDescent="0.25">
      <c r="B460"/>
      <c r="C460"/>
      <c r="D460"/>
      <c r="E460"/>
      <c r="F460"/>
      <c r="G460"/>
      <c r="H460"/>
    </row>
    <row r="461" spans="2:8" x14ac:dyDescent="0.25">
      <c r="B461"/>
      <c r="C461"/>
      <c r="D461"/>
      <c r="E461"/>
      <c r="F461"/>
      <c r="G461"/>
      <c r="H461"/>
    </row>
    <row r="462" spans="2:8" x14ac:dyDescent="0.25">
      <c r="B462"/>
      <c r="C462"/>
      <c r="D462"/>
      <c r="E462"/>
      <c r="F462"/>
      <c r="G462"/>
      <c r="H462"/>
    </row>
    <row r="463" spans="2:8" x14ac:dyDescent="0.25">
      <c r="B463"/>
      <c r="C463"/>
      <c r="D463"/>
      <c r="E463"/>
      <c r="F463"/>
      <c r="G463"/>
      <c r="H463"/>
    </row>
    <row r="464" spans="2:8" x14ac:dyDescent="0.25">
      <c r="B464"/>
      <c r="C464"/>
      <c r="D464"/>
      <c r="E464"/>
      <c r="F464"/>
      <c r="G464"/>
      <c r="H464"/>
    </row>
    <row r="465" spans="2:8" x14ac:dyDescent="0.25">
      <c r="B465"/>
      <c r="C465"/>
      <c r="D465"/>
      <c r="E465"/>
      <c r="F465"/>
      <c r="G465"/>
      <c r="H465"/>
    </row>
    <row r="466" spans="2:8" x14ac:dyDescent="0.25">
      <c r="B466"/>
      <c r="C466"/>
      <c r="D466"/>
      <c r="E466"/>
      <c r="F466"/>
      <c r="G466"/>
      <c r="H466"/>
    </row>
    <row r="467" spans="2:8" x14ac:dyDescent="0.25">
      <c r="B467"/>
      <c r="C467"/>
      <c r="D467"/>
      <c r="E467"/>
      <c r="F467"/>
      <c r="G467"/>
      <c r="H467"/>
    </row>
    <row r="468" spans="2:8" x14ac:dyDescent="0.25">
      <c r="B468"/>
      <c r="C468"/>
      <c r="D468"/>
      <c r="E468"/>
      <c r="F468"/>
      <c r="G468"/>
      <c r="H468"/>
    </row>
    <row r="469" spans="2:8" x14ac:dyDescent="0.25">
      <c r="B469"/>
      <c r="C469"/>
      <c r="D469"/>
      <c r="E469"/>
      <c r="F469"/>
      <c r="G469"/>
      <c r="H469"/>
    </row>
    <row r="470" spans="2:8" x14ac:dyDescent="0.25">
      <c r="B470"/>
      <c r="C470"/>
      <c r="D470"/>
      <c r="E470"/>
      <c r="F470"/>
      <c r="G470"/>
      <c r="H470"/>
    </row>
    <row r="471" spans="2:8" x14ac:dyDescent="0.25">
      <c r="B471"/>
      <c r="C471"/>
      <c r="D471"/>
      <c r="E471"/>
      <c r="F471"/>
      <c r="G471"/>
      <c r="H471"/>
    </row>
    <row r="472" spans="2:8" x14ac:dyDescent="0.25">
      <c r="B472"/>
      <c r="C472"/>
      <c r="D472"/>
      <c r="E472"/>
      <c r="F472"/>
      <c r="G472"/>
      <c r="H472"/>
    </row>
    <row r="473" spans="2:8" x14ac:dyDescent="0.25">
      <c r="B473"/>
      <c r="C473"/>
      <c r="D473"/>
      <c r="E473"/>
      <c r="F473"/>
      <c r="G473"/>
      <c r="H473"/>
    </row>
    <row r="474" spans="2:8" x14ac:dyDescent="0.25">
      <c r="B474"/>
      <c r="C474"/>
      <c r="D474"/>
      <c r="E474"/>
      <c r="F474"/>
      <c r="G474"/>
      <c r="H474"/>
    </row>
    <row r="475" spans="2:8" x14ac:dyDescent="0.25">
      <c r="B475"/>
      <c r="C475"/>
      <c r="D475"/>
      <c r="E475"/>
      <c r="F475"/>
      <c r="G475"/>
      <c r="H475"/>
    </row>
    <row r="476" spans="2:8" x14ac:dyDescent="0.25">
      <c r="B476"/>
      <c r="C476"/>
      <c r="D476"/>
      <c r="E476"/>
      <c r="F476"/>
      <c r="G476"/>
      <c r="H476"/>
    </row>
    <row r="477" spans="2:8" x14ac:dyDescent="0.25">
      <c r="B477"/>
      <c r="C477"/>
      <c r="D477"/>
      <c r="E477"/>
      <c r="F477"/>
      <c r="G477"/>
      <c r="H477"/>
    </row>
    <row r="478" spans="2:8" x14ac:dyDescent="0.25">
      <c r="B478"/>
      <c r="C478"/>
      <c r="D478"/>
      <c r="E478"/>
      <c r="F478"/>
      <c r="G478"/>
      <c r="H478"/>
    </row>
    <row r="479" spans="2:8" x14ac:dyDescent="0.25">
      <c r="B479"/>
      <c r="C479"/>
      <c r="D479"/>
      <c r="E479"/>
      <c r="F479"/>
      <c r="G479"/>
      <c r="H479"/>
    </row>
    <row r="480" spans="2:8" x14ac:dyDescent="0.25">
      <c r="B480"/>
      <c r="C480"/>
      <c r="D480"/>
      <c r="E480"/>
      <c r="F480"/>
      <c r="G480"/>
      <c r="H480"/>
    </row>
    <row r="481" spans="2:8" x14ac:dyDescent="0.25">
      <c r="B481"/>
      <c r="C481"/>
      <c r="D481"/>
      <c r="E481"/>
      <c r="F481"/>
      <c r="G481"/>
      <c r="H481"/>
    </row>
    <row r="482" spans="2:8" x14ac:dyDescent="0.25">
      <c r="B482"/>
      <c r="C482"/>
      <c r="D482"/>
      <c r="E482"/>
      <c r="F482"/>
      <c r="G482"/>
      <c r="H482"/>
    </row>
    <row r="483" spans="2:8" x14ac:dyDescent="0.25">
      <c r="B483"/>
      <c r="C483"/>
      <c r="D483"/>
      <c r="E483"/>
      <c r="F483"/>
      <c r="G483"/>
      <c r="H483"/>
    </row>
    <row r="484" spans="2:8" x14ac:dyDescent="0.25">
      <c r="B484"/>
      <c r="C484"/>
      <c r="D484"/>
      <c r="E484"/>
      <c r="F484"/>
      <c r="G484"/>
      <c r="H484"/>
    </row>
    <row r="485" spans="2:8" x14ac:dyDescent="0.25">
      <c r="B485"/>
      <c r="C485"/>
      <c r="D485"/>
      <c r="E485"/>
      <c r="F485"/>
      <c r="G485"/>
      <c r="H485"/>
    </row>
    <row r="486" spans="2:8" x14ac:dyDescent="0.25">
      <c r="B486"/>
      <c r="C486"/>
      <c r="D486"/>
      <c r="E486"/>
      <c r="F486"/>
      <c r="G486"/>
      <c r="H486"/>
    </row>
    <row r="487" spans="2:8" x14ac:dyDescent="0.25">
      <c r="B487"/>
      <c r="C487"/>
      <c r="D487"/>
      <c r="E487"/>
      <c r="F487"/>
      <c r="G487"/>
      <c r="H487"/>
    </row>
    <row r="488" spans="2:8" x14ac:dyDescent="0.25">
      <c r="B488"/>
      <c r="C488"/>
      <c r="D488"/>
      <c r="E488"/>
      <c r="F488"/>
      <c r="G488"/>
      <c r="H488"/>
    </row>
    <row r="489" spans="2:8" x14ac:dyDescent="0.25">
      <c r="B489"/>
      <c r="C489"/>
      <c r="D489"/>
      <c r="E489"/>
      <c r="F489"/>
      <c r="G489"/>
      <c r="H489"/>
    </row>
    <row r="490" spans="2:8" x14ac:dyDescent="0.25">
      <c r="B490"/>
      <c r="C490"/>
      <c r="D490"/>
      <c r="E490"/>
      <c r="F490"/>
      <c r="G490"/>
      <c r="H490"/>
    </row>
    <row r="491" spans="2:8" x14ac:dyDescent="0.25">
      <c r="B491"/>
      <c r="C491"/>
      <c r="D491"/>
      <c r="E491"/>
      <c r="F491"/>
      <c r="G491"/>
      <c r="H491"/>
    </row>
    <row r="492" spans="2:8" x14ac:dyDescent="0.25">
      <c r="B492"/>
      <c r="C492"/>
      <c r="D492"/>
      <c r="E492"/>
      <c r="F492"/>
      <c r="G492"/>
      <c r="H492"/>
    </row>
    <row r="493" spans="2:8" x14ac:dyDescent="0.25">
      <c r="B493"/>
      <c r="C493"/>
      <c r="D493"/>
      <c r="E493"/>
      <c r="F493"/>
      <c r="G493"/>
      <c r="H493"/>
    </row>
    <row r="494" spans="2:8" x14ac:dyDescent="0.25">
      <c r="B494"/>
      <c r="C494"/>
      <c r="D494"/>
      <c r="E494"/>
      <c r="F494"/>
      <c r="G494"/>
      <c r="H494"/>
    </row>
    <row r="495" spans="2:8" x14ac:dyDescent="0.25">
      <c r="B495"/>
      <c r="C495"/>
      <c r="D495"/>
      <c r="E495"/>
      <c r="F495"/>
      <c r="G495"/>
      <c r="H495"/>
    </row>
    <row r="496" spans="2:8" x14ac:dyDescent="0.25">
      <c r="B496"/>
      <c r="C496"/>
      <c r="D496"/>
      <c r="E496"/>
      <c r="F496"/>
      <c r="G496"/>
      <c r="H496"/>
    </row>
    <row r="497" spans="2:8" x14ac:dyDescent="0.25">
      <c r="B497"/>
      <c r="C497"/>
      <c r="D497"/>
      <c r="E497"/>
      <c r="F497"/>
      <c r="G497"/>
      <c r="H497"/>
    </row>
    <row r="498" spans="2:8" x14ac:dyDescent="0.25">
      <c r="B498"/>
      <c r="C498"/>
      <c r="D498"/>
      <c r="E498"/>
      <c r="F498"/>
      <c r="G498"/>
      <c r="H498"/>
    </row>
    <row r="499" spans="2:8" x14ac:dyDescent="0.25">
      <c r="B499"/>
      <c r="C499"/>
      <c r="D499"/>
      <c r="E499"/>
      <c r="F499"/>
      <c r="G499"/>
      <c r="H499"/>
    </row>
    <row r="500" spans="2:8" x14ac:dyDescent="0.25">
      <c r="B500"/>
      <c r="C500"/>
      <c r="D500"/>
      <c r="E500"/>
      <c r="F500"/>
      <c r="G500"/>
      <c r="H500"/>
    </row>
    <row r="501" spans="2:8" x14ac:dyDescent="0.25">
      <c r="B501"/>
      <c r="C501"/>
      <c r="D501"/>
      <c r="E501"/>
      <c r="F501"/>
      <c r="G501"/>
      <c r="H501"/>
    </row>
    <row r="502" spans="2:8" x14ac:dyDescent="0.25">
      <c r="B502"/>
      <c r="C502"/>
      <c r="D502"/>
      <c r="E502"/>
      <c r="F502"/>
      <c r="G502"/>
      <c r="H502"/>
    </row>
    <row r="503" spans="2:8" x14ac:dyDescent="0.25">
      <c r="B503"/>
      <c r="C503"/>
      <c r="D503"/>
      <c r="E503"/>
      <c r="F503"/>
      <c r="G503"/>
      <c r="H503"/>
    </row>
    <row r="504" spans="2:8" x14ac:dyDescent="0.25">
      <c r="B504"/>
      <c r="C504"/>
      <c r="D504"/>
      <c r="E504"/>
      <c r="F504"/>
      <c r="G504"/>
      <c r="H504"/>
    </row>
    <row r="505" spans="2:8" x14ac:dyDescent="0.25">
      <c r="B505"/>
      <c r="C505"/>
      <c r="D505"/>
      <c r="E505"/>
      <c r="F505"/>
      <c r="G505"/>
      <c r="H505"/>
    </row>
    <row r="506" spans="2:8" x14ac:dyDescent="0.25">
      <c r="B506"/>
      <c r="C506"/>
      <c r="D506"/>
      <c r="E506"/>
      <c r="F506"/>
      <c r="G506"/>
      <c r="H506"/>
    </row>
    <row r="507" spans="2:8" x14ac:dyDescent="0.25">
      <c r="B507"/>
      <c r="C507"/>
      <c r="D507"/>
      <c r="E507"/>
      <c r="F507"/>
      <c r="G507"/>
      <c r="H507"/>
    </row>
    <row r="508" spans="2:8" x14ac:dyDescent="0.25">
      <c r="B508"/>
      <c r="C508"/>
      <c r="D508"/>
      <c r="E508"/>
      <c r="F508"/>
      <c r="G508"/>
      <c r="H508"/>
    </row>
    <row r="509" spans="2:8" x14ac:dyDescent="0.25">
      <c r="B509"/>
      <c r="C509"/>
      <c r="D509"/>
      <c r="E509"/>
      <c r="F509"/>
      <c r="G509"/>
      <c r="H509"/>
    </row>
    <row r="510" spans="2:8" x14ac:dyDescent="0.25">
      <c r="B510"/>
      <c r="C510"/>
      <c r="D510"/>
      <c r="E510"/>
      <c r="F510"/>
      <c r="G510"/>
      <c r="H510"/>
    </row>
    <row r="511" spans="2:8" x14ac:dyDescent="0.25">
      <c r="B511"/>
      <c r="C511"/>
      <c r="D511"/>
      <c r="E511"/>
      <c r="F511"/>
      <c r="G511"/>
      <c r="H511"/>
    </row>
    <row r="512" spans="2:8" x14ac:dyDescent="0.25">
      <c r="B512"/>
      <c r="C512"/>
      <c r="D512"/>
      <c r="E512"/>
      <c r="F512"/>
      <c r="G512"/>
      <c r="H512"/>
    </row>
    <row r="513" spans="2:8" x14ac:dyDescent="0.25">
      <c r="B513"/>
      <c r="C513"/>
      <c r="D513"/>
      <c r="E513"/>
      <c r="F513"/>
      <c r="G513"/>
      <c r="H513"/>
    </row>
    <row r="514" spans="2:8" x14ac:dyDescent="0.25">
      <c r="B514"/>
      <c r="C514"/>
      <c r="D514"/>
      <c r="E514"/>
      <c r="F514"/>
      <c r="G514"/>
      <c r="H514"/>
    </row>
    <row r="515" spans="2:8" x14ac:dyDescent="0.25">
      <c r="B515"/>
      <c r="C515"/>
      <c r="D515"/>
      <c r="E515"/>
      <c r="F515"/>
      <c r="G515"/>
      <c r="H515"/>
    </row>
    <row r="516" spans="2:8" x14ac:dyDescent="0.25">
      <c r="B516"/>
      <c r="C516"/>
      <c r="D516"/>
      <c r="E516"/>
      <c r="F516"/>
      <c r="G516"/>
      <c r="H516"/>
    </row>
    <row r="517" spans="2:8" x14ac:dyDescent="0.25">
      <c r="B517"/>
      <c r="C517"/>
      <c r="D517"/>
      <c r="E517"/>
      <c r="F517"/>
      <c r="G517"/>
      <c r="H517"/>
    </row>
    <row r="518" spans="2:8" x14ac:dyDescent="0.25">
      <c r="B518"/>
      <c r="C518"/>
      <c r="D518"/>
      <c r="E518"/>
      <c r="F518"/>
      <c r="G518"/>
      <c r="H518"/>
    </row>
    <row r="519" spans="2:8" x14ac:dyDescent="0.25">
      <c r="B519"/>
      <c r="C519"/>
      <c r="D519"/>
      <c r="E519"/>
      <c r="F519"/>
      <c r="G519"/>
      <c r="H519"/>
    </row>
    <row r="520" spans="2:8" x14ac:dyDescent="0.25">
      <c r="B520"/>
      <c r="C520"/>
      <c r="D520"/>
      <c r="E520"/>
      <c r="F520"/>
      <c r="G520"/>
      <c r="H520"/>
    </row>
    <row r="521" spans="2:8" x14ac:dyDescent="0.25">
      <c r="B521"/>
      <c r="C521"/>
      <c r="D521"/>
      <c r="E521"/>
      <c r="F521"/>
      <c r="G521"/>
      <c r="H521"/>
    </row>
    <row r="522" spans="2:8" x14ac:dyDescent="0.25">
      <c r="B522"/>
      <c r="C522"/>
      <c r="D522"/>
      <c r="E522"/>
      <c r="F522"/>
      <c r="G522"/>
      <c r="H522"/>
    </row>
    <row r="523" spans="2:8" x14ac:dyDescent="0.25">
      <c r="B523"/>
      <c r="C523"/>
      <c r="D523"/>
      <c r="E523"/>
      <c r="F523"/>
      <c r="G523"/>
      <c r="H523"/>
    </row>
    <row r="524" spans="2:8" x14ac:dyDescent="0.25">
      <c r="B524"/>
      <c r="C524"/>
      <c r="D524"/>
      <c r="E524"/>
      <c r="F524"/>
      <c r="G524"/>
      <c r="H524"/>
    </row>
    <row r="525" spans="2:8" x14ac:dyDescent="0.25">
      <c r="B525"/>
      <c r="C525"/>
      <c r="D525"/>
      <c r="E525"/>
      <c r="F525"/>
      <c r="G525"/>
      <c r="H525"/>
    </row>
    <row r="526" spans="2:8" x14ac:dyDescent="0.25">
      <c r="B526"/>
      <c r="C526"/>
      <c r="D526"/>
      <c r="E526"/>
      <c r="F526"/>
      <c r="G526"/>
      <c r="H526"/>
    </row>
    <row r="527" spans="2:8" x14ac:dyDescent="0.25">
      <c r="B527"/>
      <c r="C527"/>
      <c r="D527"/>
      <c r="E527"/>
      <c r="F527"/>
      <c r="G527"/>
      <c r="H527"/>
    </row>
    <row r="528" spans="2:8" x14ac:dyDescent="0.25">
      <c r="B528"/>
      <c r="C528"/>
      <c r="D528"/>
      <c r="E528"/>
      <c r="F528"/>
      <c r="G528"/>
      <c r="H528"/>
    </row>
    <row r="529" spans="2:8" x14ac:dyDescent="0.25">
      <c r="B529"/>
      <c r="C529"/>
      <c r="D529"/>
      <c r="E529"/>
      <c r="F529"/>
      <c r="G529"/>
      <c r="H529"/>
    </row>
    <row r="530" spans="2:8" x14ac:dyDescent="0.25">
      <c r="B530"/>
      <c r="C530"/>
      <c r="D530"/>
      <c r="E530"/>
      <c r="F530"/>
      <c r="G530"/>
      <c r="H530"/>
    </row>
    <row r="531" spans="2:8" x14ac:dyDescent="0.25">
      <c r="B531"/>
      <c r="C531"/>
      <c r="D531"/>
      <c r="E531"/>
      <c r="F531"/>
      <c r="G531"/>
      <c r="H531"/>
    </row>
    <row r="532" spans="2:8" x14ac:dyDescent="0.25">
      <c r="B532"/>
      <c r="C532"/>
      <c r="D532"/>
      <c r="E532"/>
      <c r="F532"/>
      <c r="G532"/>
      <c r="H532"/>
    </row>
    <row r="533" spans="2:8" x14ac:dyDescent="0.25">
      <c r="B533"/>
      <c r="C533"/>
      <c r="D533"/>
      <c r="E533"/>
      <c r="F533"/>
      <c r="G533"/>
      <c r="H533"/>
    </row>
    <row r="534" spans="2:8" x14ac:dyDescent="0.25">
      <c r="B534"/>
      <c r="C534"/>
      <c r="D534"/>
      <c r="E534"/>
      <c r="F534"/>
      <c r="G534"/>
      <c r="H534"/>
    </row>
    <row r="535" spans="2:8" x14ac:dyDescent="0.25">
      <c r="B535"/>
      <c r="C535"/>
      <c r="D535"/>
      <c r="E535"/>
      <c r="F535"/>
      <c r="G535"/>
      <c r="H535"/>
    </row>
    <row r="536" spans="2:8" x14ac:dyDescent="0.25">
      <c r="B536"/>
      <c r="C536"/>
      <c r="D536"/>
      <c r="E536"/>
      <c r="F536"/>
      <c r="G536"/>
      <c r="H536"/>
    </row>
    <row r="537" spans="2:8" x14ac:dyDescent="0.25">
      <c r="B537"/>
      <c r="C537"/>
      <c r="D537"/>
      <c r="E537"/>
      <c r="F537"/>
      <c r="G537"/>
      <c r="H537"/>
    </row>
    <row r="538" spans="2:8" x14ac:dyDescent="0.25">
      <c r="B538"/>
      <c r="C538"/>
      <c r="D538"/>
      <c r="E538"/>
      <c r="F538"/>
      <c r="G538"/>
      <c r="H538"/>
    </row>
    <row r="539" spans="2:8" x14ac:dyDescent="0.25">
      <c r="B539"/>
      <c r="C539"/>
      <c r="D539"/>
      <c r="E539"/>
      <c r="F539"/>
      <c r="G539"/>
      <c r="H539"/>
    </row>
    <row r="540" spans="2:8" x14ac:dyDescent="0.25">
      <c r="B540"/>
      <c r="C540"/>
      <c r="D540"/>
      <c r="E540"/>
      <c r="F540"/>
      <c r="G540"/>
      <c r="H540"/>
    </row>
    <row r="541" spans="2:8" x14ac:dyDescent="0.25">
      <c r="B541"/>
      <c r="C541"/>
      <c r="D541"/>
      <c r="E541"/>
      <c r="F541"/>
      <c r="G541"/>
      <c r="H541"/>
    </row>
    <row r="542" spans="2:8" x14ac:dyDescent="0.25">
      <c r="B542"/>
      <c r="C542"/>
      <c r="D542"/>
      <c r="E542"/>
      <c r="F542"/>
      <c r="G542"/>
      <c r="H542"/>
    </row>
    <row r="543" spans="2:8" x14ac:dyDescent="0.25">
      <c r="B543"/>
      <c r="C543"/>
      <c r="D543"/>
      <c r="E543"/>
      <c r="F543"/>
      <c r="G543"/>
      <c r="H543"/>
    </row>
    <row r="544" spans="2:8" x14ac:dyDescent="0.25">
      <c r="B544"/>
      <c r="C544"/>
      <c r="D544"/>
      <c r="E544"/>
      <c r="F544"/>
      <c r="G544"/>
      <c r="H544"/>
    </row>
    <row r="545" spans="2:8" x14ac:dyDescent="0.25">
      <c r="B545"/>
      <c r="C545"/>
      <c r="D545"/>
      <c r="E545"/>
      <c r="F545"/>
      <c r="G545"/>
      <c r="H545"/>
    </row>
    <row r="546" spans="2:8" x14ac:dyDescent="0.25">
      <c r="B546"/>
      <c r="C546"/>
      <c r="D546"/>
      <c r="E546"/>
      <c r="F546"/>
      <c r="G546"/>
      <c r="H546"/>
    </row>
    <row r="547" spans="2:8" x14ac:dyDescent="0.25">
      <c r="B547"/>
      <c r="C547"/>
      <c r="D547"/>
      <c r="E547"/>
      <c r="F547"/>
      <c r="G547"/>
      <c r="H547"/>
    </row>
    <row r="548" spans="2:8" x14ac:dyDescent="0.25">
      <c r="B548"/>
      <c r="C548"/>
      <c r="D548"/>
      <c r="E548"/>
      <c r="F548"/>
      <c r="G548"/>
      <c r="H548"/>
    </row>
    <row r="549" spans="2:8" x14ac:dyDescent="0.25">
      <c r="B549"/>
      <c r="C549"/>
      <c r="D549"/>
      <c r="E549"/>
      <c r="F549"/>
      <c r="G549"/>
      <c r="H549"/>
    </row>
    <row r="550" spans="2:8" x14ac:dyDescent="0.25">
      <c r="B550"/>
      <c r="C550"/>
      <c r="D550"/>
      <c r="E550"/>
      <c r="F550"/>
      <c r="G550"/>
      <c r="H550"/>
    </row>
    <row r="551" spans="2:8" x14ac:dyDescent="0.25">
      <c r="B551"/>
      <c r="C551"/>
      <c r="D551"/>
      <c r="E551"/>
      <c r="F551"/>
      <c r="G551"/>
      <c r="H551"/>
    </row>
    <row r="552" spans="2:8" x14ac:dyDescent="0.25">
      <c r="B552"/>
      <c r="C552"/>
      <c r="D552"/>
      <c r="E552"/>
      <c r="F552"/>
      <c r="G552"/>
      <c r="H552"/>
    </row>
    <row r="553" spans="2:8" x14ac:dyDescent="0.25">
      <c r="B553"/>
      <c r="C553"/>
      <c r="D553"/>
      <c r="E553"/>
      <c r="F553"/>
      <c r="G553"/>
      <c r="H553"/>
    </row>
    <row r="554" spans="2:8" x14ac:dyDescent="0.25">
      <c r="B554"/>
      <c r="C554"/>
      <c r="D554"/>
      <c r="E554"/>
      <c r="F554"/>
      <c r="G554"/>
      <c r="H554"/>
    </row>
    <row r="555" spans="2:8" x14ac:dyDescent="0.25">
      <c r="B555"/>
      <c r="C555"/>
      <c r="D555"/>
      <c r="E555"/>
      <c r="F555"/>
      <c r="G555"/>
      <c r="H555"/>
    </row>
    <row r="556" spans="2:8" x14ac:dyDescent="0.25">
      <c r="B556"/>
      <c r="C556"/>
      <c r="D556"/>
      <c r="E556"/>
      <c r="F556"/>
      <c r="G556"/>
      <c r="H556"/>
    </row>
    <row r="557" spans="2:8" x14ac:dyDescent="0.25">
      <c r="B557"/>
      <c r="C557"/>
      <c r="D557"/>
      <c r="E557"/>
      <c r="F557"/>
      <c r="G557"/>
      <c r="H557"/>
    </row>
    <row r="558" spans="2:8" x14ac:dyDescent="0.25">
      <c r="B558"/>
      <c r="C558"/>
      <c r="D558"/>
      <c r="E558"/>
      <c r="F558"/>
      <c r="G558"/>
      <c r="H558"/>
    </row>
    <row r="559" spans="2:8" x14ac:dyDescent="0.25">
      <c r="B559"/>
      <c r="C559"/>
      <c r="D559"/>
      <c r="E559"/>
      <c r="F559"/>
      <c r="G559"/>
      <c r="H559"/>
    </row>
    <row r="560" spans="2:8" x14ac:dyDescent="0.25">
      <c r="B560"/>
      <c r="C560"/>
      <c r="D560"/>
      <c r="E560"/>
      <c r="F560"/>
      <c r="G560"/>
      <c r="H560"/>
    </row>
    <row r="561" spans="2:8" x14ac:dyDescent="0.25">
      <c r="B561"/>
      <c r="C561"/>
      <c r="D561"/>
      <c r="E561"/>
      <c r="F561"/>
      <c r="G561"/>
      <c r="H561"/>
    </row>
    <row r="562" spans="2:8" x14ac:dyDescent="0.25">
      <c r="B562"/>
      <c r="C562"/>
      <c r="D562"/>
      <c r="E562"/>
      <c r="F562"/>
      <c r="G562"/>
      <c r="H562"/>
    </row>
    <row r="563" spans="2:8" x14ac:dyDescent="0.25">
      <c r="B563"/>
      <c r="C563"/>
      <c r="D563"/>
      <c r="E563"/>
      <c r="F563"/>
      <c r="G563"/>
      <c r="H563"/>
    </row>
    <row r="564" spans="2:8" x14ac:dyDescent="0.25">
      <c r="B564"/>
      <c r="C564"/>
      <c r="D564"/>
      <c r="E564"/>
      <c r="F564"/>
      <c r="G564"/>
      <c r="H564"/>
    </row>
    <row r="565" spans="2:8" x14ac:dyDescent="0.25">
      <c r="B565"/>
      <c r="C565"/>
      <c r="D565"/>
      <c r="E565"/>
      <c r="F565"/>
      <c r="G565"/>
      <c r="H565"/>
    </row>
    <row r="566" spans="2:8" x14ac:dyDescent="0.25">
      <c r="B566"/>
      <c r="C566"/>
      <c r="D566"/>
      <c r="E566"/>
      <c r="F566"/>
      <c r="G566"/>
      <c r="H566"/>
    </row>
    <row r="567" spans="2:8" x14ac:dyDescent="0.25">
      <c r="B567"/>
      <c r="C567"/>
      <c r="D567"/>
      <c r="E567"/>
      <c r="F567"/>
      <c r="G567"/>
      <c r="H567"/>
    </row>
    <row r="568" spans="2:8" x14ac:dyDescent="0.25">
      <c r="B568"/>
      <c r="C568"/>
      <c r="D568"/>
      <c r="E568"/>
      <c r="F568"/>
      <c r="G568"/>
      <c r="H568"/>
    </row>
    <row r="569" spans="2:8" x14ac:dyDescent="0.25">
      <c r="B569"/>
      <c r="C569"/>
      <c r="D569"/>
      <c r="E569"/>
      <c r="F569"/>
      <c r="G569"/>
      <c r="H569"/>
    </row>
    <row r="570" spans="2:8" x14ac:dyDescent="0.25">
      <c r="B570"/>
      <c r="C570"/>
      <c r="D570"/>
      <c r="E570"/>
      <c r="F570"/>
      <c r="G570"/>
      <c r="H570"/>
    </row>
    <row r="571" spans="2:8" x14ac:dyDescent="0.25">
      <c r="B571"/>
      <c r="C571"/>
      <c r="D571"/>
      <c r="E571"/>
      <c r="F571"/>
      <c r="G571"/>
      <c r="H571"/>
    </row>
    <row r="572" spans="2:8" x14ac:dyDescent="0.25">
      <c r="B572"/>
      <c r="C572"/>
      <c r="D572"/>
      <c r="E572"/>
      <c r="F572"/>
      <c r="G572"/>
      <c r="H572"/>
    </row>
    <row r="573" spans="2:8" x14ac:dyDescent="0.25">
      <c r="B573"/>
      <c r="C573"/>
      <c r="D573"/>
      <c r="E573"/>
      <c r="F573"/>
      <c r="G573"/>
      <c r="H573"/>
    </row>
    <row r="574" spans="2:8" x14ac:dyDescent="0.25">
      <c r="B574"/>
      <c r="C574"/>
      <c r="D574"/>
      <c r="E574"/>
      <c r="F574"/>
      <c r="G574"/>
      <c r="H574"/>
    </row>
    <row r="575" spans="2:8" x14ac:dyDescent="0.25">
      <c r="B575"/>
      <c r="C575"/>
      <c r="D575"/>
      <c r="E575"/>
      <c r="F575"/>
      <c r="G575"/>
      <c r="H575"/>
    </row>
    <row r="576" spans="2:8" x14ac:dyDescent="0.25">
      <c r="B576"/>
      <c r="C576"/>
      <c r="D576"/>
      <c r="E576"/>
      <c r="F576"/>
      <c r="G576"/>
      <c r="H576"/>
    </row>
    <row r="577" spans="2:8" x14ac:dyDescent="0.25">
      <c r="B577"/>
      <c r="C577"/>
      <c r="D577"/>
      <c r="E577"/>
      <c r="F577"/>
      <c r="G577"/>
      <c r="H577"/>
    </row>
    <row r="578" spans="2:8" x14ac:dyDescent="0.25">
      <c r="B578"/>
      <c r="C578"/>
      <c r="D578"/>
      <c r="E578"/>
      <c r="F578"/>
      <c r="G578"/>
      <c r="H578"/>
    </row>
    <row r="579" spans="2:8" x14ac:dyDescent="0.25">
      <c r="B579"/>
      <c r="C579"/>
      <c r="D579"/>
      <c r="E579"/>
      <c r="F579"/>
      <c r="G579"/>
      <c r="H579"/>
    </row>
    <row r="580" spans="2:8" x14ac:dyDescent="0.25">
      <c r="B580"/>
      <c r="C580"/>
      <c r="D580"/>
      <c r="E580"/>
      <c r="F580"/>
      <c r="G580"/>
      <c r="H580"/>
    </row>
    <row r="581" spans="2:8" x14ac:dyDescent="0.25">
      <c r="B581"/>
      <c r="C581"/>
      <c r="D581"/>
      <c r="E581"/>
      <c r="F581"/>
      <c r="G581"/>
      <c r="H581"/>
    </row>
    <row r="582" spans="2:8" x14ac:dyDescent="0.25">
      <c r="B582"/>
      <c r="C582"/>
      <c r="D582"/>
      <c r="E582"/>
      <c r="F582"/>
      <c r="G582"/>
      <c r="H582"/>
    </row>
    <row r="583" spans="2:8" x14ac:dyDescent="0.25">
      <c r="B583"/>
      <c r="C583"/>
      <c r="D583"/>
      <c r="E583"/>
      <c r="F583"/>
      <c r="G583"/>
      <c r="H583"/>
    </row>
    <row r="584" spans="2:8" x14ac:dyDescent="0.25">
      <c r="B584"/>
      <c r="C584"/>
      <c r="D584"/>
      <c r="E584"/>
      <c r="F584"/>
      <c r="G584"/>
      <c r="H584"/>
    </row>
    <row r="585" spans="2:8" x14ac:dyDescent="0.25">
      <c r="B585"/>
      <c r="C585"/>
      <c r="D585"/>
      <c r="E585"/>
      <c r="F585"/>
      <c r="G585"/>
      <c r="H585"/>
    </row>
    <row r="586" spans="2:8" x14ac:dyDescent="0.25">
      <c r="B586"/>
      <c r="C586"/>
      <c r="D586"/>
      <c r="E586"/>
      <c r="F586"/>
      <c r="G586"/>
      <c r="H586"/>
    </row>
    <row r="587" spans="2:8" x14ac:dyDescent="0.25">
      <c r="B587"/>
      <c r="C587"/>
      <c r="D587"/>
      <c r="E587"/>
      <c r="F587"/>
      <c r="G587"/>
      <c r="H587"/>
    </row>
    <row r="588" spans="2:8" x14ac:dyDescent="0.25">
      <c r="B588"/>
      <c r="C588"/>
      <c r="D588"/>
      <c r="E588"/>
      <c r="F588"/>
      <c r="G588"/>
      <c r="H588"/>
    </row>
    <row r="589" spans="2:8" x14ac:dyDescent="0.25">
      <c r="B589"/>
      <c r="C589"/>
      <c r="D589"/>
      <c r="E589"/>
      <c r="F589"/>
      <c r="G589"/>
      <c r="H589"/>
    </row>
    <row r="590" spans="2:8" x14ac:dyDescent="0.25">
      <c r="B590"/>
      <c r="C590"/>
      <c r="D590"/>
      <c r="E590"/>
      <c r="F590"/>
      <c r="G590"/>
      <c r="H590"/>
    </row>
    <row r="591" spans="2:8" x14ac:dyDescent="0.25">
      <c r="B591"/>
      <c r="C591"/>
      <c r="D591"/>
      <c r="E591"/>
      <c r="F591"/>
      <c r="G591"/>
      <c r="H591"/>
    </row>
    <row r="592" spans="2:8" x14ac:dyDescent="0.25">
      <c r="B592"/>
      <c r="C592"/>
      <c r="D592"/>
      <c r="E592"/>
      <c r="F592"/>
      <c r="G592"/>
      <c r="H592"/>
    </row>
    <row r="593" spans="2:8" x14ac:dyDescent="0.25">
      <c r="B593"/>
      <c r="C593"/>
      <c r="D593"/>
      <c r="E593"/>
      <c r="F593"/>
      <c r="G593"/>
      <c r="H593"/>
    </row>
    <row r="594" spans="2:8" x14ac:dyDescent="0.25">
      <c r="B594"/>
      <c r="C594"/>
      <c r="D594"/>
      <c r="E594"/>
      <c r="F594"/>
      <c r="G594"/>
      <c r="H594"/>
    </row>
    <row r="595" spans="2:8" x14ac:dyDescent="0.25">
      <c r="B595"/>
      <c r="C595"/>
      <c r="D595"/>
      <c r="E595"/>
      <c r="F595"/>
      <c r="G595"/>
      <c r="H595"/>
    </row>
    <row r="596" spans="2:8" x14ac:dyDescent="0.25">
      <c r="B596"/>
      <c r="C596"/>
      <c r="D596"/>
      <c r="E596"/>
      <c r="F596"/>
      <c r="G596"/>
      <c r="H596"/>
    </row>
    <row r="597" spans="2:8" x14ac:dyDescent="0.25">
      <c r="B597"/>
      <c r="C597"/>
      <c r="D597"/>
      <c r="E597"/>
      <c r="F597"/>
      <c r="G597"/>
      <c r="H597"/>
    </row>
    <row r="598" spans="2:8" x14ac:dyDescent="0.25">
      <c r="B598"/>
      <c r="C598"/>
      <c r="D598"/>
      <c r="E598"/>
      <c r="F598"/>
      <c r="G598"/>
      <c r="H598"/>
    </row>
    <row r="599" spans="2:8" x14ac:dyDescent="0.25">
      <c r="B599"/>
      <c r="C599"/>
      <c r="D599"/>
      <c r="E599"/>
      <c r="F599"/>
      <c r="G599"/>
      <c r="H599"/>
    </row>
    <row r="600" spans="2:8" x14ac:dyDescent="0.25">
      <c r="B600"/>
      <c r="C600"/>
      <c r="D600"/>
      <c r="E600"/>
      <c r="F600"/>
      <c r="G600"/>
      <c r="H600"/>
    </row>
    <row r="601" spans="2:8" x14ac:dyDescent="0.25">
      <c r="B601"/>
      <c r="C601"/>
      <c r="D601"/>
      <c r="E601"/>
      <c r="F601"/>
      <c r="G601"/>
      <c r="H601"/>
    </row>
    <row r="602" spans="2:8" x14ac:dyDescent="0.25">
      <c r="B602"/>
      <c r="C602"/>
      <c r="D602"/>
      <c r="E602"/>
      <c r="F602"/>
      <c r="G602"/>
      <c r="H602"/>
    </row>
    <row r="603" spans="2:8" x14ac:dyDescent="0.25">
      <c r="B603"/>
      <c r="C603"/>
      <c r="D603"/>
      <c r="E603"/>
      <c r="F603"/>
      <c r="G603"/>
      <c r="H603"/>
    </row>
    <row r="604" spans="2:8" x14ac:dyDescent="0.25">
      <c r="B604"/>
      <c r="C604"/>
      <c r="D604"/>
      <c r="E604"/>
      <c r="F604"/>
      <c r="G604"/>
      <c r="H604"/>
    </row>
    <row r="605" spans="2:8" x14ac:dyDescent="0.25">
      <c r="B605"/>
      <c r="C605"/>
      <c r="D605"/>
      <c r="E605"/>
      <c r="F605"/>
      <c r="G605"/>
      <c r="H605"/>
    </row>
    <row r="606" spans="2:8" x14ac:dyDescent="0.25">
      <c r="B606"/>
      <c r="C606"/>
      <c r="D606"/>
      <c r="E606"/>
      <c r="F606"/>
      <c r="G606"/>
      <c r="H606"/>
    </row>
    <row r="607" spans="2:8" x14ac:dyDescent="0.25">
      <c r="B607"/>
      <c r="C607"/>
      <c r="D607"/>
      <c r="E607"/>
      <c r="F607"/>
      <c r="G607"/>
      <c r="H607"/>
    </row>
    <row r="608" spans="2:8" x14ac:dyDescent="0.25">
      <c r="B608"/>
      <c r="C608"/>
      <c r="D608"/>
      <c r="E608"/>
      <c r="F608"/>
      <c r="G608"/>
      <c r="H608"/>
    </row>
    <row r="609" spans="2:8" x14ac:dyDescent="0.25">
      <c r="B609"/>
      <c r="C609"/>
      <c r="D609"/>
      <c r="E609"/>
      <c r="F609"/>
      <c r="G609"/>
      <c r="H609"/>
    </row>
    <row r="610" spans="2:8" x14ac:dyDescent="0.25">
      <c r="B610"/>
      <c r="C610"/>
      <c r="D610"/>
      <c r="E610"/>
      <c r="F610"/>
      <c r="G610"/>
      <c r="H610"/>
    </row>
    <row r="611" spans="2:8" x14ac:dyDescent="0.25">
      <c r="B611"/>
      <c r="C611"/>
      <c r="D611"/>
      <c r="E611"/>
      <c r="F611"/>
      <c r="G611"/>
      <c r="H611"/>
    </row>
    <row r="612" spans="2:8" x14ac:dyDescent="0.25">
      <c r="B612"/>
      <c r="C612"/>
      <c r="D612"/>
      <c r="E612"/>
      <c r="F612"/>
      <c r="G612"/>
      <c r="H612"/>
    </row>
    <row r="613" spans="2:8" x14ac:dyDescent="0.25">
      <c r="B613"/>
      <c r="C613"/>
      <c r="D613"/>
      <c r="E613"/>
      <c r="F613"/>
      <c r="G613"/>
      <c r="H613"/>
    </row>
    <row r="614" spans="2:8" x14ac:dyDescent="0.25">
      <c r="B614"/>
      <c r="C614"/>
      <c r="D614"/>
      <c r="E614"/>
      <c r="F614"/>
      <c r="G614"/>
      <c r="H614"/>
    </row>
    <row r="615" spans="2:8" x14ac:dyDescent="0.25">
      <c r="B615"/>
      <c r="C615"/>
      <c r="D615"/>
      <c r="E615"/>
      <c r="F615"/>
      <c r="G615"/>
      <c r="H615"/>
    </row>
    <row r="616" spans="2:8" x14ac:dyDescent="0.25">
      <c r="B616"/>
      <c r="C616"/>
      <c r="D616"/>
      <c r="E616"/>
      <c r="F616"/>
      <c r="G616"/>
      <c r="H616"/>
    </row>
    <row r="617" spans="2:8" x14ac:dyDescent="0.25">
      <c r="B617"/>
      <c r="C617"/>
      <c r="D617"/>
      <c r="E617"/>
      <c r="F617"/>
      <c r="G617"/>
      <c r="H617"/>
    </row>
    <row r="618" spans="2:8" x14ac:dyDescent="0.25">
      <c r="B618"/>
      <c r="C618"/>
      <c r="D618"/>
      <c r="E618"/>
      <c r="F618"/>
      <c r="G618"/>
      <c r="H618"/>
    </row>
    <row r="619" spans="2:8" x14ac:dyDescent="0.25">
      <c r="B619"/>
      <c r="C619"/>
      <c r="D619"/>
      <c r="E619"/>
      <c r="F619"/>
      <c r="G619"/>
      <c r="H619"/>
    </row>
    <row r="620" spans="2:8" x14ac:dyDescent="0.25">
      <c r="B620"/>
      <c r="C620"/>
      <c r="D620"/>
      <c r="E620"/>
      <c r="F620"/>
      <c r="G620"/>
      <c r="H620"/>
    </row>
    <row r="621" spans="2:8" x14ac:dyDescent="0.25">
      <c r="B621"/>
      <c r="C621"/>
      <c r="D621"/>
      <c r="E621"/>
      <c r="F621"/>
      <c r="G621"/>
      <c r="H621"/>
    </row>
    <row r="622" spans="2:8" x14ac:dyDescent="0.25">
      <c r="B622"/>
      <c r="C622"/>
      <c r="D622"/>
      <c r="E622"/>
      <c r="F622"/>
      <c r="G622"/>
      <c r="H622"/>
    </row>
    <row r="623" spans="2:8" x14ac:dyDescent="0.25">
      <c r="B623"/>
      <c r="C623"/>
      <c r="D623"/>
      <c r="E623"/>
      <c r="F623"/>
      <c r="G623"/>
      <c r="H623"/>
    </row>
    <row r="624" spans="2:8" x14ac:dyDescent="0.25">
      <c r="B624"/>
      <c r="C624"/>
      <c r="D624"/>
      <c r="E624"/>
      <c r="F624"/>
      <c r="G624"/>
      <c r="H624"/>
    </row>
    <row r="625" spans="2:8" x14ac:dyDescent="0.25">
      <c r="B625"/>
      <c r="C625"/>
      <c r="D625"/>
      <c r="E625"/>
      <c r="F625"/>
      <c r="G625"/>
      <c r="H625"/>
    </row>
    <row r="626" spans="2:8" x14ac:dyDescent="0.25">
      <c r="B626"/>
      <c r="C626"/>
      <c r="D626"/>
      <c r="E626"/>
      <c r="F626"/>
      <c r="G626"/>
      <c r="H626"/>
    </row>
    <row r="627" spans="2:8" x14ac:dyDescent="0.25">
      <c r="B627"/>
      <c r="C627"/>
      <c r="D627"/>
      <c r="E627"/>
      <c r="F627"/>
      <c r="G627"/>
      <c r="H627"/>
    </row>
    <row r="628" spans="2:8" x14ac:dyDescent="0.25">
      <c r="B628"/>
      <c r="C628"/>
      <c r="D628"/>
      <c r="E628"/>
      <c r="F628"/>
      <c r="G628"/>
      <c r="H628"/>
    </row>
    <row r="629" spans="2:8" x14ac:dyDescent="0.25">
      <c r="B629"/>
      <c r="C629"/>
      <c r="D629"/>
      <c r="E629"/>
      <c r="F629"/>
      <c r="G629"/>
      <c r="H629"/>
    </row>
    <row r="630" spans="2:8" x14ac:dyDescent="0.25">
      <c r="B630"/>
      <c r="C630"/>
      <c r="D630"/>
      <c r="E630"/>
      <c r="F630"/>
      <c r="G630"/>
      <c r="H630"/>
    </row>
    <row r="631" spans="2:8" x14ac:dyDescent="0.25">
      <c r="B631"/>
      <c r="C631"/>
      <c r="D631"/>
      <c r="E631"/>
      <c r="F631"/>
      <c r="G631"/>
      <c r="H631"/>
    </row>
    <row r="632" spans="2:8" x14ac:dyDescent="0.25">
      <c r="B632"/>
      <c r="C632"/>
      <c r="D632"/>
      <c r="E632"/>
      <c r="F632"/>
      <c r="G632"/>
      <c r="H632"/>
    </row>
    <row r="633" spans="2:8" x14ac:dyDescent="0.25">
      <c r="B633"/>
      <c r="C633"/>
      <c r="D633"/>
      <c r="E633"/>
      <c r="F633"/>
      <c r="G633"/>
      <c r="H633"/>
    </row>
    <row r="634" spans="2:8" x14ac:dyDescent="0.25">
      <c r="B634"/>
      <c r="C634"/>
      <c r="D634"/>
      <c r="E634"/>
      <c r="F634"/>
      <c r="G634"/>
      <c r="H634"/>
    </row>
    <row r="635" spans="2:8" x14ac:dyDescent="0.25">
      <c r="B635"/>
      <c r="C635"/>
      <c r="D635"/>
      <c r="E635"/>
      <c r="F635"/>
      <c r="G635"/>
      <c r="H635"/>
    </row>
    <row r="636" spans="2:8" x14ac:dyDescent="0.25">
      <c r="B636"/>
      <c r="C636"/>
      <c r="D636"/>
      <c r="E636"/>
      <c r="F636"/>
      <c r="G636"/>
      <c r="H636"/>
    </row>
    <row r="637" spans="2:8" x14ac:dyDescent="0.25">
      <c r="B637"/>
      <c r="C637"/>
      <c r="D637"/>
      <c r="E637"/>
      <c r="F637"/>
      <c r="G637"/>
      <c r="H637"/>
    </row>
    <row r="638" spans="2:8" x14ac:dyDescent="0.25">
      <c r="B638"/>
      <c r="C638"/>
      <c r="D638"/>
      <c r="E638"/>
      <c r="F638"/>
      <c r="G638"/>
      <c r="H638"/>
    </row>
    <row r="639" spans="2:8" x14ac:dyDescent="0.25">
      <c r="B639"/>
      <c r="C639"/>
      <c r="D639"/>
      <c r="E639"/>
      <c r="F639"/>
      <c r="G639"/>
      <c r="H639"/>
    </row>
    <row r="640" spans="2:8" x14ac:dyDescent="0.25">
      <c r="B640"/>
      <c r="C640"/>
      <c r="D640"/>
      <c r="E640"/>
      <c r="F640"/>
      <c r="G640"/>
      <c r="H640"/>
    </row>
    <row r="641" spans="2:8" x14ac:dyDescent="0.25">
      <c r="B641"/>
      <c r="C641"/>
      <c r="D641"/>
      <c r="E641"/>
      <c r="F641"/>
      <c r="G641"/>
      <c r="H641"/>
    </row>
    <row r="642" spans="2:8" x14ac:dyDescent="0.25">
      <c r="B642"/>
      <c r="C642"/>
      <c r="D642"/>
      <c r="E642"/>
      <c r="F642"/>
      <c r="G642"/>
      <c r="H642"/>
    </row>
    <row r="643" spans="2:8" x14ac:dyDescent="0.25">
      <c r="B643"/>
      <c r="C643"/>
      <c r="D643"/>
      <c r="E643"/>
      <c r="F643"/>
      <c r="G643"/>
      <c r="H643"/>
    </row>
    <row r="644" spans="2:8" x14ac:dyDescent="0.25">
      <c r="B644"/>
      <c r="C644"/>
      <c r="D644"/>
      <c r="E644"/>
      <c r="F644"/>
      <c r="G644"/>
      <c r="H644"/>
    </row>
    <row r="645" spans="2:8" x14ac:dyDescent="0.25">
      <c r="B645"/>
      <c r="C645"/>
      <c r="D645"/>
      <c r="E645"/>
      <c r="F645"/>
      <c r="G645"/>
      <c r="H645"/>
    </row>
    <row r="646" spans="2:8" x14ac:dyDescent="0.25">
      <c r="B646"/>
      <c r="C646"/>
      <c r="D646"/>
      <c r="E646"/>
      <c r="F646"/>
      <c r="G646"/>
      <c r="H646"/>
    </row>
    <row r="647" spans="2:8" x14ac:dyDescent="0.25">
      <c r="B647"/>
      <c r="C647"/>
      <c r="D647"/>
      <c r="E647"/>
      <c r="F647"/>
      <c r="G647"/>
      <c r="H647"/>
    </row>
    <row r="648" spans="2:8" x14ac:dyDescent="0.25">
      <c r="B648"/>
      <c r="C648"/>
      <c r="D648"/>
      <c r="E648"/>
      <c r="F648"/>
      <c r="G648"/>
      <c r="H648"/>
    </row>
    <row r="649" spans="2:8" x14ac:dyDescent="0.25">
      <c r="B649"/>
      <c r="C649"/>
      <c r="D649"/>
      <c r="E649"/>
      <c r="F649"/>
      <c r="G649"/>
      <c r="H649"/>
    </row>
    <row r="650" spans="2:8" x14ac:dyDescent="0.25">
      <c r="B650"/>
      <c r="C650"/>
      <c r="D650"/>
      <c r="E650"/>
      <c r="F650"/>
      <c r="G650"/>
      <c r="H650"/>
    </row>
    <row r="651" spans="2:8" x14ac:dyDescent="0.25">
      <c r="B651"/>
      <c r="C651"/>
      <c r="D651"/>
      <c r="E651"/>
      <c r="F651"/>
      <c r="G651"/>
      <c r="H651"/>
    </row>
    <row r="652" spans="2:8" x14ac:dyDescent="0.25">
      <c r="B652"/>
      <c r="C652"/>
      <c r="D652"/>
      <c r="E652"/>
      <c r="F652"/>
      <c r="G652"/>
      <c r="H652"/>
    </row>
    <row r="653" spans="2:8" x14ac:dyDescent="0.25">
      <c r="B653"/>
      <c r="C653"/>
      <c r="D653"/>
      <c r="E653"/>
      <c r="F653"/>
      <c r="G653"/>
      <c r="H653"/>
    </row>
    <row r="654" spans="2:8" x14ac:dyDescent="0.25">
      <c r="B654"/>
      <c r="C654"/>
      <c r="D654"/>
      <c r="E654"/>
      <c r="F654"/>
      <c r="G654"/>
      <c r="H654"/>
    </row>
    <row r="655" spans="2:8" x14ac:dyDescent="0.25">
      <c r="B655"/>
      <c r="C655"/>
      <c r="D655"/>
      <c r="E655"/>
      <c r="F655"/>
      <c r="G655"/>
      <c r="H655"/>
    </row>
    <row r="656" spans="2:8" x14ac:dyDescent="0.25">
      <c r="B656"/>
      <c r="C656"/>
      <c r="D656"/>
      <c r="E656"/>
      <c r="F656"/>
      <c r="G656"/>
      <c r="H656"/>
    </row>
    <row r="657" spans="2:8" x14ac:dyDescent="0.25">
      <c r="B657"/>
      <c r="C657"/>
      <c r="D657"/>
      <c r="E657"/>
      <c r="F657"/>
      <c r="G657"/>
      <c r="H657"/>
    </row>
    <row r="658" spans="2:8" x14ac:dyDescent="0.25">
      <c r="B658"/>
      <c r="C658"/>
      <c r="D658"/>
      <c r="E658"/>
      <c r="F658"/>
      <c r="G658"/>
      <c r="H658"/>
    </row>
    <row r="659" spans="2:8" x14ac:dyDescent="0.25">
      <c r="B659"/>
      <c r="C659"/>
      <c r="D659"/>
      <c r="E659"/>
      <c r="F659"/>
      <c r="G659"/>
      <c r="H659"/>
    </row>
    <row r="660" spans="2:8" x14ac:dyDescent="0.25">
      <c r="B660"/>
      <c r="C660"/>
      <c r="D660"/>
      <c r="E660"/>
      <c r="F660"/>
      <c r="G660"/>
      <c r="H660"/>
    </row>
    <row r="661" spans="2:8" x14ac:dyDescent="0.25">
      <c r="B661"/>
      <c r="C661"/>
      <c r="D661"/>
      <c r="E661"/>
      <c r="F661"/>
      <c r="G661"/>
      <c r="H661"/>
    </row>
    <row r="662" spans="2:8" x14ac:dyDescent="0.25">
      <c r="B662"/>
      <c r="C662"/>
      <c r="D662"/>
      <c r="E662"/>
      <c r="F662"/>
      <c r="G662"/>
      <c r="H662"/>
    </row>
    <row r="663" spans="2:8" x14ac:dyDescent="0.25">
      <c r="B663"/>
      <c r="C663"/>
      <c r="D663"/>
      <c r="E663"/>
      <c r="F663"/>
      <c r="G663"/>
      <c r="H663"/>
    </row>
    <row r="664" spans="2:8" x14ac:dyDescent="0.25">
      <c r="B664"/>
      <c r="C664"/>
      <c r="D664"/>
      <c r="E664"/>
      <c r="F664"/>
      <c r="G664"/>
      <c r="H664"/>
    </row>
    <row r="665" spans="2:8" x14ac:dyDescent="0.25">
      <c r="B665"/>
      <c r="C665"/>
      <c r="D665"/>
      <c r="E665"/>
      <c r="F665"/>
      <c r="G665"/>
      <c r="H665"/>
    </row>
    <row r="666" spans="2:8" x14ac:dyDescent="0.25">
      <c r="B666"/>
      <c r="C666"/>
      <c r="D666"/>
      <c r="E666"/>
      <c r="F666"/>
      <c r="G666"/>
      <c r="H666"/>
    </row>
    <row r="667" spans="2:8" x14ac:dyDescent="0.25">
      <c r="B667"/>
      <c r="C667"/>
      <c r="D667"/>
      <c r="E667"/>
      <c r="F667"/>
      <c r="G667"/>
      <c r="H667"/>
    </row>
    <row r="668" spans="2:8" x14ac:dyDescent="0.25">
      <c r="B668"/>
      <c r="C668"/>
      <c r="D668"/>
      <c r="E668"/>
      <c r="F668"/>
      <c r="G668"/>
      <c r="H668"/>
    </row>
    <row r="669" spans="2:8" x14ac:dyDescent="0.25">
      <c r="B669"/>
      <c r="C669"/>
      <c r="D669"/>
      <c r="E669"/>
      <c r="F669"/>
      <c r="G669"/>
      <c r="H669"/>
    </row>
    <row r="670" spans="2:8" x14ac:dyDescent="0.25">
      <c r="B670"/>
      <c r="C670"/>
      <c r="D670"/>
      <c r="E670"/>
      <c r="F670"/>
      <c r="G670"/>
      <c r="H670"/>
    </row>
    <row r="671" spans="2:8" x14ac:dyDescent="0.25">
      <c r="B671"/>
      <c r="C671"/>
      <c r="D671"/>
      <c r="E671"/>
      <c r="F671"/>
      <c r="G671"/>
      <c r="H671"/>
    </row>
    <row r="672" spans="2:8" x14ac:dyDescent="0.25">
      <c r="B672"/>
      <c r="C672"/>
      <c r="D672"/>
      <c r="E672"/>
      <c r="F672"/>
      <c r="G672"/>
      <c r="H672"/>
    </row>
    <row r="673" spans="2:8" x14ac:dyDescent="0.25">
      <c r="B673"/>
      <c r="C673"/>
      <c r="D673"/>
      <c r="E673"/>
      <c r="F673"/>
      <c r="G673"/>
      <c r="H673"/>
    </row>
    <row r="674" spans="2:8" x14ac:dyDescent="0.25">
      <c r="B674"/>
      <c r="C674"/>
      <c r="D674"/>
      <c r="E674"/>
      <c r="F674"/>
      <c r="G674"/>
      <c r="H674"/>
    </row>
    <row r="675" spans="2:8" x14ac:dyDescent="0.25">
      <c r="B675"/>
      <c r="C675"/>
      <c r="D675"/>
      <c r="E675"/>
      <c r="F675"/>
      <c r="G675"/>
      <c r="H675"/>
    </row>
    <row r="676" spans="2:8" x14ac:dyDescent="0.25">
      <c r="B676"/>
      <c r="C676"/>
      <c r="D676"/>
      <c r="E676"/>
      <c r="F676"/>
      <c r="G676"/>
      <c r="H676"/>
    </row>
    <row r="677" spans="2:8" x14ac:dyDescent="0.25">
      <c r="B677"/>
      <c r="C677"/>
      <c r="D677"/>
      <c r="E677"/>
      <c r="F677"/>
      <c r="G677"/>
      <c r="H677"/>
    </row>
    <row r="678" spans="2:8" x14ac:dyDescent="0.25">
      <c r="B678"/>
      <c r="C678"/>
      <c r="D678"/>
      <c r="E678"/>
      <c r="F678"/>
      <c r="G678"/>
      <c r="H678"/>
    </row>
    <row r="679" spans="2:8" x14ac:dyDescent="0.25">
      <c r="B679"/>
      <c r="C679"/>
      <c r="D679"/>
      <c r="E679"/>
      <c r="F679"/>
      <c r="G679"/>
      <c r="H679"/>
    </row>
    <row r="680" spans="2:8" x14ac:dyDescent="0.25">
      <c r="B680"/>
      <c r="C680"/>
      <c r="D680"/>
      <c r="E680"/>
      <c r="F680"/>
      <c r="G680"/>
      <c r="H680"/>
    </row>
    <row r="681" spans="2:8" x14ac:dyDescent="0.25">
      <c r="B681"/>
      <c r="C681"/>
      <c r="D681"/>
      <c r="E681"/>
      <c r="F681"/>
      <c r="G681"/>
      <c r="H681"/>
    </row>
    <row r="682" spans="2:8" x14ac:dyDescent="0.25">
      <c r="B682"/>
      <c r="C682"/>
      <c r="D682"/>
      <c r="E682"/>
      <c r="F682"/>
      <c r="G682"/>
      <c r="H682"/>
    </row>
    <row r="683" spans="2:8" x14ac:dyDescent="0.25">
      <c r="B683"/>
      <c r="C683"/>
      <c r="D683"/>
      <c r="E683"/>
      <c r="F683"/>
      <c r="G683"/>
      <c r="H683"/>
    </row>
    <row r="684" spans="2:8" x14ac:dyDescent="0.25">
      <c r="B684"/>
      <c r="C684"/>
      <c r="D684"/>
      <c r="E684"/>
      <c r="F684"/>
      <c r="G684"/>
      <c r="H684"/>
    </row>
    <row r="685" spans="2:8" x14ac:dyDescent="0.25">
      <c r="B685"/>
      <c r="C685"/>
      <c r="D685"/>
      <c r="E685"/>
      <c r="F685"/>
      <c r="G685"/>
      <c r="H685"/>
    </row>
    <row r="686" spans="2:8" x14ac:dyDescent="0.25">
      <c r="B686"/>
      <c r="C686"/>
      <c r="D686"/>
      <c r="E686"/>
      <c r="F686"/>
      <c r="G686"/>
      <c r="H686"/>
    </row>
    <row r="687" spans="2:8" x14ac:dyDescent="0.25">
      <c r="B687"/>
      <c r="C687"/>
      <c r="D687"/>
      <c r="E687"/>
      <c r="F687"/>
      <c r="G687"/>
      <c r="H687"/>
    </row>
    <row r="688" spans="2:8" x14ac:dyDescent="0.25">
      <c r="B688"/>
      <c r="C688"/>
      <c r="D688"/>
      <c r="E688"/>
      <c r="F688"/>
      <c r="G688"/>
      <c r="H688"/>
    </row>
    <row r="689" spans="2:8" x14ac:dyDescent="0.25">
      <c r="B689"/>
      <c r="C689"/>
      <c r="D689"/>
      <c r="E689"/>
      <c r="F689"/>
      <c r="G689"/>
      <c r="H689"/>
    </row>
    <row r="690" spans="2:8" x14ac:dyDescent="0.25">
      <c r="B690"/>
      <c r="C690"/>
      <c r="D690"/>
      <c r="E690"/>
      <c r="F690"/>
      <c r="G690"/>
      <c r="H690"/>
    </row>
    <row r="691" spans="2:8" x14ac:dyDescent="0.25">
      <c r="B691"/>
      <c r="C691"/>
      <c r="D691"/>
      <c r="E691"/>
      <c r="F691"/>
      <c r="G691"/>
      <c r="H691"/>
    </row>
    <row r="692" spans="2:8" x14ac:dyDescent="0.25">
      <c r="B692"/>
      <c r="C692"/>
      <c r="D692"/>
      <c r="E692"/>
      <c r="F692"/>
      <c r="G692"/>
      <c r="H692"/>
    </row>
    <row r="693" spans="2:8" x14ac:dyDescent="0.25">
      <c r="B693"/>
      <c r="C693"/>
      <c r="D693"/>
      <c r="E693"/>
      <c r="F693"/>
      <c r="G693"/>
      <c r="H693"/>
    </row>
    <row r="694" spans="2:8" x14ac:dyDescent="0.25">
      <c r="B694"/>
      <c r="C694"/>
      <c r="D694"/>
      <c r="E694"/>
      <c r="F694"/>
      <c r="G694"/>
      <c r="H694"/>
    </row>
    <row r="695" spans="2:8" x14ac:dyDescent="0.25">
      <c r="B695"/>
      <c r="C695"/>
      <c r="D695"/>
      <c r="E695"/>
      <c r="F695"/>
      <c r="G695"/>
      <c r="H695"/>
    </row>
    <row r="696" spans="2:8" x14ac:dyDescent="0.25">
      <c r="B696"/>
      <c r="C696"/>
      <c r="D696"/>
      <c r="E696"/>
      <c r="F696"/>
      <c r="G696"/>
      <c r="H696"/>
    </row>
    <row r="697" spans="2:8" x14ac:dyDescent="0.25">
      <c r="B697"/>
      <c r="C697"/>
      <c r="D697"/>
      <c r="E697"/>
      <c r="F697"/>
      <c r="G697"/>
      <c r="H697"/>
    </row>
    <row r="698" spans="2:8" x14ac:dyDescent="0.25">
      <c r="B698"/>
      <c r="C698"/>
      <c r="D698"/>
      <c r="E698"/>
      <c r="F698"/>
      <c r="G698"/>
      <c r="H698"/>
    </row>
    <row r="699" spans="2:8" x14ac:dyDescent="0.25">
      <c r="B699"/>
      <c r="C699"/>
      <c r="D699"/>
      <c r="E699"/>
      <c r="F699"/>
      <c r="G699"/>
      <c r="H699"/>
    </row>
    <row r="700" spans="2:8" x14ac:dyDescent="0.25">
      <c r="B700"/>
      <c r="C700"/>
      <c r="D700"/>
      <c r="E700"/>
      <c r="F700"/>
      <c r="G700"/>
      <c r="H700"/>
    </row>
    <row r="701" spans="2:8" x14ac:dyDescent="0.25">
      <c r="B701"/>
      <c r="C701"/>
      <c r="D701"/>
      <c r="E701"/>
      <c r="F701"/>
      <c r="G701"/>
      <c r="H701"/>
    </row>
    <row r="702" spans="2:8" x14ac:dyDescent="0.25">
      <c r="B702"/>
      <c r="C702"/>
      <c r="D702"/>
      <c r="E702"/>
      <c r="F702"/>
      <c r="G702"/>
      <c r="H702"/>
    </row>
    <row r="703" spans="2:8" x14ac:dyDescent="0.25">
      <c r="B703"/>
      <c r="C703"/>
      <c r="D703"/>
      <c r="E703"/>
      <c r="F703"/>
      <c r="G703"/>
      <c r="H703"/>
    </row>
    <row r="704" spans="2:8" x14ac:dyDescent="0.25">
      <c r="B704"/>
      <c r="C704"/>
      <c r="D704"/>
      <c r="E704"/>
      <c r="F704"/>
      <c r="G704"/>
      <c r="H704"/>
    </row>
    <row r="705" spans="2:8" x14ac:dyDescent="0.25">
      <c r="B705"/>
      <c r="C705"/>
      <c r="D705"/>
      <c r="E705"/>
      <c r="F705"/>
      <c r="G705"/>
      <c r="H705"/>
    </row>
    <row r="706" spans="2:8" x14ac:dyDescent="0.25">
      <c r="B706"/>
      <c r="C706"/>
      <c r="D706"/>
      <c r="E706"/>
      <c r="F706"/>
      <c r="G706"/>
      <c r="H706"/>
    </row>
    <row r="707" spans="2:8" x14ac:dyDescent="0.25">
      <c r="B707"/>
      <c r="C707"/>
      <c r="D707"/>
      <c r="E707"/>
      <c r="F707"/>
      <c r="G707"/>
      <c r="H707"/>
    </row>
    <row r="708" spans="2:8" x14ac:dyDescent="0.25">
      <c r="B708"/>
      <c r="C708"/>
      <c r="D708"/>
      <c r="E708"/>
      <c r="F708"/>
      <c r="G708"/>
      <c r="H708"/>
    </row>
    <row r="709" spans="2:8" x14ac:dyDescent="0.25">
      <c r="B709"/>
      <c r="C709"/>
      <c r="D709"/>
      <c r="E709"/>
      <c r="F709"/>
      <c r="G709"/>
      <c r="H709"/>
    </row>
    <row r="710" spans="2:8" x14ac:dyDescent="0.25">
      <c r="B710"/>
      <c r="C710"/>
      <c r="D710"/>
      <c r="E710"/>
      <c r="F710"/>
      <c r="G710"/>
      <c r="H710"/>
    </row>
    <row r="711" spans="2:8" x14ac:dyDescent="0.25">
      <c r="B711"/>
      <c r="C711"/>
      <c r="D711"/>
      <c r="E711"/>
      <c r="F711"/>
      <c r="G711"/>
      <c r="H711"/>
    </row>
    <row r="712" spans="2:8" x14ac:dyDescent="0.25">
      <c r="B712"/>
      <c r="C712"/>
      <c r="D712"/>
      <c r="E712"/>
      <c r="F712"/>
      <c r="G712"/>
      <c r="H712"/>
    </row>
    <row r="713" spans="2:8" x14ac:dyDescent="0.25">
      <c r="B713"/>
      <c r="C713"/>
      <c r="D713"/>
      <c r="E713"/>
      <c r="F713"/>
      <c r="G713"/>
      <c r="H713"/>
    </row>
    <row r="714" spans="2:8" x14ac:dyDescent="0.25">
      <c r="B714"/>
      <c r="C714"/>
      <c r="D714"/>
      <c r="E714"/>
      <c r="F714"/>
      <c r="G714"/>
      <c r="H714"/>
    </row>
    <row r="715" spans="2:8" x14ac:dyDescent="0.25">
      <c r="B715"/>
      <c r="C715"/>
      <c r="D715"/>
      <c r="E715"/>
      <c r="F715"/>
      <c r="G715"/>
      <c r="H715"/>
    </row>
    <row r="716" spans="2:8" x14ac:dyDescent="0.25">
      <c r="B716"/>
      <c r="C716"/>
      <c r="D716"/>
      <c r="E716"/>
      <c r="F716"/>
      <c r="G716"/>
      <c r="H716"/>
    </row>
    <row r="717" spans="2:8" x14ac:dyDescent="0.25">
      <c r="B717"/>
      <c r="C717"/>
      <c r="D717"/>
      <c r="E717"/>
      <c r="F717"/>
      <c r="G717"/>
      <c r="H717"/>
    </row>
    <row r="718" spans="2:8" x14ac:dyDescent="0.25">
      <c r="B718"/>
      <c r="C718"/>
      <c r="D718"/>
      <c r="E718"/>
      <c r="F718"/>
      <c r="G718"/>
      <c r="H718"/>
    </row>
    <row r="719" spans="2:8" x14ac:dyDescent="0.25">
      <c r="B719"/>
      <c r="C719"/>
      <c r="D719"/>
      <c r="E719"/>
      <c r="F719"/>
      <c r="G719"/>
      <c r="H719"/>
    </row>
    <row r="720" spans="2:8" x14ac:dyDescent="0.25">
      <c r="B720"/>
      <c r="C720"/>
      <c r="D720"/>
      <c r="E720"/>
      <c r="F720"/>
      <c r="G720"/>
      <c r="H720"/>
    </row>
    <row r="721" spans="2:8" x14ac:dyDescent="0.25">
      <c r="B721"/>
      <c r="C721"/>
      <c r="D721"/>
      <c r="E721"/>
      <c r="F721"/>
      <c r="G721"/>
      <c r="H721"/>
    </row>
    <row r="722" spans="2:8" x14ac:dyDescent="0.25">
      <c r="B722"/>
      <c r="C722"/>
      <c r="D722"/>
      <c r="E722"/>
      <c r="F722"/>
      <c r="G722"/>
      <c r="H722"/>
    </row>
    <row r="723" spans="2:8" x14ac:dyDescent="0.25">
      <c r="B723"/>
      <c r="C723"/>
      <c r="D723"/>
      <c r="E723"/>
      <c r="F723"/>
      <c r="G723"/>
      <c r="H723"/>
    </row>
    <row r="724" spans="2:8" x14ac:dyDescent="0.25">
      <c r="B724"/>
      <c r="C724"/>
      <c r="D724"/>
      <c r="E724"/>
      <c r="F724"/>
      <c r="G724"/>
      <c r="H724"/>
    </row>
    <row r="725" spans="2:8" x14ac:dyDescent="0.25">
      <c r="B725"/>
      <c r="C725"/>
      <c r="D725"/>
      <c r="E725"/>
      <c r="F725"/>
      <c r="G725"/>
      <c r="H725"/>
    </row>
    <row r="726" spans="2:8" x14ac:dyDescent="0.25">
      <c r="B726"/>
      <c r="C726"/>
      <c r="D726"/>
      <c r="E726"/>
      <c r="F726"/>
      <c r="G726"/>
      <c r="H726"/>
    </row>
    <row r="727" spans="2:8" x14ac:dyDescent="0.25">
      <c r="B727"/>
      <c r="C727"/>
      <c r="D727"/>
      <c r="E727"/>
      <c r="F727"/>
      <c r="G727"/>
      <c r="H727"/>
    </row>
    <row r="728" spans="2:8" x14ac:dyDescent="0.25">
      <c r="B728"/>
      <c r="C728"/>
      <c r="D728"/>
      <c r="E728"/>
      <c r="F728"/>
      <c r="G728"/>
      <c r="H728"/>
    </row>
    <row r="729" spans="2:8" x14ac:dyDescent="0.25">
      <c r="B729"/>
      <c r="C729"/>
      <c r="D729"/>
      <c r="E729"/>
      <c r="F729"/>
      <c r="G729"/>
      <c r="H729"/>
    </row>
    <row r="730" spans="2:8" x14ac:dyDescent="0.25">
      <c r="B730"/>
      <c r="C730"/>
      <c r="D730"/>
      <c r="E730"/>
      <c r="F730"/>
      <c r="G730"/>
      <c r="H730"/>
    </row>
    <row r="731" spans="2:8" x14ac:dyDescent="0.25">
      <c r="B731"/>
      <c r="C731"/>
      <c r="D731"/>
      <c r="E731"/>
      <c r="F731"/>
      <c r="G731"/>
      <c r="H731"/>
    </row>
    <row r="732" spans="2:8" x14ac:dyDescent="0.25">
      <c r="B732"/>
      <c r="C732"/>
      <c r="D732"/>
      <c r="E732"/>
      <c r="F732"/>
      <c r="G732"/>
      <c r="H732"/>
    </row>
    <row r="733" spans="2:8" x14ac:dyDescent="0.25">
      <c r="B733"/>
      <c r="C733"/>
      <c r="D733"/>
      <c r="E733"/>
      <c r="F733"/>
      <c r="G733"/>
      <c r="H733"/>
    </row>
    <row r="734" spans="2:8" x14ac:dyDescent="0.25">
      <c r="B734"/>
      <c r="C734"/>
      <c r="D734"/>
      <c r="E734"/>
      <c r="F734"/>
      <c r="G734"/>
      <c r="H734"/>
    </row>
    <row r="735" spans="2:8" x14ac:dyDescent="0.25">
      <c r="B735"/>
      <c r="C735"/>
      <c r="D735"/>
      <c r="E735"/>
      <c r="F735"/>
      <c r="G735"/>
      <c r="H735"/>
    </row>
    <row r="736" spans="2:8" x14ac:dyDescent="0.25">
      <c r="B736"/>
      <c r="C736"/>
      <c r="D736"/>
      <c r="E736"/>
      <c r="F736"/>
      <c r="G736"/>
      <c r="H736"/>
    </row>
    <row r="737" spans="2:8" x14ac:dyDescent="0.25">
      <c r="B737"/>
      <c r="C737"/>
      <c r="D737"/>
      <c r="E737"/>
      <c r="F737"/>
      <c r="G737"/>
      <c r="H737"/>
    </row>
    <row r="738" spans="2:8" x14ac:dyDescent="0.25">
      <c r="B738"/>
      <c r="C738"/>
      <c r="D738"/>
      <c r="E738"/>
      <c r="F738"/>
      <c r="G738"/>
      <c r="H738"/>
    </row>
    <row r="739" spans="2:8" x14ac:dyDescent="0.25">
      <c r="B739"/>
      <c r="C739"/>
      <c r="D739"/>
      <c r="E739"/>
      <c r="F739"/>
      <c r="G739"/>
      <c r="H739"/>
    </row>
    <row r="740" spans="2:8" x14ac:dyDescent="0.25">
      <c r="B740"/>
      <c r="C740"/>
      <c r="D740"/>
      <c r="E740"/>
      <c r="F740"/>
      <c r="G740"/>
      <c r="H740"/>
    </row>
    <row r="741" spans="2:8" x14ac:dyDescent="0.25">
      <c r="B741"/>
      <c r="C741"/>
      <c r="D741"/>
      <c r="E741"/>
      <c r="F741"/>
      <c r="G741"/>
      <c r="H741"/>
    </row>
    <row r="742" spans="2:8" x14ac:dyDescent="0.25">
      <c r="B742"/>
      <c r="C742"/>
      <c r="D742"/>
      <c r="E742"/>
      <c r="F742"/>
      <c r="G742"/>
      <c r="H742"/>
    </row>
    <row r="743" spans="2:8" x14ac:dyDescent="0.25">
      <c r="B743"/>
      <c r="C743"/>
      <c r="D743"/>
      <c r="E743"/>
      <c r="F743"/>
      <c r="G743"/>
      <c r="H743"/>
    </row>
    <row r="744" spans="2:8" x14ac:dyDescent="0.25">
      <c r="B744"/>
      <c r="C744"/>
      <c r="D744"/>
      <c r="E744"/>
      <c r="F744"/>
      <c r="G744"/>
      <c r="H744"/>
    </row>
    <row r="745" spans="2:8" x14ac:dyDescent="0.25">
      <c r="B745"/>
      <c r="C745"/>
      <c r="D745"/>
      <c r="E745"/>
      <c r="F745"/>
      <c r="G745"/>
      <c r="H745"/>
    </row>
    <row r="746" spans="2:8" x14ac:dyDescent="0.25">
      <c r="B746"/>
      <c r="C746"/>
      <c r="D746"/>
      <c r="E746"/>
      <c r="F746"/>
      <c r="G746"/>
      <c r="H746"/>
    </row>
    <row r="747" spans="2:8" x14ac:dyDescent="0.25">
      <c r="B747"/>
      <c r="C747"/>
      <c r="D747"/>
      <c r="E747"/>
      <c r="F747"/>
      <c r="G747"/>
      <c r="H747"/>
    </row>
    <row r="748" spans="2:8" x14ac:dyDescent="0.25">
      <c r="B748"/>
      <c r="C748"/>
      <c r="D748"/>
      <c r="E748"/>
      <c r="F748"/>
      <c r="G748"/>
      <c r="H748"/>
    </row>
    <row r="749" spans="2:8" x14ac:dyDescent="0.25">
      <c r="B749"/>
      <c r="C749"/>
      <c r="D749"/>
      <c r="E749"/>
      <c r="F749"/>
      <c r="G749"/>
      <c r="H749"/>
    </row>
    <row r="750" spans="2:8" x14ac:dyDescent="0.25">
      <c r="B750"/>
      <c r="C750"/>
      <c r="D750"/>
      <c r="E750"/>
      <c r="F750"/>
      <c r="G750"/>
      <c r="H750"/>
    </row>
    <row r="751" spans="2:8" x14ac:dyDescent="0.25">
      <c r="B751"/>
      <c r="C751"/>
      <c r="D751"/>
      <c r="E751"/>
      <c r="F751"/>
      <c r="G751"/>
      <c r="H751"/>
    </row>
    <row r="752" spans="2:8" x14ac:dyDescent="0.25">
      <c r="B752"/>
      <c r="C752"/>
      <c r="D752"/>
      <c r="E752"/>
      <c r="F752"/>
      <c r="G752"/>
      <c r="H752"/>
    </row>
    <row r="753" spans="2:8" x14ac:dyDescent="0.25">
      <c r="B753"/>
      <c r="C753"/>
      <c r="D753"/>
      <c r="E753"/>
      <c r="F753"/>
      <c r="G753"/>
      <c r="H753"/>
    </row>
    <row r="754" spans="2:8" x14ac:dyDescent="0.25">
      <c r="B754"/>
      <c r="C754"/>
      <c r="D754"/>
      <c r="E754"/>
      <c r="F754"/>
      <c r="G754"/>
      <c r="H754"/>
    </row>
    <row r="755" spans="2:8" x14ac:dyDescent="0.25">
      <c r="B755"/>
      <c r="C755"/>
      <c r="D755"/>
      <c r="E755"/>
      <c r="F755"/>
      <c r="G755"/>
      <c r="H755"/>
    </row>
    <row r="756" spans="2:8" x14ac:dyDescent="0.25">
      <c r="B756"/>
      <c r="C756"/>
      <c r="D756"/>
      <c r="E756"/>
      <c r="F756"/>
      <c r="G756"/>
      <c r="H756"/>
    </row>
    <row r="757" spans="2:8" x14ac:dyDescent="0.25">
      <c r="B757"/>
      <c r="C757"/>
      <c r="D757"/>
      <c r="E757"/>
      <c r="F757"/>
      <c r="G757"/>
      <c r="H757"/>
    </row>
    <row r="758" spans="2:8" x14ac:dyDescent="0.25">
      <c r="B758"/>
      <c r="C758"/>
      <c r="D758"/>
      <c r="E758"/>
      <c r="F758"/>
      <c r="G758"/>
      <c r="H758"/>
    </row>
    <row r="759" spans="2:8" x14ac:dyDescent="0.25">
      <c r="B759"/>
      <c r="C759"/>
      <c r="D759"/>
      <c r="E759"/>
      <c r="F759"/>
      <c r="G759"/>
      <c r="H759"/>
    </row>
    <row r="760" spans="2:8" x14ac:dyDescent="0.25">
      <c r="B760"/>
      <c r="C760"/>
      <c r="D760"/>
      <c r="E760"/>
      <c r="F760"/>
      <c r="G760"/>
      <c r="H760"/>
    </row>
    <row r="761" spans="2:8" x14ac:dyDescent="0.25">
      <c r="B761"/>
      <c r="C761"/>
      <c r="D761"/>
      <c r="E761"/>
      <c r="F761"/>
      <c r="G761"/>
      <c r="H761"/>
    </row>
    <row r="762" spans="2:8" x14ac:dyDescent="0.25">
      <c r="B762"/>
      <c r="C762"/>
      <c r="D762"/>
      <c r="E762"/>
      <c r="F762"/>
      <c r="G762"/>
      <c r="H762"/>
    </row>
    <row r="763" spans="2:8" x14ac:dyDescent="0.25">
      <c r="B763"/>
      <c r="C763"/>
      <c r="D763"/>
      <c r="E763"/>
      <c r="F763"/>
      <c r="G763"/>
      <c r="H763"/>
    </row>
    <row r="764" spans="2:8" x14ac:dyDescent="0.25">
      <c r="B764"/>
      <c r="C764"/>
      <c r="D764"/>
      <c r="E764"/>
      <c r="F764"/>
      <c r="G764"/>
      <c r="H764"/>
    </row>
    <row r="765" spans="2:8" x14ac:dyDescent="0.25">
      <c r="B765"/>
      <c r="C765"/>
      <c r="D765"/>
      <c r="E765"/>
      <c r="F765"/>
      <c r="G765"/>
      <c r="H765"/>
    </row>
    <row r="766" spans="2:8" x14ac:dyDescent="0.25">
      <c r="B766"/>
      <c r="C766"/>
      <c r="D766"/>
      <c r="E766"/>
      <c r="F766"/>
      <c r="G766"/>
      <c r="H766"/>
    </row>
    <row r="767" spans="2:8" x14ac:dyDescent="0.25">
      <c r="B767"/>
      <c r="C767"/>
      <c r="D767"/>
      <c r="E767"/>
      <c r="F767"/>
      <c r="G767"/>
      <c r="H767"/>
    </row>
    <row r="768" spans="2:8" x14ac:dyDescent="0.25">
      <c r="B768"/>
      <c r="C768"/>
      <c r="D768"/>
      <c r="E768"/>
      <c r="F768"/>
      <c r="G768"/>
      <c r="H768"/>
    </row>
    <row r="769" spans="2:8" x14ac:dyDescent="0.25">
      <c r="B769"/>
      <c r="C769"/>
      <c r="D769"/>
      <c r="E769"/>
      <c r="F769"/>
      <c r="G769"/>
      <c r="H769"/>
    </row>
    <row r="770" spans="2:8" x14ac:dyDescent="0.25">
      <c r="B770"/>
      <c r="C770"/>
      <c r="D770"/>
      <c r="E770"/>
      <c r="F770"/>
      <c r="G770"/>
      <c r="H770"/>
    </row>
    <row r="771" spans="2:8" x14ac:dyDescent="0.25">
      <c r="B771"/>
      <c r="C771"/>
      <c r="D771"/>
      <c r="E771"/>
      <c r="F771"/>
      <c r="G771"/>
      <c r="H771"/>
    </row>
    <row r="772" spans="2:8" x14ac:dyDescent="0.25">
      <c r="B772"/>
      <c r="C772"/>
      <c r="D772"/>
      <c r="E772"/>
      <c r="F772"/>
      <c r="G772"/>
      <c r="H772"/>
    </row>
    <row r="773" spans="2:8" x14ac:dyDescent="0.25">
      <c r="B773"/>
      <c r="C773"/>
      <c r="D773"/>
      <c r="E773"/>
      <c r="F773"/>
      <c r="G773"/>
      <c r="H773"/>
    </row>
    <row r="774" spans="2:8" x14ac:dyDescent="0.25">
      <c r="B774"/>
      <c r="C774"/>
      <c r="D774"/>
      <c r="E774"/>
      <c r="F774"/>
      <c r="G774"/>
      <c r="H774"/>
    </row>
    <row r="775" spans="2:8" x14ac:dyDescent="0.25">
      <c r="B775"/>
      <c r="C775"/>
      <c r="D775"/>
      <c r="E775"/>
      <c r="F775"/>
      <c r="G775"/>
      <c r="H775"/>
    </row>
    <row r="776" spans="2:8" x14ac:dyDescent="0.25">
      <c r="B776"/>
      <c r="C776"/>
      <c r="D776"/>
      <c r="E776"/>
      <c r="F776"/>
      <c r="G776"/>
      <c r="H776"/>
    </row>
    <row r="777" spans="2:8" x14ac:dyDescent="0.25">
      <c r="B777"/>
      <c r="C777"/>
      <c r="D777"/>
      <c r="E777"/>
      <c r="F777"/>
      <c r="G777"/>
      <c r="H777"/>
    </row>
    <row r="778" spans="2:8" x14ac:dyDescent="0.25">
      <c r="B778"/>
      <c r="C778"/>
      <c r="D778"/>
      <c r="E778"/>
      <c r="F778"/>
      <c r="G778"/>
      <c r="H778"/>
    </row>
    <row r="779" spans="2:8" x14ac:dyDescent="0.25">
      <c r="B779"/>
      <c r="C779"/>
      <c r="D779"/>
      <c r="E779"/>
      <c r="F779"/>
      <c r="G779"/>
      <c r="H779"/>
    </row>
    <row r="780" spans="2:8" x14ac:dyDescent="0.25">
      <c r="B780"/>
      <c r="C780"/>
      <c r="D780"/>
      <c r="E780"/>
      <c r="F780"/>
      <c r="G780"/>
      <c r="H780"/>
    </row>
    <row r="781" spans="2:8" x14ac:dyDescent="0.25">
      <c r="B781"/>
      <c r="C781"/>
      <c r="D781"/>
      <c r="E781"/>
      <c r="F781"/>
      <c r="G781"/>
      <c r="H781"/>
    </row>
    <row r="782" spans="2:8" x14ac:dyDescent="0.25">
      <c r="B782"/>
      <c r="C782"/>
      <c r="D782"/>
      <c r="E782"/>
      <c r="F782"/>
      <c r="G782"/>
      <c r="H782"/>
    </row>
    <row r="783" spans="2:8" x14ac:dyDescent="0.25">
      <c r="B783"/>
      <c r="C783"/>
      <c r="D783"/>
      <c r="E783"/>
      <c r="F783"/>
      <c r="G783"/>
      <c r="H783"/>
    </row>
    <row r="784" spans="2:8" x14ac:dyDescent="0.25">
      <c r="B784"/>
      <c r="C784"/>
      <c r="D784"/>
      <c r="E784"/>
      <c r="F784"/>
      <c r="G784"/>
      <c r="H784"/>
    </row>
    <row r="785" spans="2:8" x14ac:dyDescent="0.25">
      <c r="B785"/>
      <c r="C785"/>
      <c r="D785"/>
      <c r="E785"/>
      <c r="F785"/>
      <c r="G785"/>
      <c r="H785"/>
    </row>
    <row r="786" spans="2:8" x14ac:dyDescent="0.25">
      <c r="B786"/>
      <c r="C786"/>
      <c r="D786"/>
      <c r="E786"/>
      <c r="F786"/>
      <c r="G786"/>
      <c r="H786"/>
    </row>
    <row r="787" spans="2:8" x14ac:dyDescent="0.25">
      <c r="B787"/>
      <c r="C787"/>
      <c r="D787"/>
      <c r="E787"/>
      <c r="F787"/>
      <c r="G787"/>
      <c r="H787"/>
    </row>
    <row r="788" spans="2:8" x14ac:dyDescent="0.25">
      <c r="B788"/>
      <c r="C788"/>
      <c r="D788"/>
      <c r="E788"/>
      <c r="F788"/>
      <c r="G788"/>
      <c r="H788"/>
    </row>
    <row r="789" spans="2:8" x14ac:dyDescent="0.25">
      <c r="B789"/>
      <c r="C789"/>
      <c r="D789"/>
      <c r="E789"/>
      <c r="F789"/>
      <c r="G789"/>
      <c r="H789"/>
    </row>
    <row r="790" spans="2:8" x14ac:dyDescent="0.25">
      <c r="B790"/>
      <c r="C790"/>
      <c r="D790"/>
      <c r="E790"/>
      <c r="F790"/>
      <c r="G790"/>
      <c r="H790"/>
    </row>
    <row r="791" spans="2:8" x14ac:dyDescent="0.25">
      <c r="B791"/>
      <c r="C791"/>
      <c r="D791"/>
      <c r="E791"/>
      <c r="F791"/>
      <c r="G791"/>
      <c r="H791"/>
    </row>
    <row r="792" spans="2:8" x14ac:dyDescent="0.25">
      <c r="B792"/>
      <c r="C792"/>
      <c r="D792"/>
      <c r="E792"/>
      <c r="F792"/>
      <c r="G792"/>
      <c r="H792"/>
    </row>
    <row r="793" spans="2:8" x14ac:dyDescent="0.25">
      <c r="B793"/>
      <c r="C793"/>
      <c r="D793"/>
      <c r="E793"/>
      <c r="F793"/>
      <c r="G793"/>
      <c r="H793"/>
    </row>
    <row r="794" spans="2:8" x14ac:dyDescent="0.25">
      <c r="B794"/>
      <c r="C794"/>
      <c r="D794"/>
      <c r="E794"/>
      <c r="F794"/>
      <c r="G794"/>
      <c r="H794"/>
    </row>
    <row r="795" spans="2:8" x14ac:dyDescent="0.25">
      <c r="B795"/>
      <c r="C795"/>
      <c r="D795"/>
      <c r="E795"/>
      <c r="F795"/>
      <c r="G795"/>
      <c r="H795"/>
    </row>
    <row r="796" spans="2:8" x14ac:dyDescent="0.25">
      <c r="B796"/>
      <c r="C796"/>
      <c r="D796"/>
      <c r="E796"/>
      <c r="F796"/>
      <c r="G796"/>
      <c r="H796"/>
    </row>
    <row r="797" spans="2:8" x14ac:dyDescent="0.25">
      <c r="B797"/>
      <c r="C797"/>
      <c r="D797"/>
      <c r="E797"/>
      <c r="F797"/>
      <c r="G797"/>
      <c r="H797"/>
    </row>
    <row r="798" spans="2:8" x14ac:dyDescent="0.25">
      <c r="B798"/>
      <c r="C798"/>
      <c r="D798"/>
      <c r="E798"/>
      <c r="F798"/>
      <c r="G798"/>
      <c r="H798"/>
    </row>
    <row r="799" spans="2:8" x14ac:dyDescent="0.25">
      <c r="B799"/>
      <c r="C799"/>
      <c r="D799"/>
      <c r="E799"/>
      <c r="F799"/>
      <c r="G799"/>
      <c r="H799"/>
    </row>
    <row r="800" spans="2:8" x14ac:dyDescent="0.25">
      <c r="B800"/>
      <c r="C800"/>
      <c r="D800"/>
      <c r="E800"/>
      <c r="F800"/>
      <c r="G800"/>
      <c r="H800"/>
    </row>
    <row r="801" spans="2:8" x14ac:dyDescent="0.25">
      <c r="B801"/>
      <c r="C801"/>
      <c r="D801"/>
      <c r="E801"/>
      <c r="F801"/>
      <c r="G801"/>
      <c r="H801"/>
    </row>
    <row r="802" spans="2:8" x14ac:dyDescent="0.25">
      <c r="B802"/>
      <c r="C802"/>
      <c r="D802"/>
      <c r="E802"/>
      <c r="F802"/>
      <c r="G802"/>
      <c r="H802"/>
    </row>
    <row r="803" spans="2:8" x14ac:dyDescent="0.25">
      <c r="B803"/>
      <c r="C803"/>
      <c r="D803"/>
      <c r="E803"/>
      <c r="F803"/>
      <c r="G803"/>
      <c r="H803"/>
    </row>
    <row r="804" spans="2:8" x14ac:dyDescent="0.25">
      <c r="B804"/>
      <c r="C804"/>
      <c r="D804"/>
      <c r="E804"/>
      <c r="F804"/>
      <c r="G804"/>
      <c r="H804"/>
    </row>
    <row r="805" spans="2:8" x14ac:dyDescent="0.25">
      <c r="B805"/>
      <c r="C805"/>
      <c r="D805"/>
      <c r="E805"/>
      <c r="F805"/>
      <c r="G805"/>
      <c r="H805"/>
    </row>
    <row r="806" spans="2:8" x14ac:dyDescent="0.25">
      <c r="B806"/>
      <c r="C806"/>
      <c r="D806"/>
      <c r="E806"/>
      <c r="F806"/>
      <c r="G806"/>
      <c r="H806"/>
    </row>
    <row r="807" spans="2:8" x14ac:dyDescent="0.25">
      <c r="B807"/>
      <c r="C807"/>
      <c r="D807"/>
      <c r="E807"/>
      <c r="F807"/>
      <c r="G807"/>
      <c r="H807"/>
    </row>
    <row r="808" spans="2:8" x14ac:dyDescent="0.25">
      <c r="B808"/>
      <c r="C808"/>
      <c r="D808"/>
      <c r="E808"/>
      <c r="F808"/>
      <c r="G808"/>
      <c r="H808"/>
    </row>
    <row r="809" spans="2:8" x14ac:dyDescent="0.25">
      <c r="B809"/>
      <c r="C809"/>
      <c r="D809"/>
      <c r="E809"/>
      <c r="F809"/>
      <c r="G809"/>
      <c r="H809"/>
    </row>
    <row r="810" spans="2:8" x14ac:dyDescent="0.25">
      <c r="B810"/>
      <c r="C810"/>
      <c r="D810"/>
      <c r="E810"/>
      <c r="F810"/>
      <c r="G810"/>
      <c r="H810"/>
    </row>
    <row r="811" spans="2:8" x14ac:dyDescent="0.25">
      <c r="B811"/>
      <c r="C811"/>
      <c r="D811"/>
      <c r="E811"/>
      <c r="F811"/>
      <c r="G811"/>
      <c r="H811"/>
    </row>
    <row r="812" spans="2:8" x14ac:dyDescent="0.25">
      <c r="B812"/>
      <c r="C812"/>
      <c r="D812"/>
      <c r="E812"/>
      <c r="F812"/>
      <c r="G812"/>
      <c r="H812"/>
    </row>
    <row r="813" spans="2:8" x14ac:dyDescent="0.25">
      <c r="B813"/>
      <c r="C813"/>
      <c r="D813"/>
      <c r="E813"/>
      <c r="F813"/>
      <c r="G813"/>
      <c r="H813"/>
    </row>
    <row r="814" spans="2:8" x14ac:dyDescent="0.25">
      <c r="B814"/>
      <c r="C814"/>
      <c r="D814"/>
      <c r="E814"/>
      <c r="F814"/>
      <c r="G814"/>
      <c r="H814"/>
    </row>
    <row r="815" spans="2:8" x14ac:dyDescent="0.25">
      <c r="B815"/>
      <c r="C815"/>
      <c r="D815"/>
      <c r="E815"/>
      <c r="F815"/>
      <c r="G815"/>
      <c r="H815"/>
    </row>
    <row r="816" spans="2:8" x14ac:dyDescent="0.25">
      <c r="B816"/>
      <c r="C816"/>
      <c r="D816"/>
      <c r="E816"/>
      <c r="F816"/>
      <c r="G816"/>
      <c r="H816"/>
    </row>
    <row r="817" spans="2:8" x14ac:dyDescent="0.25">
      <c r="B817"/>
      <c r="C817"/>
      <c r="D817"/>
      <c r="E817"/>
      <c r="F817"/>
      <c r="G817"/>
      <c r="H817"/>
    </row>
    <row r="818" spans="2:8" x14ac:dyDescent="0.25">
      <c r="B818"/>
      <c r="C818"/>
      <c r="D818"/>
      <c r="E818"/>
      <c r="F818"/>
      <c r="G818"/>
      <c r="H818"/>
    </row>
    <row r="819" spans="2:8" x14ac:dyDescent="0.25">
      <c r="B819"/>
      <c r="C819"/>
      <c r="D819"/>
      <c r="E819"/>
      <c r="F819"/>
      <c r="G819"/>
      <c r="H819"/>
    </row>
    <row r="820" spans="2:8" x14ac:dyDescent="0.25">
      <c r="B820"/>
      <c r="C820"/>
      <c r="D820"/>
      <c r="E820"/>
      <c r="F820"/>
      <c r="G820"/>
      <c r="H820"/>
    </row>
    <row r="821" spans="2:8" x14ac:dyDescent="0.25">
      <c r="B821"/>
      <c r="C821"/>
      <c r="D821"/>
      <c r="E821"/>
      <c r="F821"/>
      <c r="G821"/>
      <c r="H821"/>
    </row>
    <row r="822" spans="2:8" x14ac:dyDescent="0.25">
      <c r="B822"/>
      <c r="C822"/>
      <c r="D822"/>
      <c r="E822"/>
      <c r="F822"/>
      <c r="G822"/>
      <c r="H822"/>
    </row>
    <row r="823" spans="2:8" x14ac:dyDescent="0.25">
      <c r="B823"/>
      <c r="C823"/>
      <c r="D823"/>
      <c r="E823"/>
      <c r="F823"/>
      <c r="G823"/>
      <c r="H823"/>
    </row>
    <row r="824" spans="2:8" x14ac:dyDescent="0.25">
      <c r="B824"/>
      <c r="C824"/>
      <c r="D824"/>
      <c r="E824"/>
      <c r="F824"/>
      <c r="G824"/>
      <c r="H824"/>
    </row>
    <row r="825" spans="2:8" x14ac:dyDescent="0.25">
      <c r="B825"/>
      <c r="C825"/>
      <c r="D825"/>
      <c r="E825"/>
      <c r="F825"/>
      <c r="G825"/>
      <c r="H825"/>
    </row>
    <row r="826" spans="2:8" x14ac:dyDescent="0.25">
      <c r="B826"/>
      <c r="C826"/>
      <c r="D826"/>
      <c r="E826"/>
      <c r="F826"/>
      <c r="G826"/>
      <c r="H826"/>
    </row>
    <row r="827" spans="2:8" x14ac:dyDescent="0.25">
      <c r="B827"/>
      <c r="C827"/>
      <c r="D827"/>
      <c r="E827"/>
      <c r="F827"/>
      <c r="G827"/>
      <c r="H827"/>
    </row>
    <row r="828" spans="2:8" x14ac:dyDescent="0.25">
      <c r="B828"/>
      <c r="C828"/>
      <c r="D828"/>
      <c r="E828"/>
      <c r="F828"/>
      <c r="G828"/>
      <c r="H828"/>
    </row>
    <row r="829" spans="2:8" x14ac:dyDescent="0.25">
      <c r="B829"/>
      <c r="C829"/>
      <c r="D829"/>
      <c r="E829"/>
      <c r="F829"/>
      <c r="G829"/>
      <c r="H829"/>
    </row>
    <row r="830" spans="2:8" x14ac:dyDescent="0.25">
      <c r="B830"/>
      <c r="C830"/>
      <c r="D830"/>
      <c r="E830"/>
      <c r="F830"/>
      <c r="G830"/>
      <c r="H830"/>
    </row>
    <row r="831" spans="2:8" x14ac:dyDescent="0.25">
      <c r="B831"/>
      <c r="C831"/>
      <c r="D831"/>
      <c r="E831"/>
      <c r="F831"/>
      <c r="G831"/>
      <c r="H831"/>
    </row>
    <row r="832" spans="2:8" x14ac:dyDescent="0.25">
      <c r="B832"/>
      <c r="C832"/>
      <c r="D832"/>
      <c r="E832"/>
      <c r="F832"/>
      <c r="G832"/>
      <c r="H832"/>
    </row>
    <row r="833" spans="2:8" x14ac:dyDescent="0.25">
      <c r="B833"/>
      <c r="C833"/>
      <c r="D833"/>
      <c r="E833"/>
      <c r="F833"/>
      <c r="G833"/>
      <c r="H833"/>
    </row>
    <row r="834" spans="2:8" x14ac:dyDescent="0.25">
      <c r="B834"/>
      <c r="C834"/>
      <c r="D834"/>
      <c r="E834"/>
      <c r="F834"/>
      <c r="G834"/>
      <c r="H834"/>
    </row>
    <row r="835" spans="2:8" x14ac:dyDescent="0.25">
      <c r="B835"/>
      <c r="C835"/>
      <c r="D835"/>
      <c r="E835"/>
      <c r="F835"/>
      <c r="G835"/>
      <c r="H835"/>
    </row>
    <row r="836" spans="2:8" x14ac:dyDescent="0.25">
      <c r="B836"/>
      <c r="C836"/>
      <c r="D836"/>
      <c r="E836"/>
      <c r="F836"/>
      <c r="G836"/>
      <c r="H836"/>
    </row>
    <row r="837" spans="2:8" x14ac:dyDescent="0.25">
      <c r="B837"/>
      <c r="C837"/>
      <c r="D837"/>
      <c r="E837"/>
      <c r="F837"/>
      <c r="G837"/>
      <c r="H837"/>
    </row>
    <row r="838" spans="2:8" x14ac:dyDescent="0.25">
      <c r="B838"/>
      <c r="C838"/>
      <c r="D838"/>
      <c r="E838"/>
      <c r="F838"/>
      <c r="G838"/>
      <c r="H838"/>
    </row>
    <row r="839" spans="2:8" x14ac:dyDescent="0.25">
      <c r="B839"/>
      <c r="C839"/>
      <c r="D839"/>
      <c r="E839"/>
      <c r="F839"/>
      <c r="G839"/>
      <c r="H839"/>
    </row>
    <row r="840" spans="2:8" x14ac:dyDescent="0.25">
      <c r="B840"/>
      <c r="C840"/>
      <c r="D840"/>
      <c r="E840"/>
      <c r="F840"/>
      <c r="G840"/>
      <c r="H840"/>
    </row>
    <row r="841" spans="2:8" x14ac:dyDescent="0.25">
      <c r="B841"/>
      <c r="C841"/>
      <c r="D841"/>
      <c r="E841"/>
      <c r="F841"/>
      <c r="G841"/>
      <c r="H841"/>
    </row>
    <row r="842" spans="2:8" x14ac:dyDescent="0.25">
      <c r="B842"/>
      <c r="C842"/>
      <c r="D842"/>
      <c r="E842"/>
      <c r="F842"/>
      <c r="G842"/>
      <c r="H842"/>
    </row>
    <row r="843" spans="2:8" x14ac:dyDescent="0.25">
      <c r="B843"/>
      <c r="C843"/>
      <c r="D843"/>
      <c r="E843"/>
      <c r="F843"/>
      <c r="G843"/>
      <c r="H843"/>
    </row>
    <row r="844" spans="2:8" x14ac:dyDescent="0.25">
      <c r="B844"/>
      <c r="C844"/>
      <c r="D844"/>
      <c r="E844"/>
      <c r="F844"/>
      <c r="G844"/>
      <c r="H844"/>
    </row>
    <row r="845" spans="2:8" x14ac:dyDescent="0.25">
      <c r="B845"/>
      <c r="C845"/>
      <c r="D845"/>
      <c r="E845"/>
      <c r="F845"/>
      <c r="G845"/>
      <c r="H845"/>
    </row>
    <row r="846" spans="2:8" x14ac:dyDescent="0.25">
      <c r="B846"/>
      <c r="C846"/>
      <c r="D846"/>
      <c r="E846"/>
      <c r="F846"/>
      <c r="G846"/>
      <c r="H846"/>
    </row>
    <row r="847" spans="2:8" x14ac:dyDescent="0.25">
      <c r="B847"/>
      <c r="C847"/>
      <c r="D847"/>
      <c r="E847"/>
      <c r="F847"/>
      <c r="G847"/>
      <c r="H847"/>
    </row>
    <row r="848" spans="2:8" x14ac:dyDescent="0.25">
      <c r="B848"/>
      <c r="C848"/>
      <c r="D848"/>
      <c r="E848"/>
      <c r="F848"/>
      <c r="G848"/>
      <c r="H848"/>
    </row>
    <row r="849" spans="2:8" x14ac:dyDescent="0.25">
      <c r="B849"/>
      <c r="C849"/>
      <c r="D849"/>
      <c r="E849"/>
      <c r="F849"/>
      <c r="G849"/>
      <c r="H849"/>
    </row>
    <row r="850" spans="2:8" x14ac:dyDescent="0.25">
      <c r="B850"/>
      <c r="C850"/>
      <c r="D850"/>
      <c r="E850"/>
      <c r="F850"/>
      <c r="G850"/>
      <c r="H850"/>
    </row>
    <row r="851" spans="2:8" x14ac:dyDescent="0.25">
      <c r="B851"/>
      <c r="C851"/>
      <c r="D851"/>
      <c r="E851"/>
      <c r="F851"/>
      <c r="G851"/>
      <c r="H851"/>
    </row>
    <row r="852" spans="2:8" x14ac:dyDescent="0.25">
      <c r="B852"/>
      <c r="C852"/>
      <c r="D852"/>
      <c r="E852"/>
      <c r="F852"/>
      <c r="G852"/>
      <c r="H852"/>
    </row>
    <row r="853" spans="2:8" x14ac:dyDescent="0.25">
      <c r="B853"/>
      <c r="C853"/>
      <c r="D853"/>
      <c r="E853"/>
      <c r="F853"/>
      <c r="G853"/>
      <c r="H853"/>
    </row>
    <row r="854" spans="2:8" x14ac:dyDescent="0.25">
      <c r="B854"/>
      <c r="C854"/>
      <c r="D854"/>
      <c r="E854"/>
      <c r="F854"/>
      <c r="G854"/>
      <c r="H854"/>
    </row>
    <row r="855" spans="2:8" x14ac:dyDescent="0.25">
      <c r="B855"/>
      <c r="C855"/>
      <c r="D855"/>
      <c r="E855"/>
      <c r="F855"/>
      <c r="G855"/>
      <c r="H855"/>
    </row>
    <row r="856" spans="2:8" x14ac:dyDescent="0.25">
      <c r="B856"/>
      <c r="C856"/>
      <c r="D856"/>
      <c r="E856"/>
      <c r="F856"/>
      <c r="G856"/>
      <c r="H856"/>
    </row>
    <row r="857" spans="2:8" x14ac:dyDescent="0.25">
      <c r="B857"/>
      <c r="C857"/>
      <c r="D857"/>
      <c r="E857"/>
      <c r="F857"/>
      <c r="G857"/>
      <c r="H857"/>
    </row>
    <row r="858" spans="2:8" x14ac:dyDescent="0.25">
      <c r="B858"/>
      <c r="C858"/>
      <c r="D858"/>
      <c r="E858"/>
      <c r="F858"/>
      <c r="G858"/>
      <c r="H858"/>
    </row>
    <row r="859" spans="2:8" x14ac:dyDescent="0.25">
      <c r="B859"/>
      <c r="C859"/>
      <c r="D859"/>
      <c r="E859"/>
      <c r="F859"/>
      <c r="G859"/>
      <c r="H859"/>
    </row>
    <row r="860" spans="2:8" x14ac:dyDescent="0.25">
      <c r="B860"/>
      <c r="C860"/>
      <c r="D860"/>
      <c r="E860"/>
      <c r="F860"/>
      <c r="G860"/>
      <c r="H860"/>
    </row>
    <row r="861" spans="2:8" x14ac:dyDescent="0.25">
      <c r="B861"/>
      <c r="C861"/>
      <c r="D861"/>
      <c r="E861"/>
      <c r="F861"/>
      <c r="G861"/>
      <c r="H861"/>
    </row>
    <row r="862" spans="2:8" x14ac:dyDescent="0.25">
      <c r="B862"/>
      <c r="C862"/>
      <c r="D862"/>
      <c r="E862"/>
      <c r="F862"/>
      <c r="G862"/>
      <c r="H862"/>
    </row>
    <row r="863" spans="2:8" x14ac:dyDescent="0.25">
      <c r="B863"/>
      <c r="C863"/>
      <c r="D863"/>
      <c r="E863"/>
      <c r="F863"/>
      <c r="G863"/>
      <c r="H863"/>
    </row>
    <row r="864" spans="2:8" x14ac:dyDescent="0.25">
      <c r="B864"/>
      <c r="C864"/>
      <c r="D864"/>
      <c r="E864"/>
      <c r="F864"/>
      <c r="G864"/>
      <c r="H864"/>
    </row>
    <row r="865" spans="2:8" x14ac:dyDescent="0.25">
      <c r="B865"/>
      <c r="C865"/>
      <c r="D865"/>
      <c r="E865"/>
      <c r="F865"/>
      <c r="G865"/>
      <c r="H865"/>
    </row>
    <row r="866" spans="2:8" x14ac:dyDescent="0.25">
      <c r="B866"/>
      <c r="C866"/>
      <c r="D866"/>
      <c r="E866"/>
      <c r="F866"/>
      <c r="G866"/>
      <c r="H866"/>
    </row>
    <row r="867" spans="2:8" x14ac:dyDescent="0.25">
      <c r="B867"/>
      <c r="C867"/>
      <c r="D867"/>
      <c r="E867"/>
      <c r="F867"/>
      <c r="G867"/>
      <c r="H867"/>
    </row>
    <row r="868" spans="2:8" x14ac:dyDescent="0.25">
      <c r="B868"/>
      <c r="C868"/>
      <c r="D868"/>
      <c r="E868"/>
      <c r="F868"/>
      <c r="G868"/>
      <c r="H868"/>
    </row>
    <row r="869" spans="2:8" x14ac:dyDescent="0.25">
      <c r="B869"/>
      <c r="C869"/>
      <c r="D869"/>
      <c r="E869"/>
      <c r="F869"/>
      <c r="G869"/>
      <c r="H869"/>
    </row>
    <row r="870" spans="2:8" x14ac:dyDescent="0.25">
      <c r="B870"/>
      <c r="C870"/>
      <c r="D870"/>
      <c r="E870"/>
      <c r="F870"/>
      <c r="G870"/>
      <c r="H870"/>
    </row>
    <row r="871" spans="2:8" x14ac:dyDescent="0.25">
      <c r="B871"/>
      <c r="C871"/>
      <c r="D871"/>
      <c r="E871"/>
      <c r="F871"/>
      <c r="G871"/>
      <c r="H871"/>
    </row>
    <row r="872" spans="2:8" x14ac:dyDescent="0.25">
      <c r="B872"/>
      <c r="C872"/>
      <c r="D872"/>
      <c r="E872"/>
      <c r="F872"/>
      <c r="G872"/>
      <c r="H872"/>
    </row>
    <row r="873" spans="2:8" x14ac:dyDescent="0.25">
      <c r="B873"/>
      <c r="C873"/>
      <c r="D873"/>
      <c r="E873"/>
      <c r="F873"/>
      <c r="G873"/>
      <c r="H873"/>
    </row>
    <row r="874" spans="2:8" x14ac:dyDescent="0.25">
      <c r="B874"/>
      <c r="C874"/>
      <c r="D874"/>
      <c r="E874"/>
      <c r="F874"/>
      <c r="G874"/>
      <c r="H874"/>
    </row>
    <row r="875" spans="2:8" x14ac:dyDescent="0.25">
      <c r="B875"/>
      <c r="C875"/>
      <c r="D875"/>
      <c r="E875"/>
      <c r="F875"/>
      <c r="G875"/>
      <c r="H875"/>
    </row>
    <row r="876" spans="2:8" x14ac:dyDescent="0.25">
      <c r="B876"/>
      <c r="C876"/>
      <c r="D876"/>
      <c r="E876"/>
      <c r="F876"/>
      <c r="G876"/>
      <c r="H876"/>
    </row>
    <row r="877" spans="2:8" x14ac:dyDescent="0.25">
      <c r="B877"/>
      <c r="C877"/>
      <c r="D877"/>
      <c r="E877"/>
      <c r="F877"/>
      <c r="G877"/>
      <c r="H877"/>
    </row>
    <row r="878" spans="2:8" x14ac:dyDescent="0.25">
      <c r="B878"/>
      <c r="C878"/>
      <c r="D878"/>
      <c r="E878"/>
      <c r="F878"/>
      <c r="G878"/>
      <c r="H878"/>
    </row>
    <row r="879" spans="2:8" x14ac:dyDescent="0.25">
      <c r="B879"/>
      <c r="C879"/>
      <c r="D879"/>
      <c r="E879"/>
      <c r="F879"/>
      <c r="G879"/>
      <c r="H879"/>
    </row>
    <row r="880" spans="2:8" x14ac:dyDescent="0.25">
      <c r="B880"/>
      <c r="C880"/>
      <c r="D880"/>
      <c r="E880"/>
      <c r="F880"/>
      <c r="G880"/>
      <c r="H880"/>
    </row>
    <row r="881" spans="2:8" x14ac:dyDescent="0.25">
      <c r="B881"/>
      <c r="C881"/>
      <c r="D881"/>
      <c r="E881"/>
      <c r="F881"/>
      <c r="G881"/>
      <c r="H881"/>
    </row>
    <row r="882" spans="2:8" x14ac:dyDescent="0.25">
      <c r="B882"/>
      <c r="C882"/>
      <c r="D882"/>
      <c r="E882"/>
      <c r="F882"/>
      <c r="G882"/>
      <c r="H882"/>
    </row>
    <row r="883" spans="2:8" x14ac:dyDescent="0.25">
      <c r="B883"/>
      <c r="C883"/>
      <c r="D883"/>
      <c r="E883"/>
      <c r="F883"/>
      <c r="G883"/>
      <c r="H883"/>
    </row>
    <row r="884" spans="2:8" x14ac:dyDescent="0.25">
      <c r="B884"/>
      <c r="C884"/>
      <c r="D884"/>
      <c r="E884"/>
      <c r="F884"/>
      <c r="G884"/>
      <c r="H884"/>
    </row>
    <row r="885" spans="2:8" x14ac:dyDescent="0.25">
      <c r="B885"/>
      <c r="C885"/>
      <c r="D885"/>
      <c r="E885"/>
      <c r="F885"/>
      <c r="G885"/>
      <c r="H885"/>
    </row>
    <row r="886" spans="2:8" x14ac:dyDescent="0.25">
      <c r="B886"/>
      <c r="C886"/>
      <c r="D886"/>
      <c r="E886"/>
      <c r="F886"/>
      <c r="G886"/>
      <c r="H886"/>
    </row>
    <row r="887" spans="2:8" x14ac:dyDescent="0.25">
      <c r="B887"/>
      <c r="C887"/>
      <c r="D887"/>
      <c r="E887"/>
      <c r="F887"/>
      <c r="G887"/>
      <c r="H887"/>
    </row>
    <row r="888" spans="2:8" x14ac:dyDescent="0.25">
      <c r="B888"/>
      <c r="C888"/>
      <c r="D888"/>
      <c r="E888"/>
      <c r="F888"/>
      <c r="G888"/>
      <c r="H888"/>
    </row>
    <row r="889" spans="2:8" x14ac:dyDescent="0.25">
      <c r="B889"/>
      <c r="C889"/>
      <c r="D889"/>
      <c r="E889"/>
      <c r="F889"/>
      <c r="G889"/>
      <c r="H889"/>
    </row>
    <row r="890" spans="2:8" x14ac:dyDescent="0.25">
      <c r="B890"/>
      <c r="C890"/>
      <c r="D890"/>
      <c r="E890"/>
      <c r="F890"/>
      <c r="G890"/>
      <c r="H890"/>
    </row>
    <row r="891" spans="2:8" x14ac:dyDescent="0.25">
      <c r="B891"/>
      <c r="C891"/>
      <c r="D891"/>
      <c r="E891"/>
      <c r="F891"/>
      <c r="G891"/>
      <c r="H891"/>
    </row>
    <row r="892" spans="2:8" x14ac:dyDescent="0.25">
      <c r="B892"/>
      <c r="C892"/>
      <c r="D892"/>
      <c r="E892"/>
      <c r="F892"/>
      <c r="G892"/>
      <c r="H892"/>
    </row>
    <row r="893" spans="2:8" x14ac:dyDescent="0.25">
      <c r="B893"/>
      <c r="C893"/>
      <c r="D893"/>
      <c r="E893"/>
      <c r="F893"/>
      <c r="G893"/>
      <c r="H893"/>
    </row>
    <row r="894" spans="2:8" x14ac:dyDescent="0.25">
      <c r="B894"/>
      <c r="C894"/>
      <c r="D894"/>
      <c r="E894"/>
      <c r="F894"/>
      <c r="G894"/>
      <c r="H894"/>
    </row>
    <row r="895" spans="2:8" x14ac:dyDescent="0.25">
      <c r="B895"/>
      <c r="C895"/>
      <c r="D895"/>
      <c r="E895"/>
      <c r="F895"/>
      <c r="G895"/>
      <c r="H895"/>
    </row>
    <row r="896" spans="2:8" x14ac:dyDescent="0.25">
      <c r="B896"/>
      <c r="C896"/>
      <c r="D896"/>
      <c r="E896"/>
      <c r="F896"/>
      <c r="G896"/>
      <c r="H896"/>
    </row>
    <row r="897" spans="2:8" x14ac:dyDescent="0.25">
      <c r="B897"/>
      <c r="C897"/>
      <c r="D897"/>
      <c r="E897"/>
      <c r="F897"/>
      <c r="G897"/>
      <c r="H897"/>
    </row>
    <row r="898" spans="2:8" x14ac:dyDescent="0.25">
      <c r="B898"/>
      <c r="C898"/>
      <c r="D898"/>
      <c r="E898"/>
      <c r="F898"/>
      <c r="G898"/>
      <c r="H898"/>
    </row>
    <row r="899" spans="2:8" x14ac:dyDescent="0.25">
      <c r="B899"/>
      <c r="C899"/>
      <c r="D899"/>
      <c r="E899"/>
      <c r="F899"/>
      <c r="G899"/>
      <c r="H899"/>
    </row>
    <row r="900" spans="2:8" x14ac:dyDescent="0.25">
      <c r="B900"/>
      <c r="C900"/>
      <c r="D900"/>
      <c r="E900"/>
      <c r="F900"/>
      <c r="G900"/>
      <c r="H900"/>
    </row>
    <row r="901" spans="2:8" x14ac:dyDescent="0.25">
      <c r="B901"/>
      <c r="C901"/>
      <c r="D901"/>
      <c r="E901"/>
      <c r="F901"/>
      <c r="G901"/>
      <c r="H901"/>
    </row>
    <row r="902" spans="2:8" x14ac:dyDescent="0.25">
      <c r="B902"/>
      <c r="C902"/>
      <c r="D902"/>
      <c r="E902"/>
      <c r="F902"/>
      <c r="G902"/>
      <c r="H902"/>
    </row>
    <row r="903" spans="2:8" x14ac:dyDescent="0.25">
      <c r="B903"/>
      <c r="C903"/>
      <c r="D903"/>
      <c r="E903"/>
      <c r="F903"/>
      <c r="G903"/>
      <c r="H903"/>
    </row>
    <row r="904" spans="2:8" x14ac:dyDescent="0.25">
      <c r="B904"/>
      <c r="C904"/>
      <c r="D904"/>
      <c r="E904"/>
      <c r="F904"/>
      <c r="G904"/>
      <c r="H904"/>
    </row>
    <row r="905" spans="2:8" x14ac:dyDescent="0.25">
      <c r="B905"/>
      <c r="C905"/>
      <c r="D905"/>
      <c r="E905"/>
      <c r="F905"/>
      <c r="G905"/>
      <c r="H905"/>
    </row>
    <row r="906" spans="2:8" x14ac:dyDescent="0.25">
      <c r="B906"/>
      <c r="C906"/>
      <c r="D906"/>
      <c r="E906"/>
      <c r="F906"/>
      <c r="G906"/>
      <c r="H906"/>
    </row>
    <row r="907" spans="2:8" x14ac:dyDescent="0.25">
      <c r="B907"/>
      <c r="C907"/>
      <c r="D907"/>
      <c r="E907"/>
      <c r="F907"/>
      <c r="G907"/>
      <c r="H907"/>
    </row>
    <row r="908" spans="2:8" x14ac:dyDescent="0.25">
      <c r="B908"/>
      <c r="C908"/>
      <c r="D908"/>
      <c r="E908"/>
      <c r="F908"/>
      <c r="G908"/>
      <c r="H908"/>
    </row>
    <row r="909" spans="2:8" x14ac:dyDescent="0.25">
      <c r="B909"/>
      <c r="C909"/>
      <c r="D909"/>
      <c r="E909"/>
      <c r="F909"/>
      <c r="G909"/>
      <c r="H909"/>
    </row>
    <row r="910" spans="2:8" x14ac:dyDescent="0.25">
      <c r="B910"/>
      <c r="C910"/>
      <c r="D910"/>
      <c r="E910"/>
      <c r="F910"/>
      <c r="G910"/>
      <c r="H910"/>
    </row>
    <row r="911" spans="2:8" x14ac:dyDescent="0.25">
      <c r="B911"/>
      <c r="C911"/>
      <c r="D911"/>
      <c r="E911"/>
      <c r="F911"/>
      <c r="G911"/>
      <c r="H911"/>
    </row>
    <row r="912" spans="2:8" x14ac:dyDescent="0.25">
      <c r="B912"/>
      <c r="C912"/>
      <c r="D912"/>
      <c r="E912"/>
      <c r="F912"/>
      <c r="G912"/>
      <c r="H912"/>
    </row>
    <row r="913" spans="2:8" x14ac:dyDescent="0.25">
      <c r="B913"/>
      <c r="C913"/>
      <c r="D913"/>
      <c r="E913"/>
      <c r="F913"/>
      <c r="G913"/>
      <c r="H913"/>
    </row>
    <row r="914" spans="2:8" x14ac:dyDescent="0.25">
      <c r="B914"/>
      <c r="C914"/>
      <c r="D914"/>
      <c r="E914"/>
      <c r="F914"/>
      <c r="G914"/>
      <c r="H914"/>
    </row>
    <row r="915" spans="2:8" x14ac:dyDescent="0.25">
      <c r="B915"/>
      <c r="C915"/>
      <c r="D915"/>
      <c r="E915"/>
      <c r="F915"/>
      <c r="G915"/>
      <c r="H915"/>
    </row>
    <row r="916" spans="2:8" x14ac:dyDescent="0.25">
      <c r="B916"/>
      <c r="C916"/>
      <c r="D916"/>
      <c r="E916"/>
      <c r="F916"/>
      <c r="G916"/>
      <c r="H916"/>
    </row>
    <row r="917" spans="2:8" x14ac:dyDescent="0.25">
      <c r="B917"/>
      <c r="C917"/>
      <c r="D917"/>
      <c r="E917"/>
      <c r="F917"/>
      <c r="G917"/>
      <c r="H917"/>
    </row>
    <row r="918" spans="2:8" x14ac:dyDescent="0.25">
      <c r="B918"/>
      <c r="C918"/>
      <c r="D918"/>
      <c r="E918"/>
      <c r="F918"/>
      <c r="G918"/>
      <c r="H918"/>
    </row>
    <row r="919" spans="2:8" x14ac:dyDescent="0.25">
      <c r="B919"/>
      <c r="C919"/>
      <c r="D919"/>
      <c r="E919"/>
      <c r="F919"/>
      <c r="G919"/>
      <c r="H919"/>
    </row>
    <row r="920" spans="2:8" x14ac:dyDescent="0.25">
      <c r="B920"/>
      <c r="C920"/>
      <c r="D920"/>
      <c r="E920"/>
      <c r="F920"/>
      <c r="G920"/>
      <c r="H920"/>
    </row>
    <row r="921" spans="2:8" x14ac:dyDescent="0.25">
      <c r="B921"/>
      <c r="C921"/>
      <c r="D921"/>
      <c r="E921"/>
      <c r="F921"/>
      <c r="G921"/>
      <c r="H921"/>
    </row>
    <row r="922" spans="2:8" x14ac:dyDescent="0.25">
      <c r="B922"/>
      <c r="C922"/>
      <c r="D922"/>
      <c r="E922"/>
      <c r="F922"/>
      <c r="G922"/>
      <c r="H922"/>
    </row>
    <row r="923" spans="2:8" x14ac:dyDescent="0.25">
      <c r="B923"/>
      <c r="C923"/>
      <c r="D923"/>
      <c r="E923"/>
      <c r="F923"/>
      <c r="G923"/>
      <c r="H923"/>
    </row>
    <row r="924" spans="2:8" x14ac:dyDescent="0.25">
      <c r="B924"/>
      <c r="C924"/>
      <c r="D924"/>
      <c r="E924"/>
      <c r="F924"/>
      <c r="G924"/>
      <c r="H924"/>
    </row>
    <row r="925" spans="2:8" x14ac:dyDescent="0.25">
      <c r="B925"/>
      <c r="C925"/>
      <c r="D925"/>
      <c r="E925"/>
      <c r="F925"/>
      <c r="G925"/>
      <c r="H925"/>
    </row>
    <row r="926" spans="2:8" x14ac:dyDescent="0.25">
      <c r="B926"/>
      <c r="C926"/>
      <c r="D926"/>
      <c r="E926"/>
      <c r="F926"/>
      <c r="G926"/>
      <c r="H926"/>
    </row>
    <row r="927" spans="2:8" x14ac:dyDescent="0.25">
      <c r="B927"/>
      <c r="C927"/>
      <c r="D927"/>
      <c r="E927"/>
      <c r="F927"/>
      <c r="G927"/>
      <c r="H927"/>
    </row>
    <row r="928" spans="2:8" x14ac:dyDescent="0.25">
      <c r="B928"/>
      <c r="C928"/>
      <c r="D928"/>
      <c r="E928"/>
      <c r="F928"/>
      <c r="G928"/>
      <c r="H928"/>
    </row>
    <row r="929" spans="2:8" x14ac:dyDescent="0.25">
      <c r="B929"/>
      <c r="C929"/>
      <c r="D929"/>
      <c r="E929"/>
      <c r="F929"/>
      <c r="G929"/>
      <c r="H929"/>
    </row>
    <row r="930" spans="2:8" x14ac:dyDescent="0.25">
      <c r="B930"/>
      <c r="C930"/>
      <c r="D930"/>
      <c r="E930"/>
      <c r="F930"/>
      <c r="G930"/>
      <c r="H930"/>
    </row>
    <row r="931" spans="2:8" x14ac:dyDescent="0.25">
      <c r="B931"/>
      <c r="C931"/>
      <c r="D931"/>
      <c r="E931"/>
      <c r="F931"/>
      <c r="G931"/>
      <c r="H931"/>
    </row>
    <row r="932" spans="2:8" x14ac:dyDescent="0.25">
      <c r="B932"/>
      <c r="C932"/>
      <c r="D932"/>
      <c r="E932"/>
      <c r="F932"/>
      <c r="G932"/>
      <c r="H932"/>
    </row>
    <row r="933" spans="2:8" x14ac:dyDescent="0.25">
      <c r="B933"/>
      <c r="C933"/>
      <c r="D933"/>
      <c r="E933"/>
      <c r="F933"/>
      <c r="G933"/>
      <c r="H933"/>
    </row>
    <row r="934" spans="2:8" x14ac:dyDescent="0.25">
      <c r="B934"/>
      <c r="C934"/>
      <c r="D934"/>
      <c r="E934"/>
      <c r="F934"/>
      <c r="G934"/>
      <c r="H934"/>
    </row>
    <row r="935" spans="2:8" x14ac:dyDescent="0.25">
      <c r="B935"/>
      <c r="C935"/>
      <c r="D935"/>
      <c r="E935"/>
      <c r="F935"/>
      <c r="G935"/>
      <c r="H935"/>
    </row>
    <row r="936" spans="2:8" x14ac:dyDescent="0.25">
      <c r="B936"/>
      <c r="C936"/>
      <c r="D936"/>
      <c r="E936"/>
      <c r="F936"/>
      <c r="G936"/>
      <c r="H936"/>
    </row>
    <row r="937" spans="2:8" x14ac:dyDescent="0.25">
      <c r="B937"/>
      <c r="C937"/>
      <c r="D937"/>
      <c r="E937"/>
      <c r="F937"/>
      <c r="G937"/>
      <c r="H937"/>
    </row>
    <row r="938" spans="2:8" x14ac:dyDescent="0.25">
      <c r="B938"/>
      <c r="C938"/>
      <c r="D938"/>
      <c r="E938"/>
      <c r="F938"/>
      <c r="G938"/>
      <c r="H938"/>
    </row>
    <row r="939" spans="2:8" x14ac:dyDescent="0.25">
      <c r="B939"/>
      <c r="C939"/>
      <c r="D939"/>
      <c r="E939"/>
      <c r="F939"/>
      <c r="G939"/>
      <c r="H939"/>
    </row>
    <row r="940" spans="2:8" x14ac:dyDescent="0.25">
      <c r="B940"/>
      <c r="C940"/>
      <c r="D940"/>
      <c r="E940"/>
      <c r="F940"/>
      <c r="G940"/>
      <c r="H940"/>
    </row>
    <row r="941" spans="2:8" x14ac:dyDescent="0.25">
      <c r="B941"/>
      <c r="C941"/>
      <c r="D941"/>
      <c r="E941"/>
      <c r="F941"/>
      <c r="G941"/>
      <c r="H941"/>
    </row>
    <row r="942" spans="2:8" x14ac:dyDescent="0.25">
      <c r="B942"/>
      <c r="C942"/>
      <c r="D942"/>
      <c r="E942"/>
      <c r="F942"/>
      <c r="G942"/>
      <c r="H942"/>
    </row>
    <row r="943" spans="2:8" x14ac:dyDescent="0.25">
      <c r="B943"/>
      <c r="C943"/>
      <c r="D943"/>
      <c r="E943"/>
      <c r="F943"/>
      <c r="G943"/>
      <c r="H943"/>
    </row>
    <row r="944" spans="2:8" x14ac:dyDescent="0.25">
      <c r="B944"/>
      <c r="C944"/>
      <c r="D944"/>
      <c r="E944"/>
      <c r="F944"/>
      <c r="G944"/>
      <c r="H944"/>
    </row>
    <row r="945" spans="2:8" x14ac:dyDescent="0.25">
      <c r="B945"/>
      <c r="C945"/>
      <c r="D945"/>
      <c r="E945"/>
      <c r="F945"/>
      <c r="G945"/>
      <c r="H945"/>
    </row>
    <row r="946" spans="2:8" x14ac:dyDescent="0.25">
      <c r="B946"/>
      <c r="C946"/>
      <c r="D946"/>
      <c r="E946"/>
      <c r="F946"/>
      <c r="G946"/>
      <c r="H946"/>
    </row>
    <row r="947" spans="2:8" x14ac:dyDescent="0.25">
      <c r="B947"/>
      <c r="C947"/>
      <c r="D947"/>
      <c r="E947"/>
      <c r="F947"/>
      <c r="G947"/>
      <c r="H947"/>
    </row>
    <row r="948" spans="2:8" x14ac:dyDescent="0.25">
      <c r="B948"/>
      <c r="C948"/>
      <c r="D948"/>
      <c r="E948"/>
      <c r="F948"/>
      <c r="G948"/>
      <c r="H948"/>
    </row>
    <row r="949" spans="2:8" x14ac:dyDescent="0.25">
      <c r="B949"/>
      <c r="C949"/>
      <c r="D949"/>
      <c r="E949"/>
      <c r="F949"/>
      <c r="G949"/>
      <c r="H949"/>
    </row>
    <row r="950" spans="2:8" x14ac:dyDescent="0.25">
      <c r="B950"/>
      <c r="C950"/>
      <c r="D950"/>
      <c r="E950"/>
      <c r="F950"/>
      <c r="G950"/>
      <c r="H950"/>
    </row>
    <row r="951" spans="2:8" x14ac:dyDescent="0.25">
      <c r="B951"/>
      <c r="C951"/>
      <c r="D951"/>
      <c r="E951"/>
      <c r="F951"/>
      <c r="G951"/>
      <c r="H951"/>
    </row>
    <row r="952" spans="2:8" x14ac:dyDescent="0.25">
      <c r="B952"/>
      <c r="C952"/>
      <c r="D952"/>
      <c r="E952"/>
      <c r="F952"/>
      <c r="G952"/>
      <c r="H952"/>
    </row>
    <row r="953" spans="2:8" x14ac:dyDescent="0.25">
      <c r="B953"/>
      <c r="C953"/>
      <c r="D953"/>
      <c r="E953"/>
      <c r="F953"/>
      <c r="G953"/>
      <c r="H953"/>
    </row>
    <row r="954" spans="2:8" x14ac:dyDescent="0.25">
      <c r="B954"/>
      <c r="C954"/>
      <c r="D954"/>
      <c r="E954"/>
      <c r="F954"/>
      <c r="G954"/>
      <c r="H954"/>
    </row>
    <row r="955" spans="2:8" x14ac:dyDescent="0.25">
      <c r="B955"/>
      <c r="C955"/>
      <c r="D955"/>
      <c r="E955"/>
      <c r="F955"/>
      <c r="G955"/>
      <c r="H955"/>
    </row>
    <row r="956" spans="2:8" x14ac:dyDescent="0.25">
      <c r="B956"/>
      <c r="C956"/>
      <c r="D956"/>
      <c r="E956"/>
      <c r="F956"/>
      <c r="G956"/>
      <c r="H956"/>
    </row>
    <row r="957" spans="2:8" x14ac:dyDescent="0.25">
      <c r="B957"/>
      <c r="C957"/>
      <c r="D957"/>
      <c r="E957"/>
      <c r="F957"/>
      <c r="G957"/>
      <c r="H957"/>
    </row>
    <row r="958" spans="2:8" x14ac:dyDescent="0.25">
      <c r="B958"/>
      <c r="C958"/>
      <c r="D958"/>
      <c r="E958"/>
      <c r="F958"/>
      <c r="G958"/>
      <c r="H958"/>
    </row>
    <row r="959" spans="2:8" x14ac:dyDescent="0.25">
      <c r="B959"/>
      <c r="C959"/>
      <c r="D959"/>
      <c r="E959"/>
      <c r="F959"/>
      <c r="G959"/>
      <c r="H959"/>
    </row>
    <row r="960" spans="2:8" x14ac:dyDescent="0.25">
      <c r="B960"/>
      <c r="C960"/>
      <c r="D960"/>
      <c r="E960"/>
      <c r="F960"/>
      <c r="G960"/>
      <c r="H960"/>
    </row>
    <row r="961" spans="2:8" x14ac:dyDescent="0.25">
      <c r="B961"/>
      <c r="C961"/>
      <c r="D961"/>
      <c r="E961"/>
      <c r="F961"/>
      <c r="G961"/>
      <c r="H961"/>
    </row>
    <row r="962" spans="2:8" x14ac:dyDescent="0.25">
      <c r="B962"/>
      <c r="C962"/>
      <c r="D962"/>
      <c r="E962"/>
      <c r="F962"/>
      <c r="G962"/>
      <c r="H962"/>
    </row>
    <row r="963" spans="2:8" x14ac:dyDescent="0.25">
      <c r="B963"/>
      <c r="C963"/>
      <c r="D963"/>
      <c r="E963"/>
      <c r="F963"/>
      <c r="G963"/>
      <c r="H963"/>
    </row>
    <row r="964" spans="2:8" x14ac:dyDescent="0.25">
      <c r="B964"/>
      <c r="C964"/>
      <c r="D964"/>
      <c r="E964"/>
      <c r="F964"/>
      <c r="G964"/>
      <c r="H964"/>
    </row>
    <row r="965" spans="2:8" x14ac:dyDescent="0.25">
      <c r="B965"/>
      <c r="C965"/>
      <c r="D965"/>
      <c r="E965"/>
      <c r="F965"/>
      <c r="G965"/>
      <c r="H965"/>
    </row>
    <row r="966" spans="2:8" x14ac:dyDescent="0.25">
      <c r="B966"/>
      <c r="C966"/>
      <c r="D966"/>
      <c r="E966"/>
      <c r="F966"/>
      <c r="G966"/>
      <c r="H966"/>
    </row>
    <row r="967" spans="2:8" x14ac:dyDescent="0.25">
      <c r="B967"/>
      <c r="C967"/>
      <c r="D967"/>
      <c r="E967"/>
      <c r="F967"/>
      <c r="G967"/>
      <c r="H967"/>
    </row>
    <row r="968" spans="2:8" x14ac:dyDescent="0.25">
      <c r="B968"/>
      <c r="C968"/>
      <c r="D968"/>
      <c r="E968"/>
      <c r="F968"/>
      <c r="G968"/>
      <c r="H968"/>
    </row>
    <row r="969" spans="2:8" x14ac:dyDescent="0.25">
      <c r="B969"/>
      <c r="C969"/>
      <c r="D969"/>
      <c r="E969"/>
      <c r="F969"/>
      <c r="G969"/>
      <c r="H969"/>
    </row>
    <row r="970" spans="2:8" x14ac:dyDescent="0.25">
      <c r="B970"/>
      <c r="C970"/>
      <c r="D970"/>
      <c r="E970"/>
      <c r="F970"/>
      <c r="G970"/>
      <c r="H970"/>
    </row>
    <row r="971" spans="2:8" x14ac:dyDescent="0.25">
      <c r="B971"/>
      <c r="C971"/>
      <c r="D971"/>
      <c r="E971"/>
      <c r="F971"/>
      <c r="G971"/>
      <c r="H971"/>
    </row>
    <row r="972" spans="2:8" x14ac:dyDescent="0.25">
      <c r="B972"/>
      <c r="C972"/>
      <c r="D972"/>
      <c r="E972"/>
      <c r="F972"/>
      <c r="G972"/>
      <c r="H972"/>
    </row>
    <row r="973" spans="2:8" x14ac:dyDescent="0.25">
      <c r="B973"/>
      <c r="C973"/>
      <c r="D973"/>
      <c r="E973"/>
      <c r="F973"/>
      <c r="G973"/>
      <c r="H973"/>
    </row>
    <row r="974" spans="2:8" x14ac:dyDescent="0.25">
      <c r="B974"/>
      <c r="C974"/>
      <c r="D974"/>
      <c r="E974"/>
      <c r="F974"/>
      <c r="G974"/>
      <c r="H974"/>
    </row>
    <row r="975" spans="2:8" x14ac:dyDescent="0.25">
      <c r="B975"/>
      <c r="C975"/>
      <c r="D975"/>
      <c r="E975"/>
      <c r="F975"/>
      <c r="G975"/>
      <c r="H975"/>
    </row>
    <row r="976" spans="2:8" x14ac:dyDescent="0.25">
      <c r="B976"/>
      <c r="C976"/>
      <c r="D976"/>
      <c r="E976"/>
      <c r="F976"/>
      <c r="G976"/>
      <c r="H976"/>
    </row>
    <row r="977" spans="2:8" x14ac:dyDescent="0.25">
      <c r="B977"/>
      <c r="C977"/>
      <c r="D977"/>
      <c r="E977"/>
      <c r="F977"/>
      <c r="G977"/>
      <c r="H977"/>
    </row>
    <row r="978" spans="2:8" x14ac:dyDescent="0.25">
      <c r="B978"/>
      <c r="C978"/>
      <c r="D978"/>
      <c r="E978"/>
      <c r="F978"/>
      <c r="G978"/>
      <c r="H978"/>
    </row>
    <row r="979" spans="2:8" x14ac:dyDescent="0.25">
      <c r="B979"/>
      <c r="C979"/>
      <c r="D979"/>
      <c r="E979"/>
      <c r="F979"/>
      <c r="G979"/>
      <c r="H979"/>
    </row>
    <row r="980" spans="2:8" x14ac:dyDescent="0.25">
      <c r="B980"/>
      <c r="C980"/>
      <c r="D980"/>
      <c r="E980"/>
      <c r="F980"/>
      <c r="G980"/>
      <c r="H980"/>
    </row>
    <row r="981" spans="2:8" x14ac:dyDescent="0.25">
      <c r="B981"/>
      <c r="C981"/>
      <c r="D981"/>
      <c r="E981"/>
      <c r="F981"/>
      <c r="G981"/>
      <c r="H981"/>
    </row>
    <row r="982" spans="2:8" x14ac:dyDescent="0.25">
      <c r="B982"/>
      <c r="C982"/>
      <c r="D982"/>
      <c r="E982"/>
      <c r="F982"/>
      <c r="G982"/>
      <c r="H982"/>
    </row>
    <row r="983" spans="2:8" x14ac:dyDescent="0.25">
      <c r="B983"/>
      <c r="C983"/>
      <c r="D983"/>
      <c r="E983"/>
      <c r="F983"/>
      <c r="G983"/>
      <c r="H983"/>
    </row>
    <row r="984" spans="2:8" x14ac:dyDescent="0.25">
      <c r="B984"/>
      <c r="C984"/>
      <c r="D984"/>
      <c r="E984"/>
      <c r="F984"/>
      <c r="G984"/>
      <c r="H984"/>
    </row>
    <row r="985" spans="2:8" x14ac:dyDescent="0.25">
      <c r="B985"/>
      <c r="C985"/>
      <c r="D985"/>
      <c r="E985"/>
      <c r="F985"/>
      <c r="G985"/>
      <c r="H985"/>
    </row>
    <row r="986" spans="2:8" x14ac:dyDescent="0.25">
      <c r="B986"/>
      <c r="C986"/>
      <c r="D986"/>
      <c r="E986"/>
      <c r="F986"/>
      <c r="G986"/>
      <c r="H986"/>
    </row>
    <row r="987" spans="2:8" x14ac:dyDescent="0.25">
      <c r="B987"/>
      <c r="C987"/>
      <c r="D987"/>
      <c r="E987"/>
      <c r="F987"/>
      <c r="G987"/>
      <c r="H987"/>
    </row>
    <row r="988" spans="2:8" x14ac:dyDescent="0.25">
      <c r="B988"/>
      <c r="C988"/>
      <c r="D988"/>
      <c r="E988"/>
      <c r="F988"/>
      <c r="G988"/>
      <c r="H988"/>
    </row>
    <row r="989" spans="2:8" x14ac:dyDescent="0.25">
      <c r="B989"/>
      <c r="C989"/>
      <c r="D989"/>
      <c r="E989"/>
      <c r="F989"/>
      <c r="G989"/>
      <c r="H989"/>
    </row>
    <row r="990" spans="2:8" x14ac:dyDescent="0.25">
      <c r="B990"/>
      <c r="C990"/>
      <c r="D990"/>
      <c r="E990"/>
      <c r="F990"/>
      <c r="G990"/>
      <c r="H990"/>
    </row>
    <row r="991" spans="2:8" x14ac:dyDescent="0.25">
      <c r="B991"/>
      <c r="C991"/>
      <c r="D991"/>
      <c r="E991"/>
      <c r="F991"/>
      <c r="G991"/>
      <c r="H991"/>
    </row>
    <row r="992" spans="2:8" x14ac:dyDescent="0.25">
      <c r="B992"/>
      <c r="C992"/>
      <c r="D992"/>
      <c r="E992"/>
      <c r="F992"/>
      <c r="G992"/>
      <c r="H992"/>
    </row>
    <row r="993" spans="2:8" x14ac:dyDescent="0.25">
      <c r="B993"/>
      <c r="C993"/>
      <c r="D993"/>
      <c r="E993"/>
      <c r="F993"/>
      <c r="G993"/>
      <c r="H993"/>
    </row>
    <row r="994" spans="2:8" x14ac:dyDescent="0.25">
      <c r="B994"/>
      <c r="C994"/>
      <c r="D994"/>
      <c r="E994"/>
      <c r="F994"/>
      <c r="G994"/>
      <c r="H994"/>
    </row>
    <row r="995" spans="2:8" x14ac:dyDescent="0.25">
      <c r="B995"/>
      <c r="C995"/>
      <c r="D995"/>
      <c r="E995"/>
      <c r="F995"/>
      <c r="G995"/>
      <c r="H995"/>
    </row>
    <row r="996" spans="2:8" x14ac:dyDescent="0.25">
      <c r="B996"/>
      <c r="C996"/>
      <c r="D996"/>
      <c r="E996"/>
      <c r="F996"/>
      <c r="G996"/>
      <c r="H996"/>
    </row>
    <row r="997" spans="2:8" x14ac:dyDescent="0.25">
      <c r="B997"/>
      <c r="C997"/>
      <c r="D997"/>
      <c r="E997"/>
      <c r="F997"/>
      <c r="G997"/>
      <c r="H997"/>
    </row>
    <row r="998" spans="2:8" x14ac:dyDescent="0.25">
      <c r="B998"/>
      <c r="C998"/>
      <c r="D998"/>
      <c r="E998"/>
      <c r="F998"/>
      <c r="G998"/>
      <c r="H998"/>
    </row>
    <row r="999" spans="2:8" x14ac:dyDescent="0.25">
      <c r="B999"/>
      <c r="C999"/>
      <c r="D999"/>
      <c r="E999"/>
      <c r="F999"/>
      <c r="G999"/>
      <c r="H999"/>
    </row>
    <row r="1000" spans="2:8" x14ac:dyDescent="0.25">
      <c r="B1000"/>
      <c r="C1000"/>
      <c r="D1000"/>
      <c r="E1000"/>
      <c r="F1000"/>
      <c r="G1000"/>
      <c r="H1000"/>
    </row>
    <row r="1001" spans="2:8" x14ac:dyDescent="0.25">
      <c r="B1001"/>
      <c r="C1001"/>
      <c r="D1001"/>
      <c r="E1001"/>
      <c r="F1001"/>
      <c r="G1001"/>
      <c r="H1001"/>
    </row>
    <row r="1002" spans="2:8" x14ac:dyDescent="0.25">
      <c r="B1002"/>
      <c r="C1002"/>
      <c r="D1002"/>
      <c r="E1002"/>
      <c r="F1002"/>
      <c r="G1002"/>
      <c r="H1002"/>
    </row>
    <row r="1003" spans="2:8" x14ac:dyDescent="0.25">
      <c r="B1003"/>
      <c r="C1003"/>
      <c r="D1003"/>
      <c r="E1003"/>
      <c r="F1003"/>
      <c r="G1003"/>
      <c r="H1003"/>
    </row>
    <row r="1004" spans="2:8" x14ac:dyDescent="0.25">
      <c r="B1004"/>
      <c r="C1004"/>
      <c r="D1004"/>
      <c r="E1004"/>
      <c r="F1004"/>
      <c r="G1004"/>
      <c r="H1004"/>
    </row>
    <row r="1005" spans="2:8" x14ac:dyDescent="0.25">
      <c r="B1005"/>
      <c r="C1005"/>
      <c r="D1005"/>
      <c r="E1005"/>
      <c r="F1005"/>
      <c r="G1005"/>
      <c r="H1005"/>
    </row>
    <row r="1006" spans="2:8" x14ac:dyDescent="0.25">
      <c r="B1006"/>
      <c r="C1006"/>
      <c r="D1006"/>
      <c r="E1006"/>
      <c r="F1006"/>
      <c r="G1006"/>
      <c r="H1006"/>
    </row>
    <row r="1007" spans="2:8" x14ac:dyDescent="0.25">
      <c r="B1007"/>
      <c r="C1007"/>
      <c r="D1007"/>
      <c r="E1007"/>
      <c r="F1007"/>
      <c r="G1007"/>
      <c r="H1007"/>
    </row>
    <row r="1008" spans="2:8" x14ac:dyDescent="0.25">
      <c r="B1008"/>
      <c r="C1008"/>
      <c r="D1008"/>
      <c r="E1008"/>
      <c r="F1008"/>
      <c r="G1008"/>
      <c r="H1008"/>
    </row>
    <row r="1009" spans="2:8" x14ac:dyDescent="0.25">
      <c r="B1009"/>
      <c r="C1009"/>
      <c r="D1009"/>
      <c r="E1009"/>
      <c r="F1009"/>
      <c r="G1009"/>
      <c r="H1009"/>
    </row>
    <row r="1010" spans="2:8" x14ac:dyDescent="0.25">
      <c r="B1010"/>
      <c r="C1010"/>
      <c r="D1010"/>
      <c r="E1010"/>
      <c r="F1010"/>
      <c r="G1010"/>
      <c r="H1010"/>
    </row>
  </sheetData>
  <sheetProtection pivotTables="0"/>
  <mergeCells count="2">
    <mergeCell ref="C3:H6"/>
    <mergeCell ref="E7:H7"/>
  </mergeCells>
  <conditionalFormatting sqref="B1:H6 B1011:H1048576 B9:E1010 B8:H8 B7:D7">
    <cfRule type="cellIs" dxfId="979" priority="3" operator="equal">
      <formula>"(blank)"</formula>
    </cfRule>
  </conditionalFormatting>
  <conditionalFormatting sqref="E7">
    <cfRule type="cellIs" dxfId="978" priority="1" operator="equal">
      <formula>"(blank)"</formula>
    </cfRule>
  </conditionalFormatting>
  <printOptions horizontalCentered="1"/>
  <pageMargins left="0.70866141732283472" right="0.70866141732283472" top="0.74803149606299213" bottom="0.74803149606299213" header="0.31496062992125984" footer="0.31496062992125984"/>
  <pageSetup scale="94" fitToHeight="0" orientation="portrait" r:id="rId2"/>
  <headerFooter>
    <oddFooter>&amp;CA &amp;P/&amp;N&amp;RStamp/Sign</oddFooter>
  </headerFooter>
  <rowBreaks count="5" manualBreakCount="5">
    <brk id="35" min="2" max="8" man="1"/>
    <brk id="53" min="2" max="8" man="1"/>
    <brk id="65" min="2" max="8" man="1"/>
    <brk id="77" min="2" max="8" man="1"/>
    <brk id="97" min="2" max="8" man="1"/>
  </rowBreaks>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C5963-EFF4-4F2A-93E9-49D1EB13C02F}">
  <sheetPr codeName="Sheet7">
    <tabColor rgb="FFFF0000"/>
    <pageSetUpPr fitToPage="1"/>
  </sheetPr>
  <dimension ref="B1:C48"/>
  <sheetViews>
    <sheetView view="pageBreakPreview" zoomScaleNormal="85" zoomScaleSheetLayoutView="100" workbookViewId="0">
      <selection activeCell="C16" sqref="C16"/>
    </sheetView>
  </sheetViews>
  <sheetFormatPr defaultColWidth="8.88671875" defaultRowHeight="13.8" x14ac:dyDescent="0.25"/>
  <cols>
    <col min="1" max="1" width="2.5546875" style="119" customWidth="1"/>
    <col min="2" max="2" width="5.5546875" style="119" customWidth="1"/>
    <col min="3" max="3" width="75.44140625" style="121" customWidth="1"/>
    <col min="4" max="4" width="4.109375" style="119" customWidth="1"/>
    <col min="5" max="16384" width="8.88671875" style="119"/>
  </cols>
  <sheetData>
    <row r="1" spans="2:3" ht="16.2" x14ac:dyDescent="0.25">
      <c r="C1" s="117" t="s">
        <v>139</v>
      </c>
    </row>
    <row r="2" spans="2:3" x14ac:dyDescent="0.25">
      <c r="C2" s="118" t="s">
        <v>140</v>
      </c>
    </row>
    <row r="3" spans="2:3" x14ac:dyDescent="0.25">
      <c r="C3" s="63"/>
    </row>
    <row r="4" spans="2:3" x14ac:dyDescent="0.25">
      <c r="B4" s="120">
        <v>1</v>
      </c>
      <c r="C4" s="64" t="s">
        <v>141</v>
      </c>
    </row>
    <row r="5" spans="2:3" x14ac:dyDescent="0.25">
      <c r="B5" s="120"/>
      <c r="C5" s="64"/>
    </row>
    <row r="6" spans="2:3" ht="42" customHeight="1" x14ac:dyDescent="0.25">
      <c r="B6" s="119" t="s">
        <v>42</v>
      </c>
      <c r="C6" s="65" t="s">
        <v>142</v>
      </c>
    </row>
    <row r="7" spans="2:3" ht="41.4" x14ac:dyDescent="0.25">
      <c r="B7" s="119" t="s">
        <v>143</v>
      </c>
      <c r="C7" s="65" t="s">
        <v>144</v>
      </c>
    </row>
    <row r="8" spans="2:3" ht="41.4" x14ac:dyDescent="0.25">
      <c r="B8" s="119" t="s">
        <v>131</v>
      </c>
      <c r="C8" s="65" t="s">
        <v>145</v>
      </c>
    </row>
    <row r="9" spans="2:3" ht="41.4" x14ac:dyDescent="0.25">
      <c r="B9" s="119" t="s">
        <v>146</v>
      </c>
      <c r="C9" s="65" t="s">
        <v>147</v>
      </c>
    </row>
    <row r="10" spans="2:3" ht="27.6" x14ac:dyDescent="0.25">
      <c r="B10" s="119" t="s">
        <v>148</v>
      </c>
      <c r="C10" s="65" t="s">
        <v>149</v>
      </c>
    </row>
    <row r="11" spans="2:3" ht="41.4" x14ac:dyDescent="0.25">
      <c r="B11" s="119" t="s">
        <v>150</v>
      </c>
      <c r="C11" s="65" t="s">
        <v>264</v>
      </c>
    </row>
    <row r="12" spans="2:3" ht="27.6" x14ac:dyDescent="0.25">
      <c r="B12" s="119" t="s">
        <v>151</v>
      </c>
      <c r="C12" s="65" t="s">
        <v>153</v>
      </c>
    </row>
    <row r="13" spans="2:3" ht="27.6" x14ac:dyDescent="0.25">
      <c r="B13" s="119" t="s">
        <v>152</v>
      </c>
      <c r="C13" s="65" t="s">
        <v>155</v>
      </c>
    </row>
    <row r="14" spans="2:3" ht="72" customHeight="1" x14ac:dyDescent="0.25">
      <c r="B14" s="119" t="s">
        <v>154</v>
      </c>
      <c r="C14" s="65" t="s">
        <v>157</v>
      </c>
    </row>
    <row r="15" spans="2:3" ht="227.4" customHeight="1" x14ac:dyDescent="0.25">
      <c r="B15" s="119" t="s">
        <v>156</v>
      </c>
      <c r="C15" s="65" t="s">
        <v>159</v>
      </c>
    </row>
    <row r="16" spans="2:3" ht="27.6" x14ac:dyDescent="0.25">
      <c r="B16" s="119" t="s">
        <v>158</v>
      </c>
      <c r="C16" s="65" t="s">
        <v>160</v>
      </c>
    </row>
    <row r="17" spans="2:3" x14ac:dyDescent="0.25">
      <c r="C17" s="65"/>
    </row>
    <row r="18" spans="2:3" x14ac:dyDescent="0.25">
      <c r="B18" s="120">
        <v>2</v>
      </c>
      <c r="C18" s="64" t="s">
        <v>161</v>
      </c>
    </row>
    <row r="19" spans="2:3" x14ac:dyDescent="0.25">
      <c r="C19" s="63"/>
    </row>
    <row r="20" spans="2:3" ht="41.4" x14ac:dyDescent="0.25">
      <c r="B20" s="119" t="s">
        <v>42</v>
      </c>
      <c r="C20" s="65" t="s">
        <v>162</v>
      </c>
    </row>
    <row r="21" spans="2:3" ht="27.6" x14ac:dyDescent="0.25">
      <c r="B21" s="119" t="s">
        <v>143</v>
      </c>
      <c r="C21" s="65" t="s">
        <v>163</v>
      </c>
    </row>
    <row r="22" spans="2:3" ht="55.2" x14ac:dyDescent="0.25">
      <c r="B22" s="119" t="s">
        <v>131</v>
      </c>
      <c r="C22" s="65" t="s">
        <v>164</v>
      </c>
    </row>
    <row r="23" spans="2:3" ht="27.6" x14ac:dyDescent="0.25">
      <c r="B23" s="119" t="s">
        <v>146</v>
      </c>
      <c r="C23" s="65" t="s">
        <v>165</v>
      </c>
    </row>
    <row r="24" spans="2:3" x14ac:dyDescent="0.25">
      <c r="C24" s="65"/>
    </row>
    <row r="25" spans="2:3" x14ac:dyDescent="0.25">
      <c r="B25" s="120">
        <v>3</v>
      </c>
      <c r="C25" s="64" t="s">
        <v>166</v>
      </c>
    </row>
    <row r="26" spans="2:3" x14ac:dyDescent="0.25">
      <c r="C26" s="63"/>
    </row>
    <row r="27" spans="2:3" ht="41.4" x14ac:dyDescent="0.25">
      <c r="B27" s="119" t="s">
        <v>42</v>
      </c>
      <c r="C27" s="65" t="s">
        <v>167</v>
      </c>
    </row>
    <row r="28" spans="2:3" ht="27.6" x14ac:dyDescent="0.25">
      <c r="B28" s="119" t="s">
        <v>143</v>
      </c>
      <c r="C28" s="65" t="s">
        <v>168</v>
      </c>
    </row>
    <row r="29" spans="2:3" ht="27.6" x14ac:dyDescent="0.25">
      <c r="B29" s="119" t="s">
        <v>131</v>
      </c>
      <c r="C29" s="65" t="s">
        <v>169</v>
      </c>
    </row>
    <row r="30" spans="2:3" ht="27.6" x14ac:dyDescent="0.25">
      <c r="B30" s="119" t="s">
        <v>146</v>
      </c>
      <c r="C30" s="65" t="s">
        <v>170</v>
      </c>
    </row>
    <row r="31" spans="2:3" ht="27.6" x14ac:dyDescent="0.25">
      <c r="B31" s="119" t="s">
        <v>148</v>
      </c>
      <c r="C31" s="65" t="s">
        <v>171</v>
      </c>
    </row>
    <row r="32" spans="2:3" x14ac:dyDescent="0.25">
      <c r="C32" s="65"/>
    </row>
    <row r="33" spans="2:3" x14ac:dyDescent="0.25">
      <c r="B33" s="120">
        <v>4</v>
      </c>
      <c r="C33" s="64" t="s">
        <v>172</v>
      </c>
    </row>
    <row r="34" spans="2:3" x14ac:dyDescent="0.25">
      <c r="C34" s="64"/>
    </row>
    <row r="35" spans="2:3" ht="27.6" x14ac:dyDescent="0.25">
      <c r="B35" s="119" t="s">
        <v>42</v>
      </c>
      <c r="C35" s="65" t="s">
        <v>173</v>
      </c>
    </row>
    <row r="36" spans="2:3" x14ac:dyDescent="0.25">
      <c r="B36" s="119" t="s">
        <v>143</v>
      </c>
      <c r="C36" s="65" t="s">
        <v>174</v>
      </c>
    </row>
    <row r="37" spans="2:3" x14ac:dyDescent="0.25">
      <c r="B37" s="119" t="s">
        <v>131</v>
      </c>
      <c r="C37" s="65" t="s">
        <v>175</v>
      </c>
    </row>
    <row r="38" spans="2:3" x14ac:dyDescent="0.25">
      <c r="B38" s="119" t="s">
        <v>146</v>
      </c>
      <c r="C38" s="65" t="s">
        <v>176</v>
      </c>
    </row>
    <row r="39" spans="2:3" x14ac:dyDescent="0.25">
      <c r="B39" s="119" t="s">
        <v>148</v>
      </c>
      <c r="C39" s="65" t="s">
        <v>177</v>
      </c>
    </row>
    <row r="40" spans="2:3" x14ac:dyDescent="0.25">
      <c r="C40" s="65"/>
    </row>
    <row r="41" spans="2:3" x14ac:dyDescent="0.25">
      <c r="B41" s="120">
        <v>5</v>
      </c>
      <c r="C41" s="64" t="s">
        <v>178</v>
      </c>
    </row>
    <row r="42" spans="2:3" x14ac:dyDescent="0.25">
      <c r="C42" s="64"/>
    </row>
    <row r="43" spans="2:3" ht="27.6" x14ac:dyDescent="0.25">
      <c r="B43" s="119" t="s">
        <v>42</v>
      </c>
      <c r="C43" s="65" t="s">
        <v>179</v>
      </c>
    </row>
    <row r="44" spans="2:3" x14ac:dyDescent="0.25">
      <c r="B44" s="119" t="s">
        <v>143</v>
      </c>
      <c r="C44" s="65" t="s">
        <v>180</v>
      </c>
    </row>
    <row r="45" spans="2:3" ht="27.6" x14ac:dyDescent="0.25">
      <c r="B45" s="119" t="s">
        <v>131</v>
      </c>
      <c r="C45" s="65" t="s">
        <v>181</v>
      </c>
    </row>
    <row r="46" spans="2:3" x14ac:dyDescent="0.25">
      <c r="B46" s="119" t="s">
        <v>146</v>
      </c>
      <c r="C46" s="65" t="s">
        <v>182</v>
      </c>
    </row>
    <row r="47" spans="2:3" ht="27.6" x14ac:dyDescent="0.25">
      <c r="B47" s="119" t="s">
        <v>148</v>
      </c>
      <c r="C47" s="65" t="s">
        <v>183</v>
      </c>
    </row>
    <row r="48" spans="2:3" x14ac:dyDescent="0.25">
      <c r="C48" s="65"/>
    </row>
  </sheetData>
  <pageMargins left="0.7" right="0.7" top="0.75" bottom="0.75" header="0.3" footer="0.3"/>
  <pageSetup fitToHeight="0" orientation="portrait" r:id="rId1"/>
  <headerFooter>
    <oddFooter>&amp;CAPP.A - &amp;P/&amp;N</oddFooter>
  </headerFooter>
  <rowBreaks count="1" manualBreakCount="1">
    <brk id="17" max="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6ABF8-50A1-4C09-9987-394C17889152}">
  <sheetPr codeName="Sheet27">
    <tabColor rgb="FFFFFF00"/>
    <pageSetUpPr fitToPage="1"/>
  </sheetPr>
  <dimension ref="B2:F515"/>
  <sheetViews>
    <sheetView showZeros="0" view="pageBreakPreview" zoomScale="90" zoomScaleNormal="100" zoomScaleSheetLayoutView="90" workbookViewId="0">
      <pane ySplit="6" topLeftCell="A7" activePane="bottomLeft" state="frozen"/>
      <selection activeCell="G35" sqref="G35"/>
      <selection pane="bottomLeft" activeCell="C22" sqref="C22"/>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49" t="str">
        <f>'2. BQ Normal'!D2</f>
        <v>SUPPLY, INSTALLATION, TESTING AND COMMISSIONING OF STREET LIGHTINGS AT SG LANGAT DAM</v>
      </c>
      <c r="C2" s="149"/>
      <c r="D2" s="149"/>
    </row>
    <row r="3" spans="2:6" x14ac:dyDescent="0.25">
      <c r="B3" s="149"/>
      <c r="C3" s="149"/>
      <c r="D3" s="149"/>
    </row>
    <row r="4" spans="2:6" x14ac:dyDescent="0.25">
      <c r="B4" s="149"/>
      <c r="C4" s="149"/>
      <c r="D4" s="149"/>
    </row>
    <row r="5" spans="2:6" x14ac:dyDescent="0.25">
      <c r="C5" s="12"/>
      <c r="D5" s="12"/>
    </row>
    <row r="6" spans="2:6" s="6" customFormat="1" ht="30" customHeight="1" x14ac:dyDescent="0.25">
      <c r="B6" s="61" t="s">
        <v>11</v>
      </c>
      <c r="C6" s="61" t="s">
        <v>16</v>
      </c>
      <c r="D6" s="6" t="s">
        <v>15</v>
      </c>
    </row>
    <row r="7" spans="2:6" x14ac:dyDescent="0.25">
      <c r="B7" s="18" t="s">
        <v>254</v>
      </c>
      <c r="C7" s="19"/>
      <c r="D7" s="8"/>
      <c r="E7"/>
      <c r="F7"/>
    </row>
    <row r="8" spans="2:6" x14ac:dyDescent="0.25">
      <c r="B8" s="20"/>
      <c r="C8" s="154" t="s">
        <v>254</v>
      </c>
      <c r="D8" s="8">
        <v>0</v>
      </c>
      <c r="E8"/>
      <c r="F8"/>
    </row>
    <row r="9" spans="2:6" x14ac:dyDescent="0.25">
      <c r="C9" s="10"/>
      <c r="D9" s="8"/>
      <c r="E9"/>
      <c r="F9"/>
    </row>
    <row r="10" spans="2:6" x14ac:dyDescent="0.25">
      <c r="B10" s="62" t="s">
        <v>9</v>
      </c>
      <c r="C10" s="62"/>
      <c r="D10" s="155">
        <v>0</v>
      </c>
      <c r="E10"/>
      <c r="F10"/>
    </row>
    <row r="11" spans="2:6" x14ac:dyDescent="0.25">
      <c r="B11"/>
      <c r="C11"/>
      <c r="D11"/>
      <c r="E11"/>
      <c r="F11"/>
    </row>
    <row r="12" spans="2:6" x14ac:dyDescent="0.25">
      <c r="B12"/>
      <c r="C12"/>
      <c r="D12"/>
      <c r="E12"/>
      <c r="F12"/>
    </row>
    <row r="13" spans="2:6" x14ac:dyDescent="0.25">
      <c r="B13"/>
      <c r="C13"/>
      <c r="D13"/>
      <c r="E13"/>
      <c r="F13"/>
    </row>
    <row r="14" spans="2:6" x14ac:dyDescent="0.25">
      <c r="B14"/>
      <c r="C14"/>
      <c r="D14"/>
      <c r="E14"/>
      <c r="F14"/>
    </row>
    <row r="15" spans="2:6" x14ac:dyDescent="0.25">
      <c r="B15"/>
      <c r="C15"/>
      <c r="D15"/>
      <c r="E15"/>
      <c r="F15"/>
    </row>
    <row r="16" spans="2:6"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s="60" customFormat="1" x14ac:dyDescent="0.25">
      <c r="B26"/>
      <c r="C26"/>
      <c r="D26"/>
    </row>
    <row r="27" spans="2:6" x14ac:dyDescent="0.25">
      <c r="B27"/>
      <c r="C27"/>
      <c r="D27"/>
      <c r="E27"/>
      <c r="F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row>
    <row r="206" spans="2:4" x14ac:dyDescent="0.25">
      <c r="B206"/>
      <c r="C206"/>
    </row>
    <row r="207" spans="2:4" x14ac:dyDescent="0.25">
      <c r="B207"/>
      <c r="C207"/>
    </row>
    <row r="208" spans="2:4" x14ac:dyDescent="0.25">
      <c r="B208"/>
      <c r="C208"/>
    </row>
    <row r="209" spans="2:6" x14ac:dyDescent="0.25">
      <c r="B209"/>
      <c r="C209"/>
    </row>
    <row r="210" spans="2:6" s="9" customFormat="1" x14ac:dyDescent="0.25">
      <c r="B210"/>
      <c r="C210"/>
      <c r="E210" s="5"/>
      <c r="F210" s="5"/>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s="10"/>
      <c r="C515" s="5"/>
      <c r="E515" s="5"/>
      <c r="F515" s="5"/>
    </row>
  </sheetData>
  <sheetProtection pivotTables="0"/>
  <mergeCells count="1">
    <mergeCell ref="B2:D4"/>
  </mergeCells>
  <conditionalFormatting sqref="B5:D6 B205:D1048576 B2 B12:B204 D35:D204">
    <cfRule type="cellIs" dxfId="839"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00B0F0"/>
    <pageSetUpPr fitToPage="1"/>
  </sheetPr>
  <dimension ref="B3:N1010"/>
  <sheetViews>
    <sheetView showZeros="0" view="pageBreakPreview" zoomScale="90" zoomScaleNormal="100" zoomScaleSheetLayoutView="90" workbookViewId="0">
      <pane ySplit="8" topLeftCell="A9" activePane="bottomLeft" state="frozen"/>
      <selection activeCell="K22" sqref="K22"/>
      <selection pane="bottomLeft" activeCell="L108" sqref="L108"/>
    </sheetView>
  </sheetViews>
  <sheetFormatPr defaultColWidth="9.109375" defaultRowHeight="13.2" x14ac:dyDescent="0.25"/>
  <cols>
    <col min="1" max="1" width="4.33203125" style="5" customWidth="1"/>
    <col min="2" max="2" width="5.6640625" style="10" customWidth="1"/>
    <col min="3" max="3" width="8.6640625" style="11" customWidth="1"/>
    <col min="4" max="4" width="40.6640625" style="9" customWidth="1"/>
    <col min="5" max="5" width="9.6640625" style="10" customWidth="1"/>
    <col min="6" max="6" width="6.6640625" style="10" customWidth="1"/>
    <col min="7" max="8" width="15.6640625" style="5" customWidth="1"/>
    <col min="9" max="10" width="0.88671875" style="5" customWidth="1"/>
    <col min="11" max="16384" width="9.109375" style="5"/>
  </cols>
  <sheetData>
    <row r="3" spans="2:14" x14ac:dyDescent="0.25">
      <c r="C3" s="150" t="str">
        <f>'2. BQ Normal'!D2</f>
        <v>SUPPLY, INSTALLATION, TESTING AND COMMISSIONING OF STREET LIGHTINGS AT SG LANGAT DAM</v>
      </c>
      <c r="D3" s="150"/>
      <c r="E3" s="150"/>
      <c r="F3" s="150"/>
      <c r="G3" s="150"/>
      <c r="H3" s="150"/>
    </row>
    <row r="4" spans="2:14" x14ac:dyDescent="0.25">
      <c r="C4" s="150"/>
      <c r="D4" s="150"/>
      <c r="E4" s="150"/>
      <c r="F4" s="150"/>
      <c r="G4" s="150"/>
      <c r="H4" s="150"/>
    </row>
    <row r="5" spans="2:14" ht="13.8" x14ac:dyDescent="0.25">
      <c r="C5" s="150"/>
      <c r="D5" s="150"/>
      <c r="E5" s="150"/>
      <c r="F5" s="150"/>
      <c r="G5" s="150"/>
      <c r="H5" s="150"/>
      <c r="L5" s="55"/>
      <c r="M5" s="55"/>
      <c r="N5" s="55"/>
    </row>
    <row r="6" spans="2:14" x14ac:dyDescent="0.25">
      <c r="C6" s="150"/>
      <c r="D6" s="150"/>
      <c r="E6" s="150"/>
      <c r="F6" s="150"/>
      <c r="G6" s="150"/>
      <c r="H6" s="150"/>
      <c r="N6" s="5" t="s">
        <v>136</v>
      </c>
    </row>
    <row r="7" spans="2:14" ht="13.8" x14ac:dyDescent="0.25">
      <c r="C7" s="57"/>
      <c r="D7" s="56"/>
      <c r="E7" s="151" t="s">
        <v>252</v>
      </c>
      <c r="F7" s="151"/>
      <c r="G7" s="151"/>
      <c r="H7" s="151"/>
    </row>
    <row r="8" spans="2:14" s="46" customFormat="1" ht="13.8" x14ac:dyDescent="0.25">
      <c r="B8" s="113" t="s">
        <v>10</v>
      </c>
      <c r="C8" s="113" t="s">
        <v>7</v>
      </c>
      <c r="D8" s="113" t="s">
        <v>0</v>
      </c>
      <c r="E8" s="113" t="s">
        <v>1</v>
      </c>
      <c r="F8" s="46" t="s">
        <v>13</v>
      </c>
      <c r="G8" s="46" t="s">
        <v>14</v>
      </c>
      <c r="H8" s="46" t="s">
        <v>15</v>
      </c>
    </row>
    <row r="9" spans="2:14" ht="13.8" x14ac:dyDescent="0.25">
      <c r="B9">
        <v>54</v>
      </c>
      <c r="C9" s="58" t="s">
        <v>8</v>
      </c>
      <c r="D9" s="59" t="s">
        <v>252</v>
      </c>
      <c r="E9" s="53" t="s">
        <v>8</v>
      </c>
      <c r="F9" s="156"/>
      <c r="G9" s="54">
        <v>0</v>
      </c>
      <c r="H9" s="54">
        <v>0</v>
      </c>
    </row>
    <row r="10" spans="2:14" ht="13.8" x14ac:dyDescent="0.25">
      <c r="B10"/>
      <c r="C10"/>
      <c r="D10"/>
      <c r="E10"/>
      <c r="F10" s="156"/>
      <c r="G10" s="54"/>
      <c r="H10" s="54"/>
    </row>
    <row r="11" spans="2:14" ht="262.2" x14ac:dyDescent="0.25">
      <c r="B11">
        <v>55</v>
      </c>
      <c r="C11" s="58" t="s">
        <v>8</v>
      </c>
      <c r="D11" s="51" t="s">
        <v>113</v>
      </c>
      <c r="E11" s="53" t="s">
        <v>8</v>
      </c>
      <c r="F11" s="156"/>
      <c r="G11" s="54">
        <v>0</v>
      </c>
      <c r="H11" s="54">
        <v>0</v>
      </c>
    </row>
    <row r="12" spans="2:14" ht="13.8" x14ac:dyDescent="0.25">
      <c r="B12"/>
      <c r="C12"/>
      <c r="D12"/>
      <c r="E12"/>
      <c r="F12" s="156"/>
      <c r="G12" s="54"/>
      <c r="H12" s="54"/>
    </row>
    <row r="13" spans="2:14" ht="13.8" x14ac:dyDescent="0.25">
      <c r="B13">
        <v>56</v>
      </c>
      <c r="C13" s="58" t="s">
        <v>8</v>
      </c>
      <c r="D13" s="50" t="s">
        <v>114</v>
      </c>
      <c r="E13" s="53" t="s">
        <v>8</v>
      </c>
      <c r="F13" s="156"/>
      <c r="G13" s="54">
        <v>0</v>
      </c>
      <c r="H13" s="54">
        <v>0</v>
      </c>
    </row>
    <row r="14" spans="2:14" ht="13.8" x14ac:dyDescent="0.25">
      <c r="B14"/>
      <c r="C14"/>
      <c r="D14"/>
      <c r="E14"/>
      <c r="F14" s="156"/>
      <c r="G14" s="54"/>
      <c r="H14" s="54"/>
    </row>
    <row r="15" spans="2:14" ht="110.4" x14ac:dyDescent="0.25">
      <c r="B15">
        <v>57</v>
      </c>
      <c r="C15" s="58" t="s">
        <v>188</v>
      </c>
      <c r="D15" s="51" t="s">
        <v>189</v>
      </c>
      <c r="E15" s="53" t="s">
        <v>19</v>
      </c>
      <c r="F15" s="156"/>
      <c r="G15" s="54"/>
      <c r="H15" s="54">
        <v>0</v>
      </c>
    </row>
    <row r="16" spans="2:14" ht="13.8" x14ac:dyDescent="0.25">
      <c r="B16"/>
      <c r="C16"/>
      <c r="D16"/>
      <c r="E16"/>
      <c r="F16" s="156"/>
      <c r="G16" s="54"/>
      <c r="H16" s="54"/>
    </row>
    <row r="17" spans="2:8" ht="27.6" x14ac:dyDescent="0.25">
      <c r="B17">
        <v>58</v>
      </c>
      <c r="C17" s="58" t="s">
        <v>190</v>
      </c>
      <c r="D17" s="51" t="s">
        <v>191</v>
      </c>
      <c r="E17" s="53" t="s">
        <v>19</v>
      </c>
      <c r="F17" s="156"/>
      <c r="G17" s="54"/>
      <c r="H17" s="54">
        <v>0</v>
      </c>
    </row>
    <row r="18" spans="2:8" ht="13.8" x14ac:dyDescent="0.25">
      <c r="B18"/>
      <c r="C18"/>
      <c r="D18"/>
      <c r="E18"/>
      <c r="F18" s="156"/>
      <c r="G18" s="54"/>
      <c r="H18" s="54"/>
    </row>
    <row r="19" spans="2:8" ht="27.6" x14ac:dyDescent="0.25">
      <c r="B19">
        <v>59</v>
      </c>
      <c r="C19" s="58" t="s">
        <v>8</v>
      </c>
      <c r="D19" s="50" t="s">
        <v>128</v>
      </c>
      <c r="E19" s="53" t="s">
        <v>8</v>
      </c>
      <c r="F19" s="156"/>
      <c r="G19" s="54">
        <v>0</v>
      </c>
      <c r="H19" s="54">
        <v>0</v>
      </c>
    </row>
    <row r="20" spans="2:8" ht="13.8" x14ac:dyDescent="0.25">
      <c r="B20"/>
      <c r="C20"/>
      <c r="D20"/>
      <c r="E20"/>
      <c r="F20" s="156"/>
      <c r="G20" s="54"/>
      <c r="H20" s="54"/>
    </row>
    <row r="21" spans="2:8" ht="55.2" x14ac:dyDescent="0.25">
      <c r="B21">
        <v>60</v>
      </c>
      <c r="C21" s="58" t="s">
        <v>8</v>
      </c>
      <c r="D21" s="51" t="s">
        <v>116</v>
      </c>
      <c r="E21" s="53" t="s">
        <v>8</v>
      </c>
      <c r="F21" s="156"/>
      <c r="G21" s="54">
        <v>0</v>
      </c>
      <c r="H21" s="54">
        <v>0</v>
      </c>
    </row>
    <row r="22" spans="2:8" ht="13.8" x14ac:dyDescent="0.25">
      <c r="B22"/>
      <c r="C22"/>
      <c r="D22"/>
      <c r="E22"/>
      <c r="F22" s="156"/>
      <c r="G22" s="54"/>
      <c r="H22" s="54"/>
    </row>
    <row r="23" spans="2:8" ht="69" x14ac:dyDescent="0.25">
      <c r="B23">
        <v>61</v>
      </c>
      <c r="C23" s="58" t="s">
        <v>192</v>
      </c>
      <c r="D23" s="51" t="s">
        <v>193</v>
      </c>
      <c r="E23" s="53" t="s">
        <v>19</v>
      </c>
      <c r="F23" s="156"/>
      <c r="G23" s="54"/>
      <c r="H23" s="54">
        <v>0</v>
      </c>
    </row>
    <row r="24" spans="2:8" ht="13.8" x14ac:dyDescent="0.25">
      <c r="B24"/>
      <c r="C24"/>
      <c r="D24"/>
      <c r="E24"/>
      <c r="F24" s="156"/>
      <c r="G24" s="54"/>
      <c r="H24" s="54"/>
    </row>
    <row r="25" spans="2:8" ht="69" x14ac:dyDescent="0.25">
      <c r="B25">
        <v>62</v>
      </c>
      <c r="C25" s="58" t="s">
        <v>194</v>
      </c>
      <c r="D25" s="51" t="s">
        <v>195</v>
      </c>
      <c r="E25" s="53" t="s">
        <v>19</v>
      </c>
      <c r="F25" s="156"/>
      <c r="G25" s="54"/>
      <c r="H25" s="54">
        <v>0</v>
      </c>
    </row>
    <row r="26" spans="2:8" ht="13.8" x14ac:dyDescent="0.25">
      <c r="B26"/>
      <c r="C26"/>
      <c r="D26"/>
      <c r="E26"/>
      <c r="F26" s="156"/>
      <c r="G26" s="54"/>
      <c r="H26" s="54"/>
    </row>
    <row r="27" spans="2:8" ht="13.8" x14ac:dyDescent="0.25">
      <c r="B27">
        <v>63</v>
      </c>
      <c r="C27" s="58" t="s">
        <v>8</v>
      </c>
      <c r="D27" s="50" t="s">
        <v>115</v>
      </c>
      <c r="E27" s="53" t="s">
        <v>8</v>
      </c>
      <c r="F27" s="156"/>
      <c r="G27" s="54">
        <v>0</v>
      </c>
      <c r="H27" s="54">
        <v>0</v>
      </c>
    </row>
    <row r="28" spans="2:8" ht="13.8" x14ac:dyDescent="0.25">
      <c r="B28"/>
      <c r="C28"/>
      <c r="D28"/>
      <c r="E28"/>
      <c r="F28" s="156"/>
      <c r="G28" s="54"/>
      <c r="H28" s="54"/>
    </row>
    <row r="29" spans="2:8" ht="55.2" x14ac:dyDescent="0.25">
      <c r="B29">
        <v>64</v>
      </c>
      <c r="C29" s="58" t="s">
        <v>8</v>
      </c>
      <c r="D29" s="51" t="s">
        <v>116</v>
      </c>
      <c r="E29" s="53" t="s">
        <v>8</v>
      </c>
      <c r="F29" s="156"/>
      <c r="G29" s="54">
        <v>0</v>
      </c>
      <c r="H29" s="54">
        <v>0</v>
      </c>
    </row>
    <row r="30" spans="2:8" ht="13.8" x14ac:dyDescent="0.25">
      <c r="B30"/>
      <c r="C30"/>
      <c r="D30"/>
      <c r="E30"/>
      <c r="F30" s="156"/>
      <c r="G30" s="54"/>
      <c r="H30" s="54"/>
    </row>
    <row r="31" spans="2:8" ht="124.2" x14ac:dyDescent="0.25">
      <c r="B31">
        <v>65</v>
      </c>
      <c r="C31" s="58" t="s">
        <v>196</v>
      </c>
      <c r="D31" s="51" t="s">
        <v>117</v>
      </c>
      <c r="E31" s="53" t="s">
        <v>7</v>
      </c>
      <c r="F31" s="156">
        <v>1</v>
      </c>
      <c r="G31" s="54">
        <v>0</v>
      </c>
      <c r="H31" s="54">
        <v>0</v>
      </c>
    </row>
    <row r="32" spans="2:8" ht="13.8" x14ac:dyDescent="0.25">
      <c r="B32"/>
      <c r="C32"/>
      <c r="D32"/>
      <c r="E32"/>
      <c r="F32" s="156"/>
      <c r="G32" s="54"/>
      <c r="H32" s="54"/>
    </row>
    <row r="33" spans="2:8" ht="41.4" x14ac:dyDescent="0.25">
      <c r="B33">
        <v>66</v>
      </c>
      <c r="C33" s="58" t="s">
        <v>197</v>
      </c>
      <c r="D33" s="51" t="s">
        <v>198</v>
      </c>
      <c r="E33" s="53" t="s">
        <v>21</v>
      </c>
      <c r="F33" s="156">
        <v>1</v>
      </c>
      <c r="G33" s="54">
        <v>0</v>
      </c>
      <c r="H33" s="54">
        <v>0</v>
      </c>
    </row>
    <row r="34" spans="2:8" ht="13.8" x14ac:dyDescent="0.25">
      <c r="B34"/>
      <c r="C34"/>
      <c r="D34"/>
      <c r="E34"/>
      <c r="F34" s="156"/>
      <c r="G34" s="54"/>
      <c r="H34" s="54"/>
    </row>
    <row r="35" spans="2:8" ht="27.6" x14ac:dyDescent="0.25">
      <c r="B35">
        <v>67</v>
      </c>
      <c r="C35" s="58" t="s">
        <v>199</v>
      </c>
      <c r="D35" s="51" t="s">
        <v>200</v>
      </c>
      <c r="E35" s="53" t="s">
        <v>21</v>
      </c>
      <c r="F35" s="156">
        <v>1</v>
      </c>
      <c r="G35" s="54">
        <v>0</v>
      </c>
      <c r="H35" s="54">
        <v>0</v>
      </c>
    </row>
    <row r="36" spans="2:8" ht="13.8" x14ac:dyDescent="0.25">
      <c r="B36"/>
      <c r="C36"/>
      <c r="D36"/>
      <c r="E36"/>
      <c r="F36" s="156"/>
      <c r="G36" s="54"/>
      <c r="H36" s="54"/>
    </row>
    <row r="37" spans="2:8" ht="151.80000000000001" x14ac:dyDescent="0.25">
      <c r="B37">
        <v>68</v>
      </c>
      <c r="C37" s="58" t="s">
        <v>201</v>
      </c>
      <c r="D37" s="51" t="s">
        <v>202</v>
      </c>
      <c r="E37" s="53" t="s">
        <v>21</v>
      </c>
      <c r="F37" s="156">
        <v>1</v>
      </c>
      <c r="G37" s="54">
        <v>0</v>
      </c>
      <c r="H37" s="54">
        <v>0</v>
      </c>
    </row>
    <row r="38" spans="2:8" ht="13.8" x14ac:dyDescent="0.25">
      <c r="B38"/>
      <c r="C38"/>
      <c r="D38"/>
      <c r="E38"/>
      <c r="F38" s="156"/>
      <c r="G38" s="54"/>
      <c r="H38" s="54"/>
    </row>
    <row r="39" spans="2:8" ht="13.8" x14ac:dyDescent="0.25">
      <c r="B39">
        <v>69</v>
      </c>
      <c r="C39" s="58" t="s">
        <v>8</v>
      </c>
      <c r="D39" s="50" t="s">
        <v>118</v>
      </c>
      <c r="E39" s="53" t="s">
        <v>8</v>
      </c>
      <c r="F39" s="156"/>
      <c r="G39" s="54">
        <v>0</v>
      </c>
      <c r="H39" s="54">
        <v>0</v>
      </c>
    </row>
    <row r="40" spans="2:8" ht="13.8" x14ac:dyDescent="0.25">
      <c r="B40"/>
      <c r="C40"/>
      <c r="D40"/>
      <c r="E40"/>
      <c r="F40" s="156"/>
      <c r="G40" s="54"/>
      <c r="H40" s="54"/>
    </row>
    <row r="41" spans="2:8" ht="110.4" x14ac:dyDescent="0.25">
      <c r="B41">
        <v>70</v>
      </c>
      <c r="C41" s="58" t="s">
        <v>8</v>
      </c>
      <c r="D41" s="51" t="s">
        <v>138</v>
      </c>
      <c r="E41" s="53" t="s">
        <v>8</v>
      </c>
      <c r="F41" s="156"/>
      <c r="G41" s="54">
        <v>0</v>
      </c>
      <c r="H41" s="54">
        <v>0</v>
      </c>
    </row>
    <row r="42" spans="2:8" ht="13.8" x14ac:dyDescent="0.25">
      <c r="B42"/>
      <c r="C42"/>
      <c r="D42"/>
      <c r="E42"/>
      <c r="F42" s="156"/>
      <c r="G42" s="54"/>
      <c r="H42" s="54"/>
    </row>
    <row r="43" spans="2:8" ht="55.2" x14ac:dyDescent="0.25">
      <c r="B43">
        <v>71</v>
      </c>
      <c r="C43" s="58" t="s">
        <v>203</v>
      </c>
      <c r="D43" s="51" t="s">
        <v>204</v>
      </c>
      <c r="E43" s="53" t="s">
        <v>20</v>
      </c>
      <c r="F43" s="156">
        <v>600</v>
      </c>
      <c r="G43" s="54">
        <v>0</v>
      </c>
      <c r="H43" s="54">
        <v>0</v>
      </c>
    </row>
    <row r="44" spans="2:8" ht="13.8" x14ac:dyDescent="0.25">
      <c r="B44"/>
      <c r="C44"/>
      <c r="D44"/>
      <c r="E44"/>
      <c r="F44" s="156"/>
      <c r="G44" s="54"/>
      <c r="H44" s="54"/>
    </row>
    <row r="45" spans="2:8" ht="55.2" x14ac:dyDescent="0.25">
      <c r="B45">
        <v>72</v>
      </c>
      <c r="C45" s="58" t="s">
        <v>205</v>
      </c>
      <c r="D45" s="51" t="s">
        <v>206</v>
      </c>
      <c r="E45" s="53" t="s">
        <v>20</v>
      </c>
      <c r="F45" s="156">
        <v>20</v>
      </c>
      <c r="G45" s="54">
        <v>0</v>
      </c>
      <c r="H45" s="54">
        <v>0</v>
      </c>
    </row>
    <row r="46" spans="2:8" ht="13.8" x14ac:dyDescent="0.25">
      <c r="B46"/>
      <c r="C46"/>
      <c r="D46"/>
      <c r="E46"/>
      <c r="F46" s="156"/>
      <c r="G46" s="54"/>
      <c r="H46" s="54"/>
    </row>
    <row r="47" spans="2:8" ht="27.6" x14ac:dyDescent="0.25">
      <c r="B47">
        <v>73</v>
      </c>
      <c r="C47" s="58" t="s">
        <v>207</v>
      </c>
      <c r="D47" s="51" t="s">
        <v>208</v>
      </c>
      <c r="E47" s="53" t="s">
        <v>20</v>
      </c>
      <c r="F47" s="156">
        <v>10</v>
      </c>
      <c r="G47" s="54">
        <v>0</v>
      </c>
      <c r="H47" s="54">
        <v>0</v>
      </c>
    </row>
    <row r="48" spans="2:8" ht="13.8" x14ac:dyDescent="0.25">
      <c r="B48"/>
      <c r="C48"/>
      <c r="D48"/>
      <c r="E48"/>
      <c r="F48" s="156"/>
      <c r="G48" s="54"/>
      <c r="H48" s="54"/>
    </row>
    <row r="49" spans="2:8" ht="55.2" x14ac:dyDescent="0.25">
      <c r="B49">
        <v>74</v>
      </c>
      <c r="C49" s="58" t="s">
        <v>209</v>
      </c>
      <c r="D49" s="51" t="s">
        <v>210</v>
      </c>
      <c r="E49" s="53" t="s">
        <v>20</v>
      </c>
      <c r="F49" s="156">
        <v>105</v>
      </c>
      <c r="G49" s="54">
        <v>0</v>
      </c>
      <c r="H49" s="54">
        <v>0</v>
      </c>
    </row>
    <row r="50" spans="2:8" ht="13.8" x14ac:dyDescent="0.25">
      <c r="B50"/>
      <c r="C50"/>
      <c r="D50"/>
      <c r="E50"/>
      <c r="F50" s="156"/>
      <c r="G50" s="54"/>
      <c r="H50" s="54"/>
    </row>
    <row r="51" spans="2:8" ht="55.2" x14ac:dyDescent="0.25">
      <c r="B51">
        <v>75</v>
      </c>
      <c r="C51" s="58" t="s">
        <v>211</v>
      </c>
      <c r="D51" s="51" t="s">
        <v>212</v>
      </c>
      <c r="E51" s="53" t="s">
        <v>20</v>
      </c>
      <c r="F51" s="156">
        <v>1150</v>
      </c>
      <c r="G51" s="54">
        <v>0</v>
      </c>
      <c r="H51" s="54">
        <v>0</v>
      </c>
    </row>
    <row r="52" spans="2:8" ht="13.8" x14ac:dyDescent="0.25">
      <c r="B52"/>
      <c r="C52"/>
      <c r="D52"/>
      <c r="E52"/>
      <c r="F52" s="156"/>
      <c r="G52" s="54"/>
      <c r="H52" s="54"/>
    </row>
    <row r="53" spans="2:8" ht="55.2" x14ac:dyDescent="0.25">
      <c r="B53">
        <v>76</v>
      </c>
      <c r="C53" s="58" t="s">
        <v>213</v>
      </c>
      <c r="D53" s="51" t="s">
        <v>214</v>
      </c>
      <c r="E53" s="53" t="s">
        <v>20</v>
      </c>
      <c r="F53" s="156">
        <v>1600</v>
      </c>
      <c r="G53" s="54">
        <v>0</v>
      </c>
      <c r="H53" s="54">
        <v>0</v>
      </c>
    </row>
    <row r="54" spans="2:8" ht="13.8" x14ac:dyDescent="0.25">
      <c r="B54"/>
      <c r="C54"/>
      <c r="D54"/>
      <c r="E54"/>
      <c r="F54" s="156"/>
      <c r="G54" s="54"/>
      <c r="H54" s="54"/>
    </row>
    <row r="55" spans="2:8" ht="69" x14ac:dyDescent="0.25">
      <c r="B55">
        <v>77</v>
      </c>
      <c r="C55" s="58" t="s">
        <v>215</v>
      </c>
      <c r="D55" s="51" t="s">
        <v>216</v>
      </c>
      <c r="E55" s="53" t="s">
        <v>20</v>
      </c>
      <c r="F55" s="156">
        <v>660</v>
      </c>
      <c r="G55" s="54">
        <v>0</v>
      </c>
      <c r="H55" s="54">
        <v>0</v>
      </c>
    </row>
    <row r="56" spans="2:8" ht="13.8" x14ac:dyDescent="0.25">
      <c r="B56"/>
      <c r="C56"/>
      <c r="D56"/>
      <c r="E56"/>
      <c r="F56" s="156"/>
      <c r="G56" s="54"/>
      <c r="H56" s="54"/>
    </row>
    <row r="57" spans="2:8" ht="41.4" x14ac:dyDescent="0.25">
      <c r="B57">
        <v>78</v>
      </c>
      <c r="C57" s="58" t="s">
        <v>217</v>
      </c>
      <c r="D57" s="51" t="s">
        <v>218</v>
      </c>
      <c r="E57" s="53" t="s">
        <v>20</v>
      </c>
      <c r="F57" s="156">
        <v>420</v>
      </c>
      <c r="G57" s="54">
        <v>0</v>
      </c>
      <c r="H57" s="54">
        <v>0</v>
      </c>
    </row>
    <row r="58" spans="2:8" ht="13.8" x14ac:dyDescent="0.25">
      <c r="B58"/>
      <c r="C58"/>
      <c r="D58"/>
      <c r="E58"/>
      <c r="F58" s="156"/>
      <c r="G58" s="54"/>
      <c r="H58" s="54"/>
    </row>
    <row r="59" spans="2:8" ht="55.2" x14ac:dyDescent="0.25">
      <c r="B59">
        <v>79</v>
      </c>
      <c r="C59" s="58" t="s">
        <v>219</v>
      </c>
      <c r="D59" s="51" t="s">
        <v>220</v>
      </c>
      <c r="E59" s="53" t="s">
        <v>20</v>
      </c>
      <c r="F59" s="156">
        <v>180</v>
      </c>
      <c r="G59" s="54">
        <v>0</v>
      </c>
      <c r="H59" s="54">
        <v>0</v>
      </c>
    </row>
    <row r="60" spans="2:8" ht="13.8" x14ac:dyDescent="0.25">
      <c r="B60"/>
      <c r="C60"/>
      <c r="D60"/>
      <c r="E60"/>
      <c r="F60" s="156"/>
      <c r="G60" s="54"/>
      <c r="H60" s="54"/>
    </row>
    <row r="61" spans="2:8" ht="13.8" x14ac:dyDescent="0.25">
      <c r="B61">
        <v>80</v>
      </c>
      <c r="C61" s="58" t="s">
        <v>8</v>
      </c>
      <c r="D61" s="50" t="s">
        <v>119</v>
      </c>
      <c r="E61" s="53" t="s">
        <v>8</v>
      </c>
      <c r="F61" s="156"/>
      <c r="G61" s="54">
        <v>0</v>
      </c>
      <c r="H61" s="54">
        <v>0</v>
      </c>
    </row>
    <row r="62" spans="2:8" ht="13.8" x14ac:dyDescent="0.25">
      <c r="B62"/>
      <c r="C62"/>
      <c r="D62"/>
      <c r="E62"/>
      <c r="F62" s="156"/>
      <c r="G62" s="54"/>
      <c r="H62" s="54"/>
    </row>
    <row r="63" spans="2:8" ht="41.4" x14ac:dyDescent="0.25">
      <c r="B63">
        <v>81</v>
      </c>
      <c r="C63" s="58" t="s">
        <v>8</v>
      </c>
      <c r="D63" s="51" t="s">
        <v>221</v>
      </c>
      <c r="E63" s="53" t="s">
        <v>8</v>
      </c>
      <c r="F63" s="156"/>
      <c r="G63" s="54">
        <v>0</v>
      </c>
      <c r="H63" s="54">
        <v>0</v>
      </c>
    </row>
    <row r="64" spans="2:8" ht="13.8" x14ac:dyDescent="0.25">
      <c r="B64"/>
      <c r="C64"/>
      <c r="D64"/>
      <c r="E64"/>
      <c r="F64" s="156"/>
      <c r="G64" s="54"/>
      <c r="H64" s="54"/>
    </row>
    <row r="65" spans="2:8" ht="138" x14ac:dyDescent="0.25">
      <c r="B65">
        <v>82</v>
      </c>
      <c r="C65" s="58" t="s">
        <v>222</v>
      </c>
      <c r="D65" s="51" t="s">
        <v>255</v>
      </c>
      <c r="E65" s="53" t="s">
        <v>7</v>
      </c>
      <c r="F65" s="156">
        <v>3</v>
      </c>
      <c r="G65" s="54">
        <v>0</v>
      </c>
      <c r="H65" s="54">
        <v>0</v>
      </c>
    </row>
    <row r="66" spans="2:8" ht="13.8" x14ac:dyDescent="0.25">
      <c r="B66"/>
      <c r="C66"/>
      <c r="D66"/>
      <c r="E66"/>
      <c r="F66" s="156"/>
      <c r="G66" s="54"/>
      <c r="H66" s="54"/>
    </row>
    <row r="67" spans="2:8" ht="151.80000000000001" x14ac:dyDescent="0.25">
      <c r="B67">
        <v>83</v>
      </c>
      <c r="C67" s="58" t="s">
        <v>223</v>
      </c>
      <c r="D67" s="51" t="s">
        <v>256</v>
      </c>
      <c r="E67" s="53" t="s">
        <v>7</v>
      </c>
      <c r="F67" s="156">
        <v>14</v>
      </c>
      <c r="G67" s="54">
        <v>0</v>
      </c>
      <c r="H67" s="54">
        <v>0</v>
      </c>
    </row>
    <row r="68" spans="2:8" ht="13.8" x14ac:dyDescent="0.25">
      <c r="B68"/>
      <c r="C68"/>
      <c r="D68"/>
      <c r="E68"/>
      <c r="F68" s="156"/>
      <c r="G68" s="54"/>
      <c r="H68" s="54"/>
    </row>
    <row r="69" spans="2:8" ht="151.80000000000001" x14ac:dyDescent="0.25">
      <c r="B69">
        <v>84</v>
      </c>
      <c r="C69" s="58" t="s">
        <v>224</v>
      </c>
      <c r="D69" s="51" t="s">
        <v>257</v>
      </c>
      <c r="E69" s="53" t="s">
        <v>7</v>
      </c>
      <c r="F69" s="156">
        <v>29</v>
      </c>
      <c r="G69" s="54">
        <v>0</v>
      </c>
      <c r="H69" s="54">
        <v>0</v>
      </c>
    </row>
    <row r="70" spans="2:8" ht="13.8" x14ac:dyDescent="0.25">
      <c r="B70"/>
      <c r="C70"/>
      <c r="D70"/>
      <c r="E70"/>
      <c r="F70" s="156"/>
      <c r="G70" s="54"/>
      <c r="H70" s="54"/>
    </row>
    <row r="71" spans="2:8" ht="138" x14ac:dyDescent="0.25">
      <c r="B71">
        <v>85</v>
      </c>
      <c r="C71" s="58" t="s">
        <v>225</v>
      </c>
      <c r="D71" s="51" t="s">
        <v>258</v>
      </c>
      <c r="E71" s="53" t="s">
        <v>7</v>
      </c>
      <c r="F71" s="156">
        <v>11</v>
      </c>
      <c r="G71" s="54">
        <v>0</v>
      </c>
      <c r="H71" s="54">
        <v>0</v>
      </c>
    </row>
    <row r="72" spans="2:8" ht="13.8" x14ac:dyDescent="0.25">
      <c r="B72"/>
      <c r="C72"/>
      <c r="D72"/>
      <c r="E72"/>
      <c r="F72" s="156"/>
      <c r="G72" s="54"/>
      <c r="H72" s="54"/>
    </row>
    <row r="73" spans="2:8" ht="138" x14ac:dyDescent="0.25">
      <c r="B73">
        <v>86</v>
      </c>
      <c r="C73" s="58" t="s">
        <v>226</v>
      </c>
      <c r="D73" s="51" t="s">
        <v>259</v>
      </c>
      <c r="E73" s="53" t="s">
        <v>7</v>
      </c>
      <c r="F73" s="156">
        <v>14</v>
      </c>
      <c r="G73" s="54">
        <v>0</v>
      </c>
      <c r="H73" s="54">
        <v>0</v>
      </c>
    </row>
    <row r="74" spans="2:8" ht="13.8" x14ac:dyDescent="0.25">
      <c r="B74"/>
      <c r="C74"/>
      <c r="D74"/>
      <c r="E74"/>
      <c r="F74" s="156"/>
      <c r="G74" s="54"/>
      <c r="H74" s="54"/>
    </row>
    <row r="75" spans="2:8" ht="27.6" x14ac:dyDescent="0.25">
      <c r="B75">
        <v>87</v>
      </c>
      <c r="C75" s="58" t="s">
        <v>227</v>
      </c>
      <c r="D75" s="51" t="s">
        <v>129</v>
      </c>
      <c r="E75" s="53" t="s">
        <v>7</v>
      </c>
      <c r="F75" s="156">
        <v>57</v>
      </c>
      <c r="G75" s="54">
        <v>0</v>
      </c>
      <c r="H75" s="54">
        <v>0</v>
      </c>
    </row>
    <row r="76" spans="2:8" ht="13.8" x14ac:dyDescent="0.25">
      <c r="B76"/>
      <c r="C76"/>
      <c r="D76"/>
      <c r="E76"/>
      <c r="F76" s="156"/>
      <c r="G76" s="54"/>
      <c r="H76" s="54"/>
    </row>
    <row r="77" spans="2:8" ht="27.6" x14ac:dyDescent="0.25">
      <c r="B77">
        <v>88</v>
      </c>
      <c r="C77" s="58" t="s">
        <v>228</v>
      </c>
      <c r="D77" s="51" t="s">
        <v>120</v>
      </c>
      <c r="E77" s="53" t="s">
        <v>7</v>
      </c>
      <c r="F77" s="156">
        <v>71</v>
      </c>
      <c r="G77" s="54">
        <v>0</v>
      </c>
      <c r="H77" s="54">
        <v>0</v>
      </c>
    </row>
    <row r="78" spans="2:8" ht="13.8" x14ac:dyDescent="0.25">
      <c r="B78"/>
      <c r="C78"/>
      <c r="D78"/>
      <c r="E78"/>
      <c r="F78" s="156"/>
      <c r="G78" s="54"/>
      <c r="H78" s="54"/>
    </row>
    <row r="79" spans="2:8" ht="13.8" x14ac:dyDescent="0.25">
      <c r="B79">
        <v>89</v>
      </c>
      <c r="C79" s="58" t="s">
        <v>8</v>
      </c>
      <c r="D79" s="50" t="s">
        <v>127</v>
      </c>
      <c r="E79" s="53" t="s">
        <v>8</v>
      </c>
      <c r="F79" s="156"/>
      <c r="G79" s="54">
        <v>0</v>
      </c>
      <c r="H79" s="54">
        <v>0</v>
      </c>
    </row>
    <row r="80" spans="2:8" ht="13.8" x14ac:dyDescent="0.25">
      <c r="B80"/>
      <c r="C80"/>
      <c r="D80"/>
      <c r="E80"/>
      <c r="F80" s="156"/>
      <c r="G80" s="54"/>
      <c r="H80" s="54"/>
    </row>
    <row r="81" spans="2:8" ht="41.4" x14ac:dyDescent="0.25">
      <c r="B81">
        <v>90</v>
      </c>
      <c r="C81" s="58" t="s">
        <v>8</v>
      </c>
      <c r="D81" s="51" t="s">
        <v>121</v>
      </c>
      <c r="E81" s="53" t="s">
        <v>8</v>
      </c>
      <c r="F81" s="156"/>
      <c r="G81" s="54">
        <v>0</v>
      </c>
      <c r="H81" s="54">
        <v>0</v>
      </c>
    </row>
    <row r="82" spans="2:8" ht="13.8" x14ac:dyDescent="0.25">
      <c r="B82"/>
      <c r="C82"/>
      <c r="D82"/>
      <c r="E82"/>
      <c r="F82" s="156"/>
      <c r="G82" s="54"/>
      <c r="H82" s="54"/>
    </row>
    <row r="83" spans="2:8" ht="110.4" x14ac:dyDescent="0.25">
      <c r="B83">
        <v>91</v>
      </c>
      <c r="C83" s="58" t="s">
        <v>229</v>
      </c>
      <c r="D83" s="51" t="s">
        <v>230</v>
      </c>
      <c r="E83" s="53" t="s">
        <v>7</v>
      </c>
      <c r="F83" s="156">
        <v>25</v>
      </c>
      <c r="G83" s="54">
        <v>0</v>
      </c>
      <c r="H83" s="54">
        <v>0</v>
      </c>
    </row>
    <row r="84" spans="2:8" ht="13.8" x14ac:dyDescent="0.25">
      <c r="B84"/>
      <c r="C84"/>
      <c r="D84"/>
      <c r="E84"/>
      <c r="F84" s="156"/>
      <c r="G84" s="54"/>
      <c r="H84" s="54"/>
    </row>
    <row r="85" spans="2:8" ht="96.6" x14ac:dyDescent="0.25">
      <c r="B85">
        <v>92</v>
      </c>
      <c r="C85" s="58" t="s">
        <v>231</v>
      </c>
      <c r="D85" s="51" t="s">
        <v>124</v>
      </c>
      <c r="E85" s="53" t="s">
        <v>7</v>
      </c>
      <c r="F85" s="156">
        <v>43</v>
      </c>
      <c r="G85" s="54">
        <v>0</v>
      </c>
      <c r="H85" s="54">
        <v>0</v>
      </c>
    </row>
    <row r="86" spans="2:8" ht="13.8" x14ac:dyDescent="0.25">
      <c r="B86"/>
      <c r="C86"/>
      <c r="D86"/>
      <c r="E86"/>
      <c r="F86" s="156"/>
      <c r="G86" s="54"/>
      <c r="H86" s="54"/>
    </row>
    <row r="87" spans="2:8" ht="110.4" x14ac:dyDescent="0.25">
      <c r="B87">
        <v>93</v>
      </c>
      <c r="C87" s="58" t="s">
        <v>232</v>
      </c>
      <c r="D87" s="51" t="s">
        <v>233</v>
      </c>
      <c r="E87" s="53" t="s">
        <v>7</v>
      </c>
      <c r="F87" s="156">
        <v>1</v>
      </c>
      <c r="G87" s="54">
        <v>0</v>
      </c>
      <c r="H87" s="54">
        <v>0</v>
      </c>
    </row>
    <row r="88" spans="2:8" ht="13.8" x14ac:dyDescent="0.25">
      <c r="B88"/>
      <c r="C88"/>
      <c r="D88"/>
      <c r="E88"/>
      <c r="F88" s="156"/>
      <c r="G88" s="54"/>
      <c r="H88" s="54"/>
    </row>
    <row r="89" spans="2:8" ht="110.4" x14ac:dyDescent="0.25">
      <c r="B89">
        <v>94</v>
      </c>
      <c r="C89" s="58" t="s">
        <v>234</v>
      </c>
      <c r="D89" s="51" t="s">
        <v>235</v>
      </c>
      <c r="E89" s="53" t="s">
        <v>7</v>
      </c>
      <c r="F89" s="156">
        <v>7</v>
      </c>
      <c r="G89" s="54">
        <v>0</v>
      </c>
      <c r="H89" s="54">
        <v>0</v>
      </c>
    </row>
    <row r="90" spans="2:8" ht="13.8" x14ac:dyDescent="0.25">
      <c r="B90"/>
      <c r="C90"/>
      <c r="D90"/>
      <c r="E90"/>
      <c r="F90" s="156"/>
      <c r="G90" s="54"/>
      <c r="H90" s="54"/>
    </row>
    <row r="91" spans="2:8" ht="27.6" x14ac:dyDescent="0.25">
      <c r="B91">
        <v>95</v>
      </c>
      <c r="C91" s="58" t="s">
        <v>236</v>
      </c>
      <c r="D91" s="51" t="s">
        <v>237</v>
      </c>
      <c r="E91" s="53" t="s">
        <v>7</v>
      </c>
      <c r="F91" s="156">
        <v>3</v>
      </c>
      <c r="G91" s="54">
        <v>0</v>
      </c>
      <c r="H91" s="54">
        <v>0</v>
      </c>
    </row>
    <row r="92" spans="2:8" ht="13.8" x14ac:dyDescent="0.25">
      <c r="B92"/>
      <c r="C92"/>
      <c r="D92"/>
      <c r="E92"/>
      <c r="F92" s="156"/>
      <c r="G92" s="54"/>
      <c r="H92" s="54"/>
    </row>
    <row r="93" spans="2:8" ht="27.6" x14ac:dyDescent="0.25">
      <c r="B93">
        <v>96</v>
      </c>
      <c r="C93" s="58" t="s">
        <v>238</v>
      </c>
      <c r="D93" s="51" t="s">
        <v>239</v>
      </c>
      <c r="E93" s="53" t="s">
        <v>7</v>
      </c>
      <c r="F93" s="156">
        <v>1</v>
      </c>
      <c r="G93" s="54">
        <v>0</v>
      </c>
      <c r="H93" s="54">
        <v>0</v>
      </c>
    </row>
    <row r="94" spans="2:8" ht="13.8" x14ac:dyDescent="0.25">
      <c r="B94"/>
      <c r="C94"/>
      <c r="D94"/>
      <c r="E94"/>
      <c r="F94" s="156"/>
      <c r="G94" s="54"/>
      <c r="H94" s="54"/>
    </row>
    <row r="95" spans="2:8" ht="13.8" x14ac:dyDescent="0.25">
      <c r="B95">
        <v>97</v>
      </c>
      <c r="C95" s="58" t="s">
        <v>8</v>
      </c>
      <c r="D95" s="50" t="s">
        <v>122</v>
      </c>
      <c r="E95" s="53" t="s">
        <v>8</v>
      </c>
      <c r="F95" s="156"/>
      <c r="G95" s="54">
        <v>0</v>
      </c>
      <c r="H95" s="54">
        <v>0</v>
      </c>
    </row>
    <row r="96" spans="2:8" ht="13.8" x14ac:dyDescent="0.25">
      <c r="B96"/>
      <c r="C96"/>
      <c r="D96"/>
      <c r="E96"/>
      <c r="F96" s="156"/>
      <c r="G96" s="54"/>
      <c r="H96" s="54"/>
    </row>
    <row r="97" spans="2:8" ht="13.8" x14ac:dyDescent="0.25">
      <c r="B97">
        <v>98</v>
      </c>
      <c r="C97" s="58" t="s">
        <v>240</v>
      </c>
      <c r="D97" s="51" t="s">
        <v>125</v>
      </c>
      <c r="E97" s="53" t="s">
        <v>7</v>
      </c>
      <c r="F97" s="156">
        <v>14</v>
      </c>
      <c r="G97" s="54">
        <v>0</v>
      </c>
      <c r="H97" s="54">
        <v>0</v>
      </c>
    </row>
    <row r="98" spans="2:8" ht="13.8" x14ac:dyDescent="0.25">
      <c r="B98"/>
      <c r="C98"/>
      <c r="D98"/>
      <c r="E98"/>
      <c r="F98" s="156"/>
      <c r="G98" s="54"/>
      <c r="H98" s="54"/>
    </row>
    <row r="99" spans="2:8" ht="13.8" x14ac:dyDescent="0.25">
      <c r="B99">
        <v>99</v>
      </c>
      <c r="C99" s="58" t="s">
        <v>241</v>
      </c>
      <c r="D99" s="51" t="s">
        <v>242</v>
      </c>
      <c r="E99" s="53" t="s">
        <v>7</v>
      </c>
      <c r="F99" s="156">
        <v>8</v>
      </c>
      <c r="G99" s="54">
        <v>0</v>
      </c>
      <c r="H99" s="54">
        <v>0</v>
      </c>
    </row>
    <row r="100" spans="2:8" ht="13.8" x14ac:dyDescent="0.25">
      <c r="B100"/>
      <c r="C100"/>
      <c r="D100"/>
      <c r="E100"/>
      <c r="F100" s="156"/>
      <c r="G100" s="54"/>
      <c r="H100" s="54"/>
    </row>
    <row r="101" spans="2:8" ht="27.6" x14ac:dyDescent="0.25">
      <c r="B101">
        <v>100</v>
      </c>
      <c r="C101" s="58" t="s">
        <v>243</v>
      </c>
      <c r="D101" s="51" t="s">
        <v>123</v>
      </c>
      <c r="E101" s="53" t="s">
        <v>7</v>
      </c>
      <c r="F101" s="156">
        <v>6</v>
      </c>
      <c r="G101" s="54">
        <v>0</v>
      </c>
      <c r="H101" s="54">
        <v>0</v>
      </c>
    </row>
    <row r="102" spans="2:8" ht="13.8" x14ac:dyDescent="0.25">
      <c r="B102"/>
      <c r="C102"/>
      <c r="D102"/>
      <c r="E102"/>
      <c r="F102" s="156"/>
      <c r="G102" s="54"/>
      <c r="H102" s="54"/>
    </row>
    <row r="103" spans="2:8" ht="13.8" x14ac:dyDescent="0.25">
      <c r="B103">
        <v>101</v>
      </c>
      <c r="C103" s="58" t="s">
        <v>244</v>
      </c>
      <c r="D103" s="51" t="s">
        <v>126</v>
      </c>
      <c r="E103" s="53" t="s">
        <v>7</v>
      </c>
      <c r="F103" s="156">
        <v>3</v>
      </c>
      <c r="G103" s="54">
        <v>0</v>
      </c>
      <c r="H103" s="54">
        <v>0</v>
      </c>
    </row>
    <row r="104" spans="2:8" ht="13.8" x14ac:dyDescent="0.25">
      <c r="B104"/>
      <c r="C104"/>
      <c r="D104"/>
      <c r="E104"/>
      <c r="F104" s="156"/>
      <c r="G104" s="54"/>
      <c r="H104" s="54"/>
    </row>
    <row r="105" spans="2:8" x14ac:dyDescent="0.25">
      <c r="B105"/>
      <c r="C105"/>
      <c r="D105"/>
      <c r="E105"/>
      <c r="F105"/>
      <c r="G105"/>
      <c r="H105"/>
    </row>
    <row r="106" spans="2:8" x14ac:dyDescent="0.25">
      <c r="B106"/>
      <c r="C106"/>
      <c r="D106"/>
      <c r="E106"/>
      <c r="F106"/>
      <c r="G106"/>
      <c r="H106"/>
    </row>
    <row r="107" spans="2:8" x14ac:dyDescent="0.25">
      <c r="B107"/>
      <c r="C107"/>
      <c r="D107"/>
      <c r="E107"/>
      <c r="F107"/>
      <c r="G107"/>
      <c r="H107"/>
    </row>
    <row r="108" spans="2:8" x14ac:dyDescent="0.25">
      <c r="B108"/>
      <c r="C108"/>
      <c r="D108"/>
      <c r="E108"/>
      <c r="F108"/>
      <c r="G108"/>
      <c r="H108"/>
    </row>
    <row r="109" spans="2:8" x14ac:dyDescent="0.25">
      <c r="B109"/>
      <c r="C109"/>
      <c r="D109"/>
      <c r="E109"/>
      <c r="F109"/>
      <c r="G109"/>
      <c r="H109"/>
    </row>
    <row r="110" spans="2:8" x14ac:dyDescent="0.25">
      <c r="B110"/>
      <c r="C110"/>
      <c r="D110"/>
      <c r="E110"/>
      <c r="F110"/>
      <c r="G110"/>
      <c r="H110"/>
    </row>
    <row r="111" spans="2:8" x14ac:dyDescent="0.25">
      <c r="B111"/>
      <c r="C111"/>
      <c r="D111"/>
      <c r="E111"/>
      <c r="F111"/>
      <c r="G111"/>
      <c r="H111"/>
    </row>
    <row r="112" spans="2:8" x14ac:dyDescent="0.25">
      <c r="B112"/>
      <c r="C112"/>
      <c r="D112"/>
      <c r="E112"/>
      <c r="F112"/>
      <c r="G112"/>
      <c r="H112"/>
    </row>
    <row r="113" spans="2:8" x14ac:dyDescent="0.25">
      <c r="B113"/>
      <c r="C113"/>
      <c r="D113"/>
      <c r="E113"/>
      <c r="F113"/>
      <c r="G113"/>
      <c r="H113"/>
    </row>
    <row r="114" spans="2:8" x14ac:dyDescent="0.25">
      <c r="B114"/>
      <c r="C114"/>
      <c r="D114"/>
      <c r="E114"/>
      <c r="F114"/>
      <c r="G114"/>
      <c r="H114"/>
    </row>
    <row r="115" spans="2:8" x14ac:dyDescent="0.25">
      <c r="B115"/>
      <c r="C115"/>
      <c r="D115"/>
      <c r="E115"/>
      <c r="F115"/>
      <c r="G115"/>
      <c r="H115"/>
    </row>
    <row r="116" spans="2:8" x14ac:dyDescent="0.25">
      <c r="B116"/>
      <c r="C116"/>
      <c r="D116"/>
      <c r="E116"/>
      <c r="F116"/>
      <c r="G116"/>
      <c r="H116"/>
    </row>
    <row r="117" spans="2:8" x14ac:dyDescent="0.25">
      <c r="B117"/>
      <c r="C117"/>
      <c r="D117"/>
      <c r="E117"/>
      <c r="F117"/>
      <c r="G117"/>
      <c r="H117"/>
    </row>
    <row r="118" spans="2:8" x14ac:dyDescent="0.25">
      <c r="B118"/>
      <c r="C118"/>
      <c r="D118"/>
      <c r="E118"/>
      <c r="F118"/>
      <c r="G118"/>
      <c r="H118"/>
    </row>
    <row r="119" spans="2:8" x14ac:dyDescent="0.25">
      <c r="B119"/>
      <c r="C119"/>
      <c r="D119"/>
      <c r="E119"/>
      <c r="F119"/>
      <c r="G119"/>
      <c r="H119"/>
    </row>
    <row r="120" spans="2:8" x14ac:dyDescent="0.25">
      <c r="B120"/>
      <c r="C120"/>
      <c r="D120"/>
      <c r="E120"/>
      <c r="F120"/>
      <c r="G120"/>
      <c r="H120"/>
    </row>
    <row r="121" spans="2:8" x14ac:dyDescent="0.25">
      <c r="B121"/>
      <c r="C121"/>
      <c r="D121"/>
      <c r="E121"/>
      <c r="F121"/>
      <c r="G121"/>
      <c r="H121"/>
    </row>
    <row r="122" spans="2:8" x14ac:dyDescent="0.25">
      <c r="B122"/>
      <c r="C122"/>
      <c r="D122"/>
      <c r="E122"/>
      <c r="F122"/>
      <c r="G122"/>
      <c r="H122"/>
    </row>
    <row r="123" spans="2:8" x14ac:dyDescent="0.25">
      <c r="B123"/>
      <c r="C123"/>
      <c r="D123"/>
      <c r="E123"/>
      <c r="F123"/>
      <c r="G123"/>
      <c r="H123"/>
    </row>
    <row r="124" spans="2:8" x14ac:dyDescent="0.25">
      <c r="B124"/>
      <c r="C124"/>
      <c r="D124"/>
      <c r="E124"/>
      <c r="F124"/>
      <c r="G124"/>
      <c r="H124"/>
    </row>
    <row r="125" spans="2:8" x14ac:dyDescent="0.25">
      <c r="B125"/>
      <c r="C125"/>
      <c r="D125"/>
      <c r="E125"/>
      <c r="F125"/>
      <c r="G125"/>
      <c r="H125"/>
    </row>
    <row r="126" spans="2:8" x14ac:dyDescent="0.25">
      <c r="B126"/>
      <c r="C126"/>
      <c r="D126"/>
      <c r="E126"/>
      <c r="F126"/>
      <c r="G126"/>
      <c r="H126"/>
    </row>
    <row r="127" spans="2:8" x14ac:dyDescent="0.25">
      <c r="B127"/>
      <c r="C127"/>
      <c r="D127"/>
      <c r="E127"/>
      <c r="F127"/>
      <c r="G127"/>
      <c r="H127"/>
    </row>
    <row r="128" spans="2:8" x14ac:dyDescent="0.25">
      <c r="B128"/>
      <c r="C128"/>
      <c r="D128"/>
      <c r="E128"/>
      <c r="F128"/>
      <c r="G128"/>
      <c r="H128"/>
    </row>
    <row r="129" spans="2:8" x14ac:dyDescent="0.25">
      <c r="B129"/>
      <c r="C129"/>
      <c r="D129"/>
      <c r="E129"/>
      <c r="F129"/>
      <c r="G129"/>
      <c r="H129"/>
    </row>
    <row r="130" spans="2:8" x14ac:dyDescent="0.25">
      <c r="B130"/>
      <c r="C130"/>
      <c r="D130"/>
      <c r="E130"/>
      <c r="F130"/>
      <c r="G130"/>
      <c r="H130"/>
    </row>
    <row r="131" spans="2:8" x14ac:dyDescent="0.25">
      <c r="B131"/>
      <c r="C131"/>
      <c r="D131"/>
      <c r="E131"/>
      <c r="F131"/>
      <c r="G131"/>
      <c r="H131"/>
    </row>
    <row r="132" spans="2:8" x14ac:dyDescent="0.25">
      <c r="B132"/>
      <c r="C132"/>
      <c r="D132"/>
      <c r="E132"/>
      <c r="F132"/>
      <c r="G132"/>
      <c r="H132"/>
    </row>
    <row r="133" spans="2:8" x14ac:dyDescent="0.25">
      <c r="B133"/>
      <c r="C133"/>
      <c r="D133"/>
      <c r="E133"/>
      <c r="F133"/>
      <c r="G133"/>
      <c r="H133"/>
    </row>
    <row r="134" spans="2:8" x14ac:dyDescent="0.25">
      <c r="B134"/>
      <c r="C134"/>
      <c r="D134"/>
      <c r="E134"/>
      <c r="F134"/>
      <c r="G134"/>
      <c r="H134"/>
    </row>
    <row r="135" spans="2:8" x14ac:dyDescent="0.25">
      <c r="B135"/>
      <c r="C135"/>
      <c r="D135"/>
      <c r="E135"/>
      <c r="F135"/>
      <c r="G135"/>
      <c r="H135"/>
    </row>
    <row r="136" spans="2:8" x14ac:dyDescent="0.25">
      <c r="B136"/>
      <c r="C136"/>
      <c r="D136"/>
      <c r="E136"/>
      <c r="F136"/>
      <c r="G136"/>
      <c r="H136"/>
    </row>
    <row r="137" spans="2:8" x14ac:dyDescent="0.25">
      <c r="B137"/>
      <c r="C137"/>
      <c r="D137"/>
      <c r="E137"/>
      <c r="F137"/>
      <c r="G137"/>
      <c r="H137"/>
    </row>
    <row r="138" spans="2:8" x14ac:dyDescent="0.25">
      <c r="B138"/>
      <c r="C138"/>
      <c r="D138"/>
      <c r="E138"/>
      <c r="F138"/>
      <c r="G138"/>
      <c r="H138"/>
    </row>
    <row r="139" spans="2:8" x14ac:dyDescent="0.25">
      <c r="B139"/>
      <c r="C139"/>
      <c r="D139"/>
      <c r="E139"/>
      <c r="F139"/>
      <c r="G139"/>
      <c r="H139"/>
    </row>
    <row r="140" spans="2:8" x14ac:dyDescent="0.25">
      <c r="B140"/>
      <c r="C140"/>
      <c r="D140"/>
      <c r="E140"/>
      <c r="F140"/>
      <c r="G140"/>
      <c r="H140"/>
    </row>
    <row r="141" spans="2:8" x14ac:dyDescent="0.25">
      <c r="B141"/>
      <c r="C141"/>
      <c r="D141"/>
      <c r="E141"/>
      <c r="F141"/>
      <c r="G141"/>
      <c r="H141"/>
    </row>
    <row r="142" spans="2:8" x14ac:dyDescent="0.25">
      <c r="B142"/>
      <c r="C142"/>
      <c r="D142"/>
      <c r="E142"/>
      <c r="F142"/>
      <c r="G142"/>
      <c r="H142"/>
    </row>
    <row r="143" spans="2:8" x14ac:dyDescent="0.25">
      <c r="B143"/>
      <c r="C143"/>
      <c r="D143"/>
      <c r="E143"/>
      <c r="F143"/>
      <c r="G143"/>
      <c r="H143"/>
    </row>
    <row r="144" spans="2:8" x14ac:dyDescent="0.25">
      <c r="B144"/>
      <c r="C144"/>
      <c r="D144"/>
      <c r="E144"/>
      <c r="F144"/>
      <c r="G144"/>
      <c r="H144"/>
    </row>
    <row r="145" spans="2:8" x14ac:dyDescent="0.25">
      <c r="B145"/>
      <c r="C145"/>
      <c r="D145"/>
      <c r="E145"/>
      <c r="F145"/>
      <c r="G145"/>
      <c r="H145"/>
    </row>
    <row r="146" spans="2:8" x14ac:dyDescent="0.25">
      <c r="B146"/>
      <c r="C146"/>
      <c r="D146"/>
      <c r="E146"/>
      <c r="F146"/>
      <c r="G146"/>
      <c r="H146"/>
    </row>
    <row r="147" spans="2:8" x14ac:dyDescent="0.25">
      <c r="B147"/>
      <c r="C147"/>
      <c r="D147"/>
      <c r="E147"/>
      <c r="F147"/>
      <c r="G147"/>
      <c r="H147"/>
    </row>
    <row r="148" spans="2:8" x14ac:dyDescent="0.25">
      <c r="B148"/>
      <c r="C148"/>
      <c r="D148"/>
      <c r="E148"/>
      <c r="F148"/>
      <c r="G148"/>
      <c r="H148"/>
    </row>
    <row r="149" spans="2:8" x14ac:dyDescent="0.25">
      <c r="B149"/>
      <c r="C149"/>
      <c r="D149"/>
      <c r="E149"/>
      <c r="F149"/>
      <c r="G149"/>
      <c r="H149"/>
    </row>
    <row r="150" spans="2:8" x14ac:dyDescent="0.25">
      <c r="B150"/>
      <c r="C150"/>
      <c r="D150"/>
      <c r="E150"/>
      <c r="F150"/>
      <c r="G150"/>
      <c r="H150"/>
    </row>
    <row r="151" spans="2:8" x14ac:dyDescent="0.25">
      <c r="B151"/>
      <c r="C151"/>
      <c r="D151"/>
      <c r="E151"/>
      <c r="F151"/>
      <c r="G151"/>
      <c r="H151"/>
    </row>
    <row r="152" spans="2:8" x14ac:dyDescent="0.25">
      <c r="B152"/>
      <c r="C152"/>
      <c r="D152"/>
      <c r="E152"/>
      <c r="F152"/>
      <c r="G152"/>
      <c r="H152"/>
    </row>
    <row r="153" spans="2:8" x14ac:dyDescent="0.25">
      <c r="B153"/>
      <c r="C153"/>
      <c r="D153"/>
      <c r="E153"/>
      <c r="F153"/>
      <c r="G153"/>
      <c r="H153"/>
    </row>
    <row r="154" spans="2:8" x14ac:dyDescent="0.25">
      <c r="B154"/>
      <c r="C154"/>
      <c r="D154"/>
      <c r="E154"/>
      <c r="F154"/>
      <c r="G154"/>
      <c r="H154"/>
    </row>
    <row r="155" spans="2:8" x14ac:dyDescent="0.25">
      <c r="B155"/>
      <c r="C155"/>
      <c r="D155"/>
      <c r="E155"/>
      <c r="F155"/>
      <c r="G155"/>
      <c r="H155"/>
    </row>
    <row r="156" spans="2:8" x14ac:dyDescent="0.25">
      <c r="B156"/>
      <c r="C156"/>
      <c r="D156"/>
      <c r="E156"/>
      <c r="F156"/>
      <c r="G156"/>
      <c r="H156"/>
    </row>
    <row r="157" spans="2:8" x14ac:dyDescent="0.25">
      <c r="B157"/>
      <c r="C157"/>
      <c r="D157"/>
      <c r="E157"/>
      <c r="F157"/>
      <c r="G157"/>
      <c r="H157"/>
    </row>
    <row r="158" spans="2:8" x14ac:dyDescent="0.25">
      <c r="B158"/>
      <c r="C158"/>
      <c r="D158"/>
      <c r="E158"/>
      <c r="F158"/>
      <c r="G158"/>
      <c r="H158"/>
    </row>
    <row r="159" spans="2:8" x14ac:dyDescent="0.25">
      <c r="B159"/>
      <c r="C159"/>
      <c r="D159"/>
      <c r="E159"/>
      <c r="F159"/>
      <c r="G159"/>
      <c r="H159"/>
    </row>
    <row r="160" spans="2:8" x14ac:dyDescent="0.25">
      <c r="B160"/>
      <c r="C160"/>
      <c r="D160"/>
      <c r="E160"/>
      <c r="F160"/>
      <c r="G160"/>
      <c r="H160"/>
    </row>
    <row r="161" spans="2:8" x14ac:dyDescent="0.25">
      <c r="B161"/>
      <c r="C161"/>
      <c r="D161"/>
      <c r="E161"/>
      <c r="F161"/>
      <c r="G161"/>
      <c r="H161"/>
    </row>
    <row r="162" spans="2:8" x14ac:dyDescent="0.25">
      <c r="B162"/>
      <c r="C162"/>
      <c r="D162"/>
      <c r="E162"/>
      <c r="F162"/>
      <c r="G162"/>
      <c r="H162"/>
    </row>
    <row r="163" spans="2:8" x14ac:dyDescent="0.25">
      <c r="B163"/>
      <c r="C163"/>
      <c r="D163"/>
      <c r="E163"/>
      <c r="F163"/>
      <c r="G163"/>
      <c r="H163"/>
    </row>
    <row r="164" spans="2:8" x14ac:dyDescent="0.25">
      <c r="B164"/>
      <c r="C164"/>
      <c r="D164"/>
      <c r="E164"/>
      <c r="F164"/>
      <c r="G164"/>
      <c r="H164"/>
    </row>
    <row r="165" spans="2:8" x14ac:dyDescent="0.25">
      <c r="B165"/>
      <c r="C165"/>
      <c r="D165"/>
      <c r="E165"/>
      <c r="F165"/>
      <c r="G165"/>
      <c r="H165"/>
    </row>
    <row r="166" spans="2:8" x14ac:dyDescent="0.25">
      <c r="B166"/>
      <c r="C166"/>
      <c r="D166"/>
      <c r="E166"/>
      <c r="F166"/>
      <c r="G166"/>
      <c r="H166"/>
    </row>
    <row r="167" spans="2:8" x14ac:dyDescent="0.25">
      <c r="B167"/>
      <c r="C167"/>
      <c r="D167"/>
      <c r="E167"/>
      <c r="F167"/>
      <c r="G167"/>
      <c r="H167"/>
    </row>
    <row r="168" spans="2:8" x14ac:dyDescent="0.25">
      <c r="B168"/>
      <c r="C168"/>
      <c r="D168"/>
      <c r="E168"/>
      <c r="F168"/>
      <c r="G168"/>
      <c r="H168"/>
    </row>
    <row r="169" spans="2:8" x14ac:dyDescent="0.25">
      <c r="B169"/>
      <c r="C169"/>
      <c r="D169"/>
      <c r="E169"/>
      <c r="F169"/>
      <c r="G169"/>
      <c r="H169"/>
    </row>
    <row r="170" spans="2:8" x14ac:dyDescent="0.25">
      <c r="B170"/>
      <c r="C170"/>
      <c r="D170"/>
      <c r="E170"/>
      <c r="F170"/>
      <c r="G170"/>
      <c r="H170"/>
    </row>
    <row r="171" spans="2:8" x14ac:dyDescent="0.25">
      <c r="B171"/>
      <c r="C171"/>
      <c r="D171"/>
      <c r="E171"/>
      <c r="F171"/>
      <c r="G171"/>
      <c r="H171"/>
    </row>
    <row r="172" spans="2:8" x14ac:dyDescent="0.25">
      <c r="B172"/>
      <c r="C172"/>
      <c r="D172"/>
      <c r="E172"/>
      <c r="F172"/>
      <c r="G172"/>
      <c r="H172"/>
    </row>
    <row r="173" spans="2:8" x14ac:dyDescent="0.25">
      <c r="B173"/>
      <c r="C173"/>
      <c r="D173"/>
      <c r="E173"/>
      <c r="F173"/>
      <c r="G173"/>
      <c r="H173"/>
    </row>
    <row r="174" spans="2:8" x14ac:dyDescent="0.25">
      <c r="B174"/>
      <c r="C174"/>
      <c r="D174"/>
      <c r="E174"/>
      <c r="F174"/>
      <c r="G174"/>
      <c r="H174"/>
    </row>
    <row r="175" spans="2:8" x14ac:dyDescent="0.25">
      <c r="B175"/>
      <c r="C175"/>
      <c r="D175"/>
      <c r="E175"/>
      <c r="F175"/>
      <c r="G175"/>
      <c r="H175"/>
    </row>
    <row r="176" spans="2:8" x14ac:dyDescent="0.25">
      <c r="B176"/>
      <c r="C176"/>
      <c r="D176"/>
      <c r="E176"/>
      <c r="F176"/>
      <c r="G176"/>
      <c r="H176"/>
    </row>
    <row r="177" spans="2:8" x14ac:dyDescent="0.25">
      <c r="B177"/>
      <c r="C177"/>
      <c r="D177"/>
      <c r="E177"/>
      <c r="F177"/>
      <c r="G177"/>
      <c r="H177"/>
    </row>
    <row r="178" spans="2:8" x14ac:dyDescent="0.25">
      <c r="B178"/>
      <c r="C178"/>
      <c r="D178"/>
      <c r="E178"/>
      <c r="F178"/>
      <c r="G178"/>
      <c r="H178"/>
    </row>
    <row r="179" spans="2:8" x14ac:dyDescent="0.25">
      <c r="B179"/>
      <c r="C179"/>
      <c r="D179"/>
      <c r="E179"/>
      <c r="F179"/>
      <c r="G179"/>
      <c r="H179"/>
    </row>
    <row r="180" spans="2:8" x14ac:dyDescent="0.25">
      <c r="B180"/>
      <c r="C180"/>
      <c r="D180"/>
      <c r="E180"/>
      <c r="F180"/>
      <c r="G180"/>
      <c r="H180"/>
    </row>
    <row r="181" spans="2:8" x14ac:dyDescent="0.25">
      <c r="B181"/>
      <c r="C181"/>
      <c r="D181"/>
      <c r="E181"/>
      <c r="F181"/>
      <c r="G181"/>
      <c r="H181"/>
    </row>
    <row r="182" spans="2:8" x14ac:dyDescent="0.25">
      <c r="B182"/>
      <c r="C182"/>
      <c r="D182"/>
      <c r="E182"/>
      <c r="F182"/>
      <c r="G182"/>
      <c r="H182"/>
    </row>
    <row r="183" spans="2:8" x14ac:dyDescent="0.25">
      <c r="B183"/>
      <c r="C183"/>
      <c r="D183"/>
      <c r="E183"/>
      <c r="F183"/>
      <c r="G183"/>
      <c r="H183"/>
    </row>
    <row r="184" spans="2:8" x14ac:dyDescent="0.25">
      <c r="B184"/>
      <c r="C184"/>
      <c r="D184"/>
      <c r="E184"/>
      <c r="F184"/>
      <c r="G184"/>
      <c r="H184"/>
    </row>
    <row r="185" spans="2:8" x14ac:dyDescent="0.25">
      <c r="B185"/>
      <c r="C185"/>
      <c r="D185"/>
      <c r="E185"/>
      <c r="F185"/>
      <c r="G185"/>
      <c r="H185"/>
    </row>
    <row r="186" spans="2:8" x14ac:dyDescent="0.25">
      <c r="B186"/>
      <c r="C186"/>
      <c r="D186"/>
      <c r="E186"/>
      <c r="F186"/>
      <c r="G186"/>
      <c r="H186"/>
    </row>
    <row r="187" spans="2:8" x14ac:dyDescent="0.25">
      <c r="B187"/>
      <c r="C187"/>
      <c r="D187"/>
      <c r="E187"/>
      <c r="F187"/>
      <c r="G187"/>
      <c r="H187"/>
    </row>
    <row r="188" spans="2:8" x14ac:dyDescent="0.25">
      <c r="B188"/>
      <c r="C188"/>
      <c r="D188"/>
      <c r="E188"/>
      <c r="F188"/>
      <c r="G188"/>
      <c r="H188"/>
    </row>
    <row r="189" spans="2:8" x14ac:dyDescent="0.25">
      <c r="B189"/>
      <c r="C189"/>
      <c r="D189"/>
      <c r="E189"/>
      <c r="F189"/>
      <c r="G189"/>
      <c r="H189"/>
    </row>
    <row r="190" spans="2:8" x14ac:dyDescent="0.25">
      <c r="B190"/>
      <c r="C190"/>
      <c r="D190"/>
      <c r="E190"/>
      <c r="F190"/>
      <c r="G190"/>
      <c r="H190"/>
    </row>
    <row r="191" spans="2:8" x14ac:dyDescent="0.25">
      <c r="B191"/>
      <c r="C191"/>
      <c r="D191"/>
      <c r="E191"/>
      <c r="F191"/>
      <c r="G191"/>
      <c r="H191"/>
    </row>
    <row r="192" spans="2:8" x14ac:dyDescent="0.25">
      <c r="B192"/>
      <c r="C192"/>
      <c r="D192"/>
      <c r="E192"/>
      <c r="F192"/>
      <c r="G192"/>
      <c r="H192"/>
    </row>
    <row r="193" spans="2:8" x14ac:dyDescent="0.25">
      <c r="B193"/>
      <c r="C193"/>
      <c r="D193"/>
      <c r="E193"/>
      <c r="F193"/>
      <c r="G193"/>
      <c r="H193"/>
    </row>
    <row r="194" spans="2:8" x14ac:dyDescent="0.25">
      <c r="B194"/>
      <c r="C194"/>
      <c r="D194"/>
      <c r="E194"/>
      <c r="F194"/>
      <c r="G194"/>
      <c r="H194"/>
    </row>
    <row r="195" spans="2:8" x14ac:dyDescent="0.25">
      <c r="B195"/>
      <c r="C195"/>
      <c r="D195"/>
      <c r="E195"/>
      <c r="F195"/>
      <c r="G195"/>
      <c r="H195"/>
    </row>
    <row r="196" spans="2:8" x14ac:dyDescent="0.25">
      <c r="B196"/>
      <c r="C196"/>
      <c r="D196"/>
      <c r="E196"/>
      <c r="F196"/>
      <c r="G196"/>
      <c r="H196"/>
    </row>
    <row r="197" spans="2:8" x14ac:dyDescent="0.25">
      <c r="B197"/>
      <c r="C197"/>
      <c r="D197"/>
      <c r="E197"/>
      <c r="F197"/>
      <c r="G197"/>
      <c r="H197"/>
    </row>
    <row r="198" spans="2:8" x14ac:dyDescent="0.25">
      <c r="B198"/>
      <c r="C198"/>
      <c r="D198"/>
      <c r="E198"/>
      <c r="F198"/>
      <c r="G198"/>
      <c r="H198"/>
    </row>
    <row r="199" spans="2:8" x14ac:dyDescent="0.25">
      <c r="B199"/>
      <c r="C199"/>
      <c r="D199"/>
      <c r="E199"/>
      <c r="F199"/>
      <c r="G199"/>
      <c r="H199"/>
    </row>
    <row r="200" spans="2:8" x14ac:dyDescent="0.25">
      <c r="B200"/>
      <c r="C200"/>
      <c r="D200"/>
      <c r="E200"/>
      <c r="F200"/>
      <c r="G200"/>
      <c r="H200"/>
    </row>
    <row r="201" spans="2:8" x14ac:dyDescent="0.25">
      <c r="B201"/>
      <c r="C201"/>
      <c r="D201"/>
      <c r="E201"/>
      <c r="F201"/>
      <c r="G201"/>
      <c r="H201"/>
    </row>
    <row r="202" spans="2:8" x14ac:dyDescent="0.25">
      <c r="B202"/>
      <c r="C202"/>
      <c r="D202"/>
      <c r="E202"/>
      <c r="F202"/>
      <c r="G202"/>
      <c r="H202"/>
    </row>
    <row r="203" spans="2:8" x14ac:dyDescent="0.25">
      <c r="B203"/>
      <c r="C203"/>
      <c r="D203"/>
      <c r="E203"/>
      <c r="F203"/>
      <c r="G203"/>
      <c r="H203"/>
    </row>
    <row r="204" spans="2:8" x14ac:dyDescent="0.25">
      <c r="B204"/>
      <c r="C204"/>
      <c r="D204"/>
      <c r="E204"/>
      <c r="F204"/>
      <c r="G204"/>
      <c r="H204"/>
    </row>
    <row r="205" spans="2:8" x14ac:dyDescent="0.25">
      <c r="B205"/>
      <c r="C205"/>
      <c r="D205"/>
      <c r="E205"/>
      <c r="F205"/>
      <c r="G205"/>
      <c r="H205"/>
    </row>
    <row r="206" spans="2:8" x14ac:dyDescent="0.25">
      <c r="B206"/>
      <c r="C206"/>
      <c r="D206"/>
      <c r="E206"/>
      <c r="F206"/>
      <c r="G206"/>
      <c r="H206"/>
    </row>
    <row r="207" spans="2:8" x14ac:dyDescent="0.25">
      <c r="B207"/>
      <c r="C207"/>
      <c r="D207"/>
      <c r="E207"/>
      <c r="F207"/>
      <c r="G207"/>
      <c r="H207"/>
    </row>
    <row r="208" spans="2:8" x14ac:dyDescent="0.25">
      <c r="B208"/>
      <c r="C208"/>
      <c r="D208"/>
      <c r="E208"/>
      <c r="F208"/>
      <c r="G208"/>
      <c r="H208"/>
    </row>
    <row r="209" spans="2:8" x14ac:dyDescent="0.25">
      <c r="B209"/>
      <c r="C209"/>
      <c r="D209"/>
      <c r="E209"/>
      <c r="F209"/>
      <c r="G209"/>
      <c r="H209"/>
    </row>
    <row r="210" spans="2:8" x14ac:dyDescent="0.25">
      <c r="B210"/>
      <c r="C210"/>
      <c r="D210"/>
      <c r="E210"/>
      <c r="F210"/>
      <c r="G210"/>
      <c r="H210"/>
    </row>
    <row r="211" spans="2:8" x14ac:dyDescent="0.25">
      <c r="B211"/>
      <c r="C211"/>
      <c r="D211"/>
      <c r="E211"/>
      <c r="F211"/>
      <c r="G211"/>
      <c r="H211"/>
    </row>
    <row r="212" spans="2:8" x14ac:dyDescent="0.25">
      <c r="B212"/>
      <c r="C212"/>
      <c r="D212"/>
      <c r="E212"/>
      <c r="F212"/>
      <c r="G212"/>
      <c r="H212"/>
    </row>
    <row r="213" spans="2:8" x14ac:dyDescent="0.25">
      <c r="B213"/>
      <c r="C213"/>
      <c r="D213"/>
      <c r="E213"/>
      <c r="F213"/>
      <c r="G213"/>
      <c r="H213"/>
    </row>
    <row r="214" spans="2:8" x14ac:dyDescent="0.25">
      <c r="B214"/>
      <c r="C214"/>
      <c r="D214"/>
      <c r="E214"/>
      <c r="F214"/>
      <c r="G214"/>
      <c r="H214"/>
    </row>
    <row r="215" spans="2:8" x14ac:dyDescent="0.25">
      <c r="B215"/>
      <c r="C215"/>
      <c r="D215"/>
      <c r="E215"/>
      <c r="F215"/>
      <c r="G215"/>
      <c r="H215"/>
    </row>
    <row r="216" spans="2:8" x14ac:dyDescent="0.25">
      <c r="B216"/>
      <c r="C216"/>
      <c r="D216"/>
      <c r="E216"/>
      <c r="F216"/>
      <c r="G216"/>
      <c r="H216"/>
    </row>
    <row r="217" spans="2:8" x14ac:dyDescent="0.25">
      <c r="B217"/>
      <c r="C217"/>
      <c r="D217"/>
      <c r="E217"/>
      <c r="F217"/>
      <c r="G217"/>
      <c r="H217"/>
    </row>
    <row r="218" spans="2:8" x14ac:dyDescent="0.25">
      <c r="B218"/>
      <c r="C218"/>
      <c r="D218"/>
      <c r="E218"/>
      <c r="F218"/>
      <c r="G218"/>
      <c r="H218"/>
    </row>
    <row r="219" spans="2:8" x14ac:dyDescent="0.25">
      <c r="B219"/>
      <c r="C219"/>
      <c r="D219"/>
      <c r="E219"/>
      <c r="F219"/>
      <c r="G219"/>
      <c r="H219"/>
    </row>
    <row r="220" spans="2:8" x14ac:dyDescent="0.25">
      <c r="B220"/>
      <c r="C220"/>
      <c r="D220"/>
      <c r="E220"/>
      <c r="F220"/>
      <c r="G220"/>
      <c r="H220"/>
    </row>
    <row r="221" spans="2:8" x14ac:dyDescent="0.25">
      <c r="B221"/>
      <c r="C221"/>
      <c r="D221"/>
      <c r="E221"/>
      <c r="F221"/>
      <c r="G221"/>
      <c r="H221"/>
    </row>
    <row r="222" spans="2:8" x14ac:dyDescent="0.25">
      <c r="B222"/>
      <c r="C222"/>
      <c r="D222"/>
      <c r="E222"/>
      <c r="F222"/>
      <c r="G222"/>
      <c r="H222"/>
    </row>
    <row r="223" spans="2:8" x14ac:dyDescent="0.25">
      <c r="B223"/>
      <c r="C223"/>
      <c r="D223"/>
      <c r="E223"/>
      <c r="F223"/>
      <c r="G223"/>
      <c r="H223"/>
    </row>
    <row r="224" spans="2:8" x14ac:dyDescent="0.25">
      <c r="B224"/>
      <c r="C224"/>
      <c r="D224"/>
      <c r="E224"/>
      <c r="F224"/>
      <c r="G224"/>
      <c r="H224"/>
    </row>
    <row r="225" spans="2:8" x14ac:dyDescent="0.25">
      <c r="B225"/>
      <c r="C225"/>
      <c r="D225"/>
      <c r="E225"/>
      <c r="F225"/>
      <c r="G225"/>
      <c r="H225"/>
    </row>
    <row r="226" spans="2:8" x14ac:dyDescent="0.25">
      <c r="B226"/>
      <c r="C226"/>
      <c r="D226"/>
      <c r="E226"/>
      <c r="F226"/>
      <c r="G226"/>
      <c r="H226"/>
    </row>
    <row r="227" spans="2:8" x14ac:dyDescent="0.25">
      <c r="B227"/>
      <c r="C227"/>
      <c r="D227"/>
      <c r="E227"/>
      <c r="F227"/>
      <c r="G227"/>
      <c r="H227"/>
    </row>
    <row r="228" spans="2:8" x14ac:dyDescent="0.25">
      <c r="B228"/>
      <c r="C228"/>
      <c r="D228"/>
      <c r="E228"/>
      <c r="F228"/>
      <c r="G228"/>
      <c r="H228"/>
    </row>
    <row r="229" spans="2:8" x14ac:dyDescent="0.25">
      <c r="B229"/>
      <c r="C229"/>
      <c r="D229"/>
      <c r="E229"/>
      <c r="F229"/>
      <c r="G229"/>
      <c r="H229"/>
    </row>
    <row r="230" spans="2:8" x14ac:dyDescent="0.25">
      <c r="B230"/>
      <c r="C230"/>
      <c r="D230"/>
      <c r="E230"/>
      <c r="F230"/>
      <c r="G230"/>
      <c r="H230"/>
    </row>
    <row r="231" spans="2:8" x14ac:dyDescent="0.25">
      <c r="B231"/>
      <c r="C231"/>
      <c r="D231"/>
      <c r="E231"/>
      <c r="F231"/>
      <c r="G231"/>
      <c r="H231"/>
    </row>
    <row r="232" spans="2:8" x14ac:dyDescent="0.25">
      <c r="B232"/>
      <c r="C232"/>
      <c r="D232"/>
      <c r="E232"/>
      <c r="F232"/>
      <c r="G232"/>
      <c r="H232"/>
    </row>
    <row r="233" spans="2:8" x14ac:dyDescent="0.25">
      <c r="B233"/>
      <c r="C233"/>
      <c r="D233"/>
      <c r="E233"/>
      <c r="F233"/>
      <c r="G233"/>
      <c r="H233"/>
    </row>
    <row r="234" spans="2:8" x14ac:dyDescent="0.25">
      <c r="B234"/>
      <c r="C234"/>
      <c r="D234"/>
      <c r="E234"/>
      <c r="F234"/>
      <c r="G234"/>
      <c r="H234"/>
    </row>
    <row r="235" spans="2:8" x14ac:dyDescent="0.25">
      <c r="B235"/>
      <c r="C235"/>
      <c r="D235"/>
      <c r="E235"/>
      <c r="F235"/>
      <c r="G235"/>
      <c r="H235"/>
    </row>
    <row r="236" spans="2:8" x14ac:dyDescent="0.25">
      <c r="B236"/>
      <c r="C236"/>
      <c r="D236"/>
      <c r="E236"/>
      <c r="F236"/>
      <c r="G236"/>
      <c r="H236"/>
    </row>
    <row r="237" spans="2:8" x14ac:dyDescent="0.25">
      <c r="B237"/>
      <c r="C237"/>
      <c r="D237"/>
      <c r="E237"/>
      <c r="F237"/>
      <c r="G237"/>
      <c r="H237"/>
    </row>
    <row r="238" spans="2:8" x14ac:dyDescent="0.25">
      <c r="B238"/>
      <c r="C238"/>
      <c r="D238"/>
      <c r="E238"/>
      <c r="F238"/>
      <c r="G238"/>
      <c r="H238"/>
    </row>
    <row r="239" spans="2:8" x14ac:dyDescent="0.25">
      <c r="B239"/>
      <c r="C239"/>
      <c r="D239"/>
      <c r="E239"/>
      <c r="F239"/>
      <c r="G239"/>
      <c r="H239"/>
    </row>
    <row r="240" spans="2:8" x14ac:dyDescent="0.25">
      <c r="B240"/>
      <c r="C240"/>
      <c r="D240"/>
      <c r="E240"/>
      <c r="F240"/>
      <c r="G240"/>
      <c r="H240"/>
    </row>
    <row r="241" spans="2:8" x14ac:dyDescent="0.25">
      <c r="B241"/>
      <c r="C241"/>
      <c r="D241"/>
      <c r="E241"/>
      <c r="F241"/>
      <c r="G241"/>
      <c r="H241"/>
    </row>
    <row r="242" spans="2:8" x14ac:dyDescent="0.25">
      <c r="B242"/>
      <c r="C242"/>
      <c r="D242"/>
      <c r="E242"/>
      <c r="F242"/>
      <c r="G242"/>
      <c r="H242"/>
    </row>
    <row r="243" spans="2:8" x14ac:dyDescent="0.25">
      <c r="B243"/>
      <c r="C243"/>
      <c r="D243"/>
      <c r="E243"/>
      <c r="F243"/>
      <c r="G243"/>
      <c r="H243"/>
    </row>
    <row r="244" spans="2:8" x14ac:dyDescent="0.25">
      <c r="B244"/>
      <c r="C244"/>
      <c r="D244"/>
      <c r="E244"/>
      <c r="F244"/>
      <c r="G244"/>
      <c r="H244"/>
    </row>
    <row r="245" spans="2:8" x14ac:dyDescent="0.25">
      <c r="B245"/>
      <c r="C245"/>
      <c r="D245"/>
      <c r="E245"/>
      <c r="F245"/>
      <c r="G245"/>
      <c r="H245"/>
    </row>
    <row r="246" spans="2:8" x14ac:dyDescent="0.25">
      <c r="B246"/>
      <c r="C246"/>
      <c r="D246"/>
      <c r="E246"/>
      <c r="F246"/>
      <c r="G246"/>
      <c r="H246"/>
    </row>
    <row r="247" spans="2:8" x14ac:dyDescent="0.25">
      <c r="B247"/>
      <c r="C247"/>
      <c r="D247"/>
      <c r="E247"/>
      <c r="F247"/>
      <c r="G247"/>
      <c r="H247"/>
    </row>
    <row r="248" spans="2:8" x14ac:dyDescent="0.25">
      <c r="B248"/>
      <c r="C248"/>
      <c r="D248"/>
      <c r="E248"/>
      <c r="F248"/>
      <c r="G248"/>
      <c r="H248"/>
    </row>
    <row r="249" spans="2:8" x14ac:dyDescent="0.25">
      <c r="B249"/>
      <c r="C249"/>
      <c r="D249"/>
      <c r="E249"/>
      <c r="F249"/>
      <c r="G249"/>
      <c r="H249"/>
    </row>
    <row r="250" spans="2:8" x14ac:dyDescent="0.25">
      <c r="B250"/>
      <c r="C250"/>
      <c r="D250"/>
      <c r="E250"/>
      <c r="F250"/>
      <c r="G250"/>
      <c r="H250"/>
    </row>
    <row r="251" spans="2:8" x14ac:dyDescent="0.25">
      <c r="B251"/>
      <c r="C251"/>
      <c r="D251"/>
      <c r="E251"/>
      <c r="F251"/>
      <c r="G251"/>
      <c r="H251"/>
    </row>
    <row r="252" spans="2:8" x14ac:dyDescent="0.25">
      <c r="B252"/>
      <c r="C252"/>
      <c r="D252"/>
      <c r="E252"/>
      <c r="F252"/>
      <c r="G252"/>
      <c r="H252"/>
    </row>
    <row r="253" spans="2:8" x14ac:dyDescent="0.25">
      <c r="B253"/>
      <c r="C253"/>
      <c r="D253"/>
      <c r="E253"/>
      <c r="F253"/>
      <c r="G253"/>
      <c r="H253"/>
    </row>
    <row r="254" spans="2:8" x14ac:dyDescent="0.25">
      <c r="B254"/>
      <c r="C254"/>
      <c r="D254"/>
      <c r="E254"/>
      <c r="F254"/>
      <c r="G254"/>
      <c r="H254"/>
    </row>
    <row r="255" spans="2:8" x14ac:dyDescent="0.25">
      <c r="B255"/>
      <c r="C255"/>
      <c r="D255"/>
      <c r="E255"/>
      <c r="F255"/>
      <c r="G255"/>
      <c r="H255"/>
    </row>
    <row r="256" spans="2:8" x14ac:dyDescent="0.25">
      <c r="B256"/>
      <c r="C256"/>
      <c r="D256"/>
      <c r="E256"/>
      <c r="F256"/>
      <c r="G256"/>
      <c r="H256"/>
    </row>
    <row r="257" spans="2:8" x14ac:dyDescent="0.25">
      <c r="B257"/>
      <c r="C257"/>
      <c r="D257"/>
      <c r="E257"/>
      <c r="F257"/>
      <c r="G257"/>
      <c r="H257"/>
    </row>
    <row r="258" spans="2:8" x14ac:dyDescent="0.25">
      <c r="B258"/>
      <c r="C258"/>
      <c r="D258"/>
      <c r="E258"/>
      <c r="F258"/>
      <c r="G258"/>
      <c r="H258"/>
    </row>
    <row r="259" spans="2:8" x14ac:dyDescent="0.25">
      <c r="B259"/>
      <c r="C259"/>
      <c r="D259"/>
      <c r="E259"/>
      <c r="F259"/>
      <c r="G259"/>
      <c r="H259"/>
    </row>
    <row r="260" spans="2:8" x14ac:dyDescent="0.25">
      <c r="B260"/>
      <c r="C260"/>
      <c r="D260"/>
      <c r="E260"/>
      <c r="F260"/>
      <c r="G260"/>
      <c r="H260"/>
    </row>
    <row r="261" spans="2:8" x14ac:dyDescent="0.25">
      <c r="B261"/>
      <c r="C261"/>
      <c r="D261"/>
      <c r="E261"/>
      <c r="F261"/>
      <c r="G261"/>
      <c r="H261"/>
    </row>
    <row r="262" spans="2:8" x14ac:dyDescent="0.25">
      <c r="B262"/>
      <c r="C262"/>
      <c r="D262"/>
      <c r="E262"/>
      <c r="F262"/>
      <c r="G262"/>
      <c r="H262"/>
    </row>
    <row r="263" spans="2:8" x14ac:dyDescent="0.25">
      <c r="B263"/>
      <c r="C263"/>
      <c r="D263"/>
      <c r="E263"/>
      <c r="F263"/>
      <c r="G263"/>
      <c r="H263"/>
    </row>
    <row r="264" spans="2:8" x14ac:dyDescent="0.25">
      <c r="B264"/>
      <c r="C264"/>
      <c r="D264"/>
      <c r="E264"/>
      <c r="F264"/>
      <c r="G264"/>
      <c r="H264"/>
    </row>
    <row r="265" spans="2:8" x14ac:dyDescent="0.25">
      <c r="B265"/>
      <c r="C265"/>
      <c r="D265"/>
      <c r="E265"/>
      <c r="F265"/>
      <c r="G265"/>
      <c r="H265"/>
    </row>
    <row r="266" spans="2:8" x14ac:dyDescent="0.25">
      <c r="B266"/>
      <c r="C266"/>
      <c r="D266"/>
      <c r="E266"/>
      <c r="F266"/>
      <c r="G266"/>
      <c r="H266"/>
    </row>
    <row r="267" spans="2:8" x14ac:dyDescent="0.25">
      <c r="B267"/>
      <c r="C267"/>
      <c r="D267"/>
      <c r="E267"/>
      <c r="F267"/>
      <c r="G267"/>
      <c r="H267"/>
    </row>
    <row r="268" spans="2:8" x14ac:dyDescent="0.25">
      <c r="B268"/>
      <c r="C268"/>
      <c r="D268"/>
      <c r="E268"/>
      <c r="F268"/>
      <c r="G268"/>
      <c r="H268"/>
    </row>
    <row r="269" spans="2:8" x14ac:dyDescent="0.25">
      <c r="B269"/>
      <c r="C269"/>
      <c r="D269"/>
      <c r="E269"/>
      <c r="F269"/>
      <c r="G269"/>
      <c r="H269"/>
    </row>
    <row r="270" spans="2:8" x14ac:dyDescent="0.25">
      <c r="B270"/>
      <c r="C270"/>
      <c r="D270"/>
      <c r="E270"/>
      <c r="F270"/>
      <c r="G270"/>
      <c r="H270"/>
    </row>
    <row r="271" spans="2:8" x14ac:dyDescent="0.25">
      <c r="B271"/>
      <c r="C271"/>
      <c r="D271"/>
      <c r="E271"/>
      <c r="F271"/>
      <c r="G271"/>
      <c r="H271"/>
    </row>
    <row r="272" spans="2:8" x14ac:dyDescent="0.25">
      <c r="B272"/>
      <c r="C272"/>
      <c r="D272"/>
      <c r="E272"/>
      <c r="F272"/>
      <c r="G272"/>
      <c r="H272"/>
    </row>
    <row r="273" spans="2:8" x14ac:dyDescent="0.25">
      <c r="B273"/>
      <c r="C273"/>
      <c r="D273"/>
      <c r="E273"/>
      <c r="F273"/>
      <c r="G273"/>
      <c r="H273"/>
    </row>
    <row r="274" spans="2:8" x14ac:dyDescent="0.25">
      <c r="B274"/>
      <c r="C274"/>
      <c r="D274"/>
      <c r="E274"/>
      <c r="F274"/>
      <c r="G274"/>
      <c r="H274"/>
    </row>
    <row r="275" spans="2:8" x14ac:dyDescent="0.25">
      <c r="B275"/>
      <c r="C275"/>
      <c r="D275"/>
      <c r="E275"/>
      <c r="F275"/>
      <c r="G275"/>
      <c r="H275"/>
    </row>
    <row r="276" spans="2:8" x14ac:dyDescent="0.25">
      <c r="B276"/>
      <c r="C276"/>
      <c r="D276"/>
      <c r="E276"/>
      <c r="F276"/>
      <c r="G276"/>
      <c r="H276"/>
    </row>
    <row r="277" spans="2:8" x14ac:dyDescent="0.25">
      <c r="B277"/>
      <c r="C277"/>
      <c r="D277"/>
      <c r="E277"/>
      <c r="F277"/>
      <c r="G277"/>
      <c r="H277"/>
    </row>
    <row r="278" spans="2:8" x14ac:dyDescent="0.25">
      <c r="B278"/>
      <c r="C278"/>
      <c r="D278"/>
      <c r="E278"/>
      <c r="F278"/>
      <c r="G278"/>
      <c r="H278"/>
    </row>
    <row r="279" spans="2:8" x14ac:dyDescent="0.25">
      <c r="B279"/>
      <c r="C279"/>
      <c r="D279"/>
      <c r="E279"/>
      <c r="F279"/>
      <c r="G279"/>
      <c r="H279"/>
    </row>
    <row r="280" spans="2:8" x14ac:dyDescent="0.25">
      <c r="B280"/>
      <c r="C280"/>
      <c r="D280"/>
      <c r="E280"/>
      <c r="F280"/>
      <c r="G280"/>
      <c r="H280"/>
    </row>
    <row r="281" spans="2:8" x14ac:dyDescent="0.25">
      <c r="B281"/>
      <c r="C281"/>
      <c r="D281"/>
      <c r="E281"/>
      <c r="F281"/>
      <c r="G281"/>
      <c r="H281"/>
    </row>
    <row r="282" spans="2:8" x14ac:dyDescent="0.25">
      <c r="B282"/>
      <c r="C282"/>
      <c r="D282"/>
      <c r="E282"/>
      <c r="F282"/>
      <c r="G282"/>
      <c r="H282"/>
    </row>
    <row r="283" spans="2:8" x14ac:dyDescent="0.25">
      <c r="B283"/>
      <c r="C283"/>
      <c r="D283"/>
      <c r="E283"/>
      <c r="F283"/>
      <c r="G283"/>
      <c r="H283"/>
    </row>
    <row r="284" spans="2:8" x14ac:dyDescent="0.25">
      <c r="B284"/>
      <c r="C284"/>
      <c r="D284"/>
      <c r="E284"/>
      <c r="F284"/>
      <c r="G284"/>
      <c r="H284"/>
    </row>
    <row r="285" spans="2:8" x14ac:dyDescent="0.25">
      <c r="B285"/>
      <c r="C285"/>
      <c r="D285"/>
      <c r="E285"/>
      <c r="F285"/>
      <c r="G285"/>
      <c r="H285"/>
    </row>
    <row r="286" spans="2:8" x14ac:dyDescent="0.25">
      <c r="B286"/>
      <c r="C286"/>
      <c r="D286"/>
      <c r="E286"/>
      <c r="F286"/>
      <c r="G286"/>
      <c r="H286"/>
    </row>
    <row r="287" spans="2:8" x14ac:dyDescent="0.25">
      <c r="B287"/>
      <c r="C287"/>
      <c r="D287"/>
      <c r="E287"/>
      <c r="F287"/>
      <c r="G287"/>
      <c r="H287"/>
    </row>
    <row r="288" spans="2:8" x14ac:dyDescent="0.25">
      <c r="B288"/>
      <c r="C288"/>
      <c r="D288"/>
      <c r="E288"/>
      <c r="F288"/>
      <c r="G288"/>
      <c r="H288"/>
    </row>
    <row r="289" spans="2:8" x14ac:dyDescent="0.25">
      <c r="B289"/>
      <c r="C289"/>
      <c r="D289"/>
      <c r="E289"/>
      <c r="F289"/>
      <c r="G289"/>
      <c r="H289"/>
    </row>
    <row r="290" spans="2:8" x14ac:dyDescent="0.25">
      <c r="B290"/>
      <c r="C290"/>
      <c r="D290"/>
      <c r="E290"/>
      <c r="F290"/>
      <c r="G290"/>
      <c r="H290"/>
    </row>
    <row r="291" spans="2:8" x14ac:dyDescent="0.25">
      <c r="B291"/>
      <c r="C291"/>
      <c r="D291"/>
      <c r="E291"/>
      <c r="F291"/>
      <c r="G291"/>
      <c r="H291"/>
    </row>
    <row r="292" spans="2:8" x14ac:dyDescent="0.25">
      <c r="B292"/>
      <c r="C292"/>
      <c r="D292"/>
      <c r="E292"/>
      <c r="F292"/>
      <c r="G292"/>
      <c r="H292"/>
    </row>
    <row r="293" spans="2:8" x14ac:dyDescent="0.25">
      <c r="B293"/>
      <c r="C293"/>
      <c r="D293"/>
      <c r="E293"/>
      <c r="F293"/>
      <c r="G293"/>
      <c r="H293"/>
    </row>
    <row r="294" spans="2:8" x14ac:dyDescent="0.25">
      <c r="B294"/>
      <c r="C294"/>
      <c r="D294"/>
      <c r="E294"/>
      <c r="F294"/>
      <c r="G294"/>
      <c r="H294"/>
    </row>
    <row r="295" spans="2:8" x14ac:dyDescent="0.25">
      <c r="B295"/>
      <c r="C295"/>
      <c r="D295"/>
      <c r="E295"/>
      <c r="F295"/>
      <c r="G295"/>
      <c r="H295"/>
    </row>
    <row r="296" spans="2:8" x14ac:dyDescent="0.25">
      <c r="B296"/>
      <c r="C296"/>
      <c r="D296"/>
      <c r="E296"/>
      <c r="F296"/>
      <c r="G296"/>
      <c r="H296"/>
    </row>
    <row r="297" spans="2:8" x14ac:dyDescent="0.25">
      <c r="B297"/>
      <c r="C297"/>
      <c r="D297"/>
      <c r="E297"/>
      <c r="F297"/>
      <c r="G297"/>
      <c r="H297"/>
    </row>
    <row r="298" spans="2:8" x14ac:dyDescent="0.25">
      <c r="B298"/>
      <c r="C298"/>
      <c r="D298"/>
      <c r="E298"/>
      <c r="F298"/>
      <c r="G298"/>
      <c r="H298"/>
    </row>
    <row r="299" spans="2:8" x14ac:dyDescent="0.25">
      <c r="B299"/>
      <c r="C299"/>
      <c r="D299"/>
      <c r="E299"/>
      <c r="F299"/>
      <c r="G299"/>
      <c r="H299"/>
    </row>
    <row r="300" spans="2:8" x14ac:dyDescent="0.25">
      <c r="B300"/>
      <c r="C300"/>
      <c r="D300"/>
      <c r="E300"/>
      <c r="F300"/>
      <c r="G300"/>
      <c r="H300"/>
    </row>
    <row r="301" spans="2:8" x14ac:dyDescent="0.25">
      <c r="B301"/>
      <c r="C301"/>
      <c r="D301"/>
      <c r="E301"/>
      <c r="F301"/>
      <c r="G301"/>
      <c r="H301"/>
    </row>
    <row r="302" spans="2:8" x14ac:dyDescent="0.25">
      <c r="B302"/>
      <c r="C302"/>
      <c r="D302"/>
      <c r="E302"/>
      <c r="F302"/>
      <c r="G302"/>
      <c r="H302"/>
    </row>
    <row r="303" spans="2:8" x14ac:dyDescent="0.25">
      <c r="B303"/>
      <c r="C303"/>
      <c r="D303"/>
      <c r="E303"/>
      <c r="F303"/>
      <c r="G303"/>
      <c r="H303"/>
    </row>
    <row r="304" spans="2:8" x14ac:dyDescent="0.25">
      <c r="B304"/>
      <c r="C304"/>
      <c r="D304"/>
      <c r="E304"/>
      <c r="F304"/>
      <c r="G304"/>
      <c r="H304"/>
    </row>
    <row r="305" spans="2:8" x14ac:dyDescent="0.25">
      <c r="B305"/>
      <c r="C305"/>
      <c r="D305"/>
      <c r="E305"/>
      <c r="F305"/>
      <c r="G305"/>
      <c r="H305"/>
    </row>
    <row r="306" spans="2:8" x14ac:dyDescent="0.25">
      <c r="B306"/>
      <c r="C306"/>
      <c r="D306"/>
      <c r="E306"/>
      <c r="F306"/>
      <c r="G306"/>
      <c r="H306"/>
    </row>
    <row r="307" spans="2:8" x14ac:dyDescent="0.25">
      <c r="B307"/>
      <c r="C307"/>
      <c r="D307"/>
      <c r="E307"/>
      <c r="F307"/>
      <c r="G307"/>
      <c r="H307"/>
    </row>
    <row r="308" spans="2:8" x14ac:dyDescent="0.25">
      <c r="B308"/>
      <c r="C308"/>
      <c r="D308"/>
      <c r="E308"/>
      <c r="F308"/>
      <c r="G308"/>
      <c r="H308"/>
    </row>
    <row r="309" spans="2:8" x14ac:dyDescent="0.25">
      <c r="B309"/>
      <c r="C309"/>
      <c r="D309"/>
      <c r="E309"/>
      <c r="F309"/>
      <c r="G309"/>
      <c r="H309"/>
    </row>
    <row r="310" spans="2:8" x14ac:dyDescent="0.25">
      <c r="B310"/>
      <c r="C310"/>
      <c r="D310"/>
      <c r="E310"/>
      <c r="F310"/>
      <c r="G310"/>
      <c r="H310"/>
    </row>
    <row r="311" spans="2:8" x14ac:dyDescent="0.25">
      <c r="B311"/>
      <c r="C311"/>
      <c r="D311"/>
      <c r="E311"/>
      <c r="F311"/>
      <c r="G311"/>
      <c r="H311"/>
    </row>
    <row r="312" spans="2:8" x14ac:dyDescent="0.25">
      <c r="B312"/>
      <c r="C312"/>
      <c r="D312"/>
      <c r="E312"/>
      <c r="F312"/>
      <c r="G312"/>
      <c r="H312"/>
    </row>
    <row r="313" spans="2:8" x14ac:dyDescent="0.25">
      <c r="B313"/>
      <c r="C313"/>
      <c r="D313"/>
      <c r="E313"/>
      <c r="F313"/>
      <c r="G313"/>
      <c r="H313"/>
    </row>
    <row r="314" spans="2:8" x14ac:dyDescent="0.25">
      <c r="B314"/>
      <c r="C314"/>
      <c r="D314"/>
      <c r="E314"/>
      <c r="F314"/>
      <c r="G314"/>
      <c r="H314"/>
    </row>
    <row r="315" spans="2:8" x14ac:dyDescent="0.25">
      <c r="B315"/>
      <c r="C315"/>
      <c r="D315"/>
      <c r="E315"/>
      <c r="F315"/>
      <c r="G315"/>
      <c r="H315"/>
    </row>
    <row r="316" spans="2:8" x14ac:dyDescent="0.25">
      <c r="B316"/>
      <c r="C316"/>
      <c r="D316"/>
      <c r="E316"/>
      <c r="F316"/>
      <c r="G316"/>
      <c r="H316"/>
    </row>
    <row r="317" spans="2:8" x14ac:dyDescent="0.25">
      <c r="B317"/>
      <c r="C317"/>
      <c r="D317"/>
      <c r="E317"/>
      <c r="F317"/>
      <c r="G317"/>
      <c r="H317"/>
    </row>
    <row r="318" spans="2:8" x14ac:dyDescent="0.25">
      <c r="B318"/>
      <c r="C318"/>
      <c r="D318"/>
      <c r="E318"/>
      <c r="F318"/>
      <c r="G318"/>
      <c r="H318"/>
    </row>
    <row r="319" spans="2:8" x14ac:dyDescent="0.25">
      <c r="B319"/>
      <c r="C319"/>
      <c r="D319"/>
      <c r="E319"/>
      <c r="F319"/>
      <c r="G319"/>
      <c r="H319"/>
    </row>
    <row r="320" spans="2:8" x14ac:dyDescent="0.25">
      <c r="B320"/>
      <c r="C320"/>
      <c r="D320"/>
      <c r="E320"/>
      <c r="F320"/>
      <c r="G320"/>
      <c r="H320"/>
    </row>
    <row r="321" spans="2:8" x14ac:dyDescent="0.25">
      <c r="B321"/>
      <c r="C321"/>
      <c r="D321"/>
      <c r="E321"/>
      <c r="F321"/>
      <c r="G321"/>
      <c r="H321"/>
    </row>
    <row r="322" spans="2:8" x14ac:dyDescent="0.25">
      <c r="B322"/>
      <c r="C322"/>
      <c r="D322"/>
      <c r="E322"/>
      <c r="F322"/>
      <c r="G322"/>
      <c r="H322"/>
    </row>
    <row r="323" spans="2:8" x14ac:dyDescent="0.25">
      <c r="B323"/>
      <c r="C323"/>
      <c r="D323"/>
      <c r="E323"/>
      <c r="F323"/>
      <c r="G323"/>
      <c r="H323"/>
    </row>
    <row r="324" spans="2:8" x14ac:dyDescent="0.25">
      <c r="B324"/>
      <c r="C324"/>
      <c r="D324"/>
      <c r="E324"/>
      <c r="F324"/>
      <c r="G324"/>
      <c r="H324"/>
    </row>
    <row r="325" spans="2:8" x14ac:dyDescent="0.25">
      <c r="B325"/>
      <c r="C325"/>
      <c r="D325"/>
      <c r="E325"/>
      <c r="F325"/>
      <c r="G325"/>
      <c r="H325"/>
    </row>
    <row r="326" spans="2:8" x14ac:dyDescent="0.25">
      <c r="B326"/>
      <c r="C326"/>
      <c r="D326"/>
      <c r="E326"/>
      <c r="F326"/>
      <c r="G326"/>
      <c r="H326"/>
    </row>
    <row r="327" spans="2:8" x14ac:dyDescent="0.25">
      <c r="B327"/>
      <c r="C327"/>
      <c r="D327"/>
      <c r="E327"/>
      <c r="F327"/>
      <c r="G327"/>
      <c r="H327"/>
    </row>
    <row r="328" spans="2:8" x14ac:dyDescent="0.25">
      <c r="B328"/>
      <c r="C328"/>
      <c r="D328"/>
      <c r="E328"/>
      <c r="F328"/>
      <c r="G328"/>
      <c r="H328"/>
    </row>
    <row r="329" spans="2:8" x14ac:dyDescent="0.25">
      <c r="B329"/>
      <c r="C329"/>
      <c r="D329"/>
      <c r="E329"/>
      <c r="F329"/>
      <c r="G329"/>
      <c r="H329"/>
    </row>
    <row r="330" spans="2:8" x14ac:dyDescent="0.25">
      <c r="B330"/>
      <c r="C330"/>
      <c r="D330"/>
      <c r="E330"/>
      <c r="F330"/>
      <c r="G330"/>
      <c r="H330"/>
    </row>
    <row r="331" spans="2:8" x14ac:dyDescent="0.25">
      <c r="B331"/>
      <c r="C331"/>
      <c r="D331"/>
      <c r="E331"/>
      <c r="F331"/>
      <c r="G331"/>
      <c r="H331"/>
    </row>
    <row r="332" spans="2:8" x14ac:dyDescent="0.25">
      <c r="B332"/>
      <c r="C332"/>
      <c r="D332"/>
      <c r="E332"/>
      <c r="F332"/>
      <c r="G332"/>
      <c r="H332"/>
    </row>
    <row r="333" spans="2:8" x14ac:dyDescent="0.25">
      <c r="B333"/>
      <c r="C333"/>
      <c r="D333"/>
      <c r="E333"/>
      <c r="F333"/>
      <c r="G333"/>
      <c r="H333"/>
    </row>
    <row r="334" spans="2:8" x14ac:dyDescent="0.25">
      <c r="B334"/>
      <c r="C334"/>
      <c r="D334"/>
      <c r="E334"/>
      <c r="F334"/>
      <c r="G334"/>
      <c r="H334"/>
    </row>
    <row r="335" spans="2:8" x14ac:dyDescent="0.25">
      <c r="B335"/>
      <c r="C335"/>
      <c r="D335"/>
      <c r="E335"/>
      <c r="F335"/>
      <c r="G335"/>
      <c r="H335"/>
    </row>
    <row r="336" spans="2:8" x14ac:dyDescent="0.25">
      <c r="B336"/>
      <c r="C336"/>
      <c r="D336"/>
      <c r="E336"/>
      <c r="F336"/>
      <c r="G336"/>
      <c r="H336"/>
    </row>
    <row r="337" spans="2:8" x14ac:dyDescent="0.25">
      <c r="B337"/>
      <c r="C337"/>
      <c r="D337"/>
      <c r="E337"/>
      <c r="F337"/>
      <c r="G337"/>
      <c r="H337"/>
    </row>
    <row r="338" spans="2:8" x14ac:dyDescent="0.25">
      <c r="B338"/>
      <c r="C338"/>
      <c r="D338"/>
      <c r="E338"/>
      <c r="F338"/>
      <c r="G338"/>
      <c r="H338"/>
    </row>
    <row r="339" spans="2:8" x14ac:dyDescent="0.25">
      <c r="B339"/>
      <c r="C339"/>
      <c r="D339"/>
      <c r="E339"/>
      <c r="F339"/>
      <c r="G339"/>
      <c r="H339"/>
    </row>
    <row r="340" spans="2:8" x14ac:dyDescent="0.25">
      <c r="B340"/>
      <c r="C340"/>
      <c r="D340"/>
      <c r="E340"/>
      <c r="F340"/>
      <c r="G340"/>
      <c r="H340"/>
    </row>
    <row r="341" spans="2:8" x14ac:dyDescent="0.25">
      <c r="B341"/>
      <c r="C341"/>
      <c r="D341"/>
      <c r="E341"/>
      <c r="F341"/>
      <c r="G341"/>
      <c r="H341"/>
    </row>
    <row r="342" spans="2:8" x14ac:dyDescent="0.25">
      <c r="B342"/>
      <c r="C342"/>
      <c r="D342"/>
      <c r="E342"/>
      <c r="F342"/>
      <c r="G342"/>
      <c r="H342"/>
    </row>
    <row r="343" spans="2:8" x14ac:dyDescent="0.25">
      <c r="B343"/>
      <c r="C343"/>
      <c r="D343"/>
      <c r="E343"/>
      <c r="F343"/>
      <c r="G343"/>
      <c r="H343"/>
    </row>
    <row r="344" spans="2:8" x14ac:dyDescent="0.25">
      <c r="B344"/>
      <c r="C344"/>
      <c r="D344"/>
      <c r="E344"/>
      <c r="F344"/>
      <c r="G344"/>
      <c r="H344"/>
    </row>
    <row r="345" spans="2:8" x14ac:dyDescent="0.25">
      <c r="B345"/>
      <c r="C345"/>
      <c r="D345"/>
      <c r="E345"/>
      <c r="F345"/>
      <c r="G345"/>
      <c r="H345"/>
    </row>
    <row r="346" spans="2:8" x14ac:dyDescent="0.25">
      <c r="B346"/>
      <c r="C346"/>
      <c r="D346"/>
      <c r="E346"/>
      <c r="F346"/>
      <c r="G346"/>
      <c r="H346"/>
    </row>
    <row r="347" spans="2:8" x14ac:dyDescent="0.25">
      <c r="B347"/>
      <c r="C347"/>
      <c r="D347"/>
      <c r="E347"/>
      <c r="F347"/>
      <c r="G347"/>
      <c r="H347"/>
    </row>
    <row r="348" spans="2:8" x14ac:dyDescent="0.25">
      <c r="B348"/>
      <c r="C348"/>
      <c r="D348"/>
      <c r="E348"/>
      <c r="F348"/>
      <c r="G348"/>
      <c r="H348"/>
    </row>
    <row r="349" spans="2:8" x14ac:dyDescent="0.25">
      <c r="B349"/>
      <c r="C349"/>
      <c r="D349"/>
      <c r="E349"/>
      <c r="F349"/>
      <c r="G349"/>
      <c r="H349"/>
    </row>
    <row r="350" spans="2:8" x14ac:dyDescent="0.25">
      <c r="B350"/>
      <c r="C350"/>
      <c r="D350"/>
      <c r="E350"/>
      <c r="F350"/>
      <c r="G350"/>
      <c r="H350"/>
    </row>
    <row r="351" spans="2:8" x14ac:dyDescent="0.25">
      <c r="B351"/>
      <c r="C351"/>
      <c r="D351"/>
      <c r="E351"/>
      <c r="F351"/>
      <c r="G351"/>
      <c r="H351"/>
    </row>
    <row r="352" spans="2:8" x14ac:dyDescent="0.25">
      <c r="B352"/>
      <c r="C352"/>
      <c r="D352"/>
      <c r="E352"/>
      <c r="F352"/>
      <c r="G352"/>
      <c r="H352"/>
    </row>
    <row r="353" spans="2:8" x14ac:dyDescent="0.25">
      <c r="B353"/>
      <c r="C353"/>
      <c r="D353"/>
      <c r="E353"/>
      <c r="F353"/>
      <c r="G353"/>
      <c r="H353"/>
    </row>
    <row r="354" spans="2:8" x14ac:dyDescent="0.25">
      <c r="B354"/>
      <c r="C354"/>
      <c r="D354"/>
      <c r="E354"/>
      <c r="F354"/>
      <c r="G354"/>
      <c r="H354"/>
    </row>
    <row r="355" spans="2:8" x14ac:dyDescent="0.25">
      <c r="B355"/>
      <c r="C355"/>
      <c r="D355"/>
      <c r="E355"/>
      <c r="F355"/>
      <c r="G355"/>
      <c r="H355"/>
    </row>
    <row r="356" spans="2:8" x14ac:dyDescent="0.25">
      <c r="B356"/>
      <c r="C356"/>
      <c r="D356"/>
      <c r="E356"/>
      <c r="F356"/>
      <c r="G356"/>
      <c r="H356"/>
    </row>
    <row r="357" spans="2:8" x14ac:dyDescent="0.25">
      <c r="B357"/>
      <c r="C357"/>
      <c r="D357"/>
      <c r="E357"/>
      <c r="F357"/>
      <c r="G357"/>
      <c r="H357"/>
    </row>
    <row r="358" spans="2:8" x14ac:dyDescent="0.25">
      <c r="B358"/>
      <c r="C358"/>
      <c r="D358"/>
      <c r="E358"/>
      <c r="F358"/>
      <c r="G358"/>
      <c r="H358"/>
    </row>
    <row r="359" spans="2:8" x14ac:dyDescent="0.25">
      <c r="B359"/>
      <c r="C359"/>
      <c r="D359"/>
      <c r="E359"/>
      <c r="F359"/>
      <c r="G359"/>
      <c r="H359"/>
    </row>
    <row r="360" spans="2:8" x14ac:dyDescent="0.25">
      <c r="B360"/>
      <c r="C360"/>
      <c r="D360"/>
      <c r="E360"/>
      <c r="F360"/>
      <c r="G360"/>
      <c r="H360"/>
    </row>
    <row r="361" spans="2:8" x14ac:dyDescent="0.25">
      <c r="B361"/>
      <c r="C361"/>
      <c r="D361"/>
      <c r="E361"/>
      <c r="F361"/>
      <c r="G361"/>
      <c r="H361"/>
    </row>
    <row r="362" spans="2:8" x14ac:dyDescent="0.25">
      <c r="B362"/>
      <c r="C362"/>
      <c r="D362"/>
      <c r="E362"/>
      <c r="F362"/>
      <c r="G362"/>
      <c r="H362"/>
    </row>
    <row r="363" spans="2:8" x14ac:dyDescent="0.25">
      <c r="B363"/>
      <c r="C363"/>
      <c r="D363"/>
      <c r="E363"/>
      <c r="F363"/>
      <c r="G363"/>
      <c r="H363"/>
    </row>
    <row r="364" spans="2:8" x14ac:dyDescent="0.25">
      <c r="B364"/>
      <c r="C364"/>
      <c r="D364"/>
      <c r="E364"/>
      <c r="F364"/>
      <c r="G364"/>
      <c r="H364"/>
    </row>
    <row r="365" spans="2:8" x14ac:dyDescent="0.25">
      <c r="B365"/>
      <c r="C365"/>
      <c r="D365"/>
      <c r="E365"/>
      <c r="F365"/>
      <c r="G365"/>
      <c r="H365"/>
    </row>
    <row r="366" spans="2:8" x14ac:dyDescent="0.25">
      <c r="B366"/>
      <c r="C366"/>
      <c r="D366"/>
      <c r="E366"/>
      <c r="F366"/>
      <c r="G366"/>
      <c r="H366"/>
    </row>
    <row r="367" spans="2:8" x14ac:dyDescent="0.25">
      <c r="B367"/>
      <c r="C367"/>
      <c r="D367"/>
      <c r="E367"/>
      <c r="F367"/>
      <c r="G367"/>
      <c r="H367"/>
    </row>
    <row r="368" spans="2:8" x14ac:dyDescent="0.25">
      <c r="B368"/>
      <c r="C368"/>
      <c r="D368"/>
      <c r="E368"/>
      <c r="F368"/>
      <c r="G368"/>
      <c r="H368"/>
    </row>
    <row r="369" spans="2:8" x14ac:dyDescent="0.25">
      <c r="B369"/>
      <c r="C369"/>
      <c r="D369"/>
      <c r="E369"/>
      <c r="F369"/>
      <c r="G369"/>
      <c r="H369"/>
    </row>
    <row r="370" spans="2:8" x14ac:dyDescent="0.25">
      <c r="B370"/>
      <c r="C370"/>
      <c r="D370"/>
      <c r="E370"/>
      <c r="F370"/>
      <c r="G370"/>
      <c r="H370"/>
    </row>
    <row r="371" spans="2:8" x14ac:dyDescent="0.25">
      <c r="B371"/>
      <c r="C371"/>
      <c r="D371"/>
      <c r="E371"/>
      <c r="F371"/>
      <c r="G371"/>
      <c r="H371"/>
    </row>
    <row r="372" spans="2:8" x14ac:dyDescent="0.25">
      <c r="B372"/>
      <c r="C372"/>
      <c r="D372"/>
      <c r="E372"/>
      <c r="F372"/>
      <c r="G372"/>
      <c r="H372"/>
    </row>
    <row r="373" spans="2:8" x14ac:dyDescent="0.25">
      <c r="B373"/>
      <c r="C373"/>
      <c r="D373"/>
      <c r="E373"/>
      <c r="F373"/>
      <c r="G373"/>
      <c r="H373"/>
    </row>
    <row r="374" spans="2:8" x14ac:dyDescent="0.25">
      <c r="B374"/>
      <c r="C374"/>
      <c r="D374"/>
      <c r="E374"/>
      <c r="F374"/>
      <c r="G374"/>
      <c r="H374"/>
    </row>
    <row r="375" spans="2:8" x14ac:dyDescent="0.25">
      <c r="B375"/>
      <c r="C375"/>
      <c r="D375"/>
      <c r="E375"/>
      <c r="F375"/>
      <c r="G375"/>
      <c r="H375"/>
    </row>
    <row r="376" spans="2:8" x14ac:dyDescent="0.25">
      <c r="B376"/>
      <c r="C376"/>
      <c r="D376"/>
      <c r="E376"/>
      <c r="F376"/>
      <c r="G376"/>
      <c r="H376"/>
    </row>
    <row r="377" spans="2:8" x14ac:dyDescent="0.25">
      <c r="B377"/>
      <c r="C377"/>
      <c r="D377"/>
      <c r="E377"/>
      <c r="F377"/>
      <c r="G377"/>
      <c r="H377"/>
    </row>
    <row r="378" spans="2:8" x14ac:dyDescent="0.25">
      <c r="B378"/>
      <c r="C378"/>
      <c r="D378"/>
      <c r="E378"/>
      <c r="F378"/>
      <c r="G378"/>
      <c r="H378"/>
    </row>
    <row r="379" spans="2:8" x14ac:dyDescent="0.25">
      <c r="B379"/>
      <c r="C379"/>
      <c r="D379"/>
      <c r="E379"/>
      <c r="F379"/>
      <c r="G379"/>
      <c r="H379"/>
    </row>
    <row r="380" spans="2:8" x14ac:dyDescent="0.25">
      <c r="B380"/>
      <c r="C380"/>
      <c r="D380"/>
      <c r="E380"/>
      <c r="F380"/>
      <c r="G380"/>
      <c r="H380"/>
    </row>
    <row r="381" spans="2:8" x14ac:dyDescent="0.25">
      <c r="B381"/>
      <c r="C381"/>
      <c r="D381"/>
      <c r="E381"/>
      <c r="F381"/>
      <c r="G381"/>
      <c r="H381"/>
    </row>
    <row r="382" spans="2:8" x14ac:dyDescent="0.25">
      <c r="B382"/>
      <c r="C382"/>
      <c r="D382"/>
      <c r="E382"/>
      <c r="F382"/>
      <c r="G382"/>
      <c r="H382"/>
    </row>
    <row r="383" spans="2:8" x14ac:dyDescent="0.25">
      <c r="B383"/>
      <c r="C383"/>
      <c r="D383"/>
      <c r="E383"/>
      <c r="F383"/>
      <c r="G383"/>
      <c r="H383"/>
    </row>
    <row r="384" spans="2:8" x14ac:dyDescent="0.25">
      <c r="B384"/>
      <c r="C384"/>
      <c r="D384"/>
      <c r="E384"/>
      <c r="F384"/>
      <c r="G384"/>
      <c r="H384"/>
    </row>
    <row r="385" spans="2:8" x14ac:dyDescent="0.25">
      <c r="B385"/>
      <c r="C385"/>
      <c r="D385"/>
      <c r="E385"/>
      <c r="F385"/>
      <c r="G385"/>
      <c r="H385"/>
    </row>
    <row r="386" spans="2:8" x14ac:dyDescent="0.25">
      <c r="B386"/>
      <c r="C386"/>
      <c r="D386"/>
      <c r="E386"/>
      <c r="F386"/>
      <c r="G386"/>
      <c r="H386"/>
    </row>
    <row r="387" spans="2:8" x14ac:dyDescent="0.25">
      <c r="B387"/>
      <c r="C387"/>
      <c r="D387"/>
      <c r="E387"/>
      <c r="F387"/>
      <c r="G387"/>
      <c r="H387"/>
    </row>
    <row r="388" spans="2:8" x14ac:dyDescent="0.25">
      <c r="B388"/>
      <c r="C388"/>
      <c r="D388"/>
      <c r="E388"/>
      <c r="F388"/>
      <c r="G388"/>
      <c r="H388"/>
    </row>
    <row r="389" spans="2:8" x14ac:dyDescent="0.25">
      <c r="B389"/>
      <c r="C389"/>
      <c r="D389"/>
      <c r="E389"/>
      <c r="F389"/>
      <c r="G389"/>
      <c r="H389"/>
    </row>
    <row r="390" spans="2:8" x14ac:dyDescent="0.25">
      <c r="B390"/>
      <c r="C390"/>
      <c r="D390"/>
      <c r="E390"/>
      <c r="F390"/>
      <c r="G390"/>
      <c r="H390"/>
    </row>
    <row r="391" spans="2:8" x14ac:dyDescent="0.25">
      <c r="B391"/>
      <c r="C391"/>
      <c r="D391"/>
      <c r="E391"/>
      <c r="F391"/>
      <c r="G391"/>
      <c r="H391"/>
    </row>
    <row r="392" spans="2:8" x14ac:dyDescent="0.25">
      <c r="B392"/>
      <c r="C392"/>
      <c r="D392"/>
      <c r="E392"/>
      <c r="F392"/>
      <c r="G392"/>
      <c r="H392"/>
    </row>
    <row r="393" spans="2:8" x14ac:dyDescent="0.25">
      <c r="B393"/>
      <c r="C393"/>
      <c r="D393"/>
      <c r="E393"/>
      <c r="F393"/>
      <c r="G393"/>
      <c r="H393"/>
    </row>
    <row r="394" spans="2:8" x14ac:dyDescent="0.25">
      <c r="B394"/>
      <c r="C394"/>
      <c r="D394"/>
      <c r="E394"/>
      <c r="F394"/>
      <c r="G394"/>
      <c r="H394"/>
    </row>
    <row r="395" spans="2:8" x14ac:dyDescent="0.25">
      <c r="B395"/>
      <c r="C395"/>
      <c r="D395"/>
      <c r="E395"/>
      <c r="F395"/>
      <c r="G395"/>
      <c r="H395"/>
    </row>
    <row r="396" spans="2:8" x14ac:dyDescent="0.25">
      <c r="B396"/>
      <c r="C396"/>
      <c r="D396"/>
      <c r="E396"/>
      <c r="F396"/>
      <c r="G396"/>
      <c r="H396"/>
    </row>
    <row r="397" spans="2:8" x14ac:dyDescent="0.25">
      <c r="B397"/>
      <c r="C397"/>
      <c r="D397"/>
      <c r="E397"/>
      <c r="F397"/>
      <c r="G397"/>
      <c r="H397"/>
    </row>
    <row r="398" spans="2:8" x14ac:dyDescent="0.25">
      <c r="B398"/>
      <c r="C398"/>
      <c r="D398"/>
      <c r="E398"/>
      <c r="F398"/>
      <c r="G398"/>
      <c r="H398"/>
    </row>
    <row r="399" spans="2:8" x14ac:dyDescent="0.25">
      <c r="B399"/>
      <c r="C399"/>
      <c r="D399"/>
      <c r="E399"/>
      <c r="F399"/>
      <c r="G399"/>
      <c r="H399"/>
    </row>
    <row r="400" spans="2:8" x14ac:dyDescent="0.25">
      <c r="B400"/>
      <c r="C400"/>
      <c r="D400"/>
      <c r="E400"/>
      <c r="F400"/>
      <c r="G400"/>
      <c r="H400"/>
    </row>
    <row r="401" spans="2:8" x14ac:dyDescent="0.25">
      <c r="B401"/>
      <c r="C401"/>
      <c r="D401"/>
      <c r="E401"/>
      <c r="F401"/>
      <c r="G401"/>
      <c r="H401"/>
    </row>
    <row r="402" spans="2:8" x14ac:dyDescent="0.25">
      <c r="B402"/>
      <c r="C402"/>
      <c r="D402"/>
      <c r="E402"/>
      <c r="F402"/>
      <c r="G402"/>
      <c r="H402"/>
    </row>
    <row r="403" spans="2:8" x14ac:dyDescent="0.25">
      <c r="B403"/>
      <c r="C403"/>
      <c r="D403"/>
      <c r="E403"/>
      <c r="F403"/>
      <c r="G403"/>
      <c r="H403"/>
    </row>
    <row r="404" spans="2:8" x14ac:dyDescent="0.25">
      <c r="B404"/>
      <c r="C404"/>
      <c r="D404"/>
      <c r="E404"/>
      <c r="F404"/>
      <c r="G404"/>
      <c r="H404"/>
    </row>
    <row r="405" spans="2:8" x14ac:dyDescent="0.25">
      <c r="B405"/>
      <c r="C405"/>
      <c r="D405"/>
      <c r="E405"/>
      <c r="F405"/>
      <c r="G405"/>
      <c r="H405"/>
    </row>
    <row r="406" spans="2:8" x14ac:dyDescent="0.25">
      <c r="B406"/>
      <c r="C406"/>
      <c r="D406"/>
      <c r="E406"/>
      <c r="F406"/>
      <c r="G406"/>
      <c r="H406"/>
    </row>
    <row r="407" spans="2:8" x14ac:dyDescent="0.25">
      <c r="B407"/>
      <c r="C407"/>
      <c r="D407"/>
      <c r="E407"/>
      <c r="F407"/>
      <c r="G407"/>
      <c r="H407"/>
    </row>
    <row r="408" spans="2:8" x14ac:dyDescent="0.25">
      <c r="B408"/>
      <c r="C408"/>
      <c r="D408"/>
      <c r="E408"/>
      <c r="F408"/>
      <c r="G408"/>
      <c r="H408"/>
    </row>
    <row r="409" spans="2:8" x14ac:dyDescent="0.25">
      <c r="B409"/>
      <c r="C409"/>
      <c r="D409"/>
      <c r="E409"/>
      <c r="F409"/>
      <c r="G409"/>
      <c r="H409"/>
    </row>
    <row r="410" spans="2:8" x14ac:dyDescent="0.25">
      <c r="B410"/>
      <c r="C410"/>
      <c r="D410"/>
      <c r="E410"/>
      <c r="F410"/>
      <c r="G410"/>
      <c r="H410"/>
    </row>
    <row r="411" spans="2:8" x14ac:dyDescent="0.25">
      <c r="B411"/>
      <c r="C411"/>
      <c r="D411"/>
      <c r="E411"/>
      <c r="F411"/>
      <c r="G411"/>
      <c r="H411"/>
    </row>
    <row r="412" spans="2:8" x14ac:dyDescent="0.25">
      <c r="B412"/>
      <c r="C412"/>
      <c r="D412"/>
      <c r="E412"/>
      <c r="F412"/>
      <c r="G412"/>
      <c r="H412"/>
    </row>
    <row r="413" spans="2:8" x14ac:dyDescent="0.25">
      <c r="B413"/>
      <c r="C413"/>
      <c r="D413"/>
      <c r="E413"/>
      <c r="F413"/>
      <c r="G413"/>
      <c r="H413"/>
    </row>
    <row r="414" spans="2:8" x14ac:dyDescent="0.25">
      <c r="B414"/>
      <c r="C414"/>
      <c r="D414"/>
      <c r="E414"/>
      <c r="F414"/>
      <c r="G414"/>
      <c r="H414"/>
    </row>
    <row r="415" spans="2:8" x14ac:dyDescent="0.25">
      <c r="B415"/>
      <c r="C415"/>
      <c r="D415"/>
      <c r="E415"/>
      <c r="F415"/>
      <c r="G415"/>
      <c r="H415"/>
    </row>
    <row r="416" spans="2:8" x14ac:dyDescent="0.25">
      <c r="B416"/>
      <c r="C416"/>
      <c r="D416"/>
      <c r="E416"/>
      <c r="F416"/>
      <c r="G416"/>
      <c r="H416"/>
    </row>
    <row r="417" spans="2:8" x14ac:dyDescent="0.25">
      <c r="B417"/>
      <c r="C417"/>
      <c r="D417"/>
      <c r="E417"/>
      <c r="F417"/>
      <c r="G417"/>
      <c r="H417"/>
    </row>
    <row r="418" spans="2:8" x14ac:dyDescent="0.25">
      <c r="B418"/>
      <c r="C418"/>
      <c r="D418"/>
      <c r="E418"/>
      <c r="F418"/>
      <c r="G418"/>
      <c r="H418"/>
    </row>
    <row r="419" spans="2:8" x14ac:dyDescent="0.25">
      <c r="B419"/>
      <c r="C419"/>
      <c r="D419"/>
      <c r="E419"/>
      <c r="F419"/>
      <c r="G419"/>
      <c r="H419"/>
    </row>
    <row r="420" spans="2:8" x14ac:dyDescent="0.25">
      <c r="B420"/>
      <c r="C420"/>
      <c r="D420"/>
      <c r="E420"/>
      <c r="F420"/>
      <c r="G420"/>
      <c r="H420"/>
    </row>
    <row r="421" spans="2:8" x14ac:dyDescent="0.25">
      <c r="B421"/>
      <c r="C421"/>
      <c r="D421"/>
      <c r="E421"/>
      <c r="F421"/>
      <c r="G421"/>
      <c r="H421"/>
    </row>
    <row r="422" spans="2:8" x14ac:dyDescent="0.25">
      <c r="B422"/>
      <c r="C422"/>
      <c r="D422"/>
      <c r="E422"/>
      <c r="F422"/>
      <c r="G422"/>
      <c r="H422"/>
    </row>
    <row r="423" spans="2:8" x14ac:dyDescent="0.25">
      <c r="B423"/>
      <c r="C423"/>
      <c r="D423"/>
      <c r="E423"/>
      <c r="F423"/>
      <c r="G423"/>
      <c r="H423"/>
    </row>
    <row r="424" spans="2:8" x14ac:dyDescent="0.25">
      <c r="B424"/>
      <c r="C424"/>
      <c r="D424"/>
      <c r="E424"/>
      <c r="F424"/>
      <c r="G424"/>
      <c r="H424"/>
    </row>
    <row r="425" spans="2:8" x14ac:dyDescent="0.25">
      <c r="B425"/>
      <c r="C425"/>
      <c r="D425"/>
      <c r="E425"/>
      <c r="F425"/>
      <c r="G425"/>
      <c r="H425"/>
    </row>
    <row r="426" spans="2:8" x14ac:dyDescent="0.25">
      <c r="B426"/>
      <c r="C426"/>
      <c r="D426"/>
      <c r="E426"/>
      <c r="F426"/>
      <c r="G426"/>
      <c r="H426"/>
    </row>
    <row r="427" spans="2:8" x14ac:dyDescent="0.25">
      <c r="B427"/>
      <c r="C427"/>
      <c r="D427"/>
      <c r="E427"/>
      <c r="F427"/>
      <c r="G427"/>
      <c r="H427"/>
    </row>
    <row r="428" spans="2:8" x14ac:dyDescent="0.25">
      <c r="B428"/>
      <c r="C428"/>
      <c r="D428"/>
      <c r="E428"/>
      <c r="F428"/>
      <c r="G428"/>
      <c r="H428"/>
    </row>
    <row r="429" spans="2:8" x14ac:dyDescent="0.25">
      <c r="B429"/>
      <c r="C429"/>
      <c r="D429"/>
      <c r="E429"/>
      <c r="F429"/>
      <c r="G429"/>
      <c r="H429"/>
    </row>
    <row r="430" spans="2:8" x14ac:dyDescent="0.25">
      <c r="B430"/>
      <c r="C430"/>
      <c r="D430"/>
      <c r="E430"/>
      <c r="F430"/>
      <c r="G430"/>
      <c r="H430"/>
    </row>
    <row r="431" spans="2:8" x14ac:dyDescent="0.25">
      <c r="B431"/>
      <c r="C431"/>
      <c r="D431"/>
      <c r="E431"/>
      <c r="F431"/>
      <c r="G431"/>
      <c r="H431"/>
    </row>
    <row r="432" spans="2:8" x14ac:dyDescent="0.25">
      <c r="B432"/>
      <c r="C432"/>
      <c r="D432"/>
      <c r="E432"/>
      <c r="F432"/>
      <c r="G432"/>
      <c r="H432"/>
    </row>
    <row r="433" spans="2:8" x14ac:dyDescent="0.25">
      <c r="B433"/>
      <c r="C433"/>
      <c r="D433"/>
      <c r="E433"/>
      <c r="F433"/>
      <c r="G433"/>
      <c r="H433"/>
    </row>
    <row r="434" spans="2:8" x14ac:dyDescent="0.25">
      <c r="B434"/>
      <c r="C434"/>
      <c r="D434"/>
      <c r="E434"/>
      <c r="F434"/>
      <c r="G434"/>
      <c r="H434"/>
    </row>
    <row r="435" spans="2:8" x14ac:dyDescent="0.25">
      <c r="B435"/>
      <c r="C435"/>
      <c r="D435"/>
      <c r="E435"/>
      <c r="F435"/>
      <c r="G435"/>
      <c r="H435"/>
    </row>
    <row r="436" spans="2:8" x14ac:dyDescent="0.25">
      <c r="B436"/>
      <c r="C436"/>
      <c r="D436"/>
      <c r="E436"/>
      <c r="F436"/>
      <c r="G436"/>
      <c r="H436"/>
    </row>
    <row r="437" spans="2:8" x14ac:dyDescent="0.25">
      <c r="B437"/>
      <c r="C437"/>
      <c r="D437"/>
      <c r="E437"/>
      <c r="F437"/>
      <c r="G437"/>
      <c r="H437"/>
    </row>
    <row r="438" spans="2:8" x14ac:dyDescent="0.25">
      <c r="B438"/>
      <c r="C438"/>
      <c r="D438"/>
      <c r="E438"/>
      <c r="F438"/>
      <c r="G438"/>
      <c r="H438"/>
    </row>
    <row r="439" spans="2:8" x14ac:dyDescent="0.25">
      <c r="B439"/>
      <c r="C439"/>
      <c r="D439"/>
      <c r="E439"/>
      <c r="F439"/>
      <c r="G439"/>
      <c r="H439"/>
    </row>
    <row r="440" spans="2:8" x14ac:dyDescent="0.25">
      <c r="B440"/>
      <c r="C440"/>
      <c r="D440"/>
      <c r="E440"/>
      <c r="F440"/>
      <c r="G440"/>
      <c r="H440"/>
    </row>
    <row r="441" spans="2:8" x14ac:dyDescent="0.25">
      <c r="B441"/>
      <c r="C441"/>
      <c r="D441"/>
      <c r="E441"/>
      <c r="F441"/>
      <c r="G441"/>
      <c r="H441"/>
    </row>
    <row r="442" spans="2:8" x14ac:dyDescent="0.25">
      <c r="B442"/>
      <c r="C442"/>
      <c r="D442"/>
      <c r="E442"/>
      <c r="F442"/>
      <c r="G442"/>
      <c r="H442"/>
    </row>
    <row r="443" spans="2:8" x14ac:dyDescent="0.25">
      <c r="B443"/>
      <c r="C443"/>
      <c r="D443"/>
      <c r="E443"/>
      <c r="F443"/>
      <c r="G443"/>
      <c r="H443"/>
    </row>
    <row r="444" spans="2:8" x14ac:dyDescent="0.25">
      <c r="B444"/>
      <c r="C444"/>
      <c r="D444"/>
      <c r="E444"/>
      <c r="F444"/>
      <c r="G444"/>
      <c r="H444"/>
    </row>
    <row r="445" spans="2:8" x14ac:dyDescent="0.25">
      <c r="B445"/>
      <c r="C445"/>
      <c r="D445"/>
      <c r="E445"/>
      <c r="F445"/>
      <c r="G445"/>
      <c r="H445"/>
    </row>
    <row r="446" spans="2:8" x14ac:dyDescent="0.25">
      <c r="B446"/>
      <c r="C446"/>
      <c r="D446"/>
      <c r="E446"/>
      <c r="F446"/>
      <c r="G446"/>
      <c r="H446"/>
    </row>
    <row r="447" spans="2:8" x14ac:dyDescent="0.25">
      <c r="B447"/>
      <c r="C447"/>
      <c r="D447"/>
      <c r="E447"/>
      <c r="F447"/>
      <c r="G447"/>
      <c r="H447"/>
    </row>
    <row r="448" spans="2:8" x14ac:dyDescent="0.25">
      <c r="B448"/>
      <c r="C448"/>
      <c r="D448"/>
      <c r="E448"/>
      <c r="F448"/>
      <c r="G448"/>
      <c r="H448"/>
    </row>
    <row r="449" spans="2:8" x14ac:dyDescent="0.25">
      <c r="B449"/>
      <c r="C449"/>
      <c r="D449"/>
      <c r="E449"/>
      <c r="F449"/>
      <c r="G449"/>
      <c r="H449"/>
    </row>
    <row r="450" spans="2:8" x14ac:dyDescent="0.25">
      <c r="B450"/>
      <c r="C450"/>
      <c r="D450"/>
      <c r="E450"/>
      <c r="F450"/>
      <c r="G450"/>
      <c r="H450"/>
    </row>
    <row r="451" spans="2:8" x14ac:dyDescent="0.25">
      <c r="B451"/>
      <c r="C451"/>
      <c r="D451"/>
      <c r="E451"/>
      <c r="F451"/>
      <c r="G451"/>
      <c r="H451"/>
    </row>
    <row r="452" spans="2:8" x14ac:dyDescent="0.25">
      <c r="B452"/>
      <c r="C452"/>
      <c r="D452"/>
      <c r="E452"/>
      <c r="F452"/>
      <c r="G452"/>
      <c r="H452"/>
    </row>
    <row r="453" spans="2:8" x14ac:dyDescent="0.25">
      <c r="B453"/>
      <c r="C453"/>
      <c r="D453"/>
      <c r="E453"/>
      <c r="F453"/>
      <c r="G453"/>
      <c r="H453"/>
    </row>
    <row r="454" spans="2:8" x14ac:dyDescent="0.25">
      <c r="B454"/>
      <c r="C454"/>
      <c r="D454"/>
      <c r="E454"/>
      <c r="F454"/>
      <c r="G454"/>
      <c r="H454"/>
    </row>
    <row r="455" spans="2:8" x14ac:dyDescent="0.25">
      <c r="B455"/>
      <c r="C455"/>
      <c r="D455"/>
      <c r="E455"/>
      <c r="F455"/>
      <c r="G455"/>
      <c r="H455"/>
    </row>
    <row r="456" spans="2:8" x14ac:dyDescent="0.25">
      <c r="B456"/>
      <c r="C456"/>
      <c r="D456"/>
      <c r="E456"/>
      <c r="F456"/>
      <c r="G456"/>
      <c r="H456"/>
    </row>
    <row r="457" spans="2:8" x14ac:dyDescent="0.25">
      <c r="B457"/>
      <c r="C457"/>
      <c r="D457"/>
      <c r="E457"/>
      <c r="F457"/>
      <c r="G457"/>
      <c r="H457"/>
    </row>
    <row r="458" spans="2:8" x14ac:dyDescent="0.25">
      <c r="B458"/>
      <c r="C458"/>
      <c r="D458"/>
      <c r="E458"/>
      <c r="F458"/>
      <c r="G458"/>
      <c r="H458"/>
    </row>
    <row r="459" spans="2:8" x14ac:dyDescent="0.25">
      <c r="B459"/>
      <c r="C459"/>
      <c r="D459"/>
      <c r="E459"/>
      <c r="F459"/>
      <c r="G459"/>
      <c r="H459"/>
    </row>
    <row r="460" spans="2:8" x14ac:dyDescent="0.25">
      <c r="B460"/>
      <c r="C460"/>
      <c r="D460"/>
      <c r="E460"/>
      <c r="F460"/>
      <c r="G460"/>
      <c r="H460"/>
    </row>
    <row r="461" spans="2:8" x14ac:dyDescent="0.25">
      <c r="B461"/>
      <c r="C461"/>
      <c r="D461"/>
      <c r="E461"/>
      <c r="F461"/>
      <c r="G461"/>
      <c r="H461"/>
    </row>
    <row r="462" spans="2:8" x14ac:dyDescent="0.25">
      <c r="B462"/>
      <c r="C462"/>
      <c r="D462"/>
      <c r="E462"/>
      <c r="F462"/>
      <c r="G462"/>
      <c r="H462"/>
    </row>
    <row r="463" spans="2:8" x14ac:dyDescent="0.25">
      <c r="B463"/>
      <c r="C463"/>
      <c r="D463"/>
      <c r="E463"/>
      <c r="F463"/>
      <c r="G463"/>
      <c r="H463"/>
    </row>
    <row r="464" spans="2:8" x14ac:dyDescent="0.25">
      <c r="B464"/>
      <c r="C464"/>
      <c r="D464"/>
      <c r="E464"/>
      <c r="F464"/>
      <c r="G464"/>
      <c r="H464"/>
    </row>
    <row r="465" spans="2:8" x14ac:dyDescent="0.25">
      <c r="B465"/>
      <c r="C465"/>
      <c r="D465"/>
      <c r="E465"/>
      <c r="F465"/>
      <c r="G465"/>
      <c r="H465"/>
    </row>
    <row r="466" spans="2:8" x14ac:dyDescent="0.25">
      <c r="B466"/>
      <c r="C466"/>
      <c r="D466"/>
      <c r="E466"/>
      <c r="F466"/>
      <c r="G466"/>
      <c r="H466"/>
    </row>
    <row r="467" spans="2:8" x14ac:dyDescent="0.25">
      <c r="B467"/>
      <c r="C467"/>
      <c r="D467"/>
      <c r="E467"/>
      <c r="F467"/>
      <c r="G467"/>
      <c r="H467"/>
    </row>
    <row r="468" spans="2:8" x14ac:dyDescent="0.25">
      <c r="B468"/>
      <c r="C468"/>
      <c r="D468"/>
      <c r="E468"/>
      <c r="F468"/>
      <c r="G468"/>
      <c r="H468"/>
    </row>
    <row r="469" spans="2:8" x14ac:dyDescent="0.25">
      <c r="B469"/>
      <c r="C469"/>
      <c r="D469"/>
      <c r="E469"/>
      <c r="F469"/>
      <c r="G469"/>
      <c r="H469"/>
    </row>
    <row r="470" spans="2:8" x14ac:dyDescent="0.25">
      <c r="B470"/>
      <c r="C470"/>
      <c r="D470"/>
      <c r="E470"/>
      <c r="F470"/>
      <c r="G470"/>
      <c r="H470"/>
    </row>
    <row r="471" spans="2:8" x14ac:dyDescent="0.25">
      <c r="B471"/>
      <c r="C471"/>
      <c r="D471"/>
      <c r="E471"/>
      <c r="F471"/>
      <c r="G471"/>
      <c r="H471"/>
    </row>
    <row r="472" spans="2:8" x14ac:dyDescent="0.25">
      <c r="B472"/>
      <c r="C472"/>
      <c r="D472"/>
      <c r="E472"/>
      <c r="F472"/>
      <c r="G472"/>
      <c r="H472"/>
    </row>
    <row r="473" spans="2:8" x14ac:dyDescent="0.25">
      <c r="B473"/>
      <c r="C473"/>
      <c r="D473"/>
      <c r="E473"/>
      <c r="F473"/>
      <c r="G473"/>
      <c r="H473"/>
    </row>
    <row r="474" spans="2:8" x14ac:dyDescent="0.25">
      <c r="B474"/>
      <c r="C474"/>
      <c r="D474"/>
      <c r="E474"/>
      <c r="F474"/>
      <c r="G474"/>
      <c r="H474"/>
    </row>
    <row r="475" spans="2:8" x14ac:dyDescent="0.25">
      <c r="B475"/>
      <c r="C475"/>
      <c r="D475"/>
      <c r="E475"/>
      <c r="F475"/>
      <c r="G475"/>
      <c r="H475"/>
    </row>
    <row r="476" spans="2:8" x14ac:dyDescent="0.25">
      <c r="B476"/>
      <c r="C476"/>
      <c r="D476"/>
      <c r="E476"/>
      <c r="F476"/>
      <c r="G476"/>
      <c r="H476"/>
    </row>
    <row r="477" spans="2:8" x14ac:dyDescent="0.25">
      <c r="B477"/>
      <c r="C477"/>
      <c r="D477"/>
      <c r="E477"/>
      <c r="F477"/>
      <c r="G477"/>
      <c r="H477"/>
    </row>
    <row r="478" spans="2:8" x14ac:dyDescent="0.25">
      <c r="B478"/>
      <c r="C478"/>
      <c r="D478"/>
      <c r="E478"/>
      <c r="F478"/>
      <c r="G478"/>
      <c r="H478"/>
    </row>
    <row r="479" spans="2:8" x14ac:dyDescent="0.25">
      <c r="B479"/>
      <c r="C479"/>
      <c r="D479"/>
      <c r="E479"/>
      <c r="F479"/>
      <c r="G479"/>
      <c r="H479"/>
    </row>
    <row r="480" spans="2:8" x14ac:dyDescent="0.25">
      <c r="B480"/>
      <c r="C480"/>
      <c r="D480"/>
      <c r="E480"/>
      <c r="F480"/>
      <c r="G480"/>
      <c r="H480"/>
    </row>
    <row r="481" spans="2:8" x14ac:dyDescent="0.25">
      <c r="B481"/>
      <c r="C481"/>
      <c r="D481"/>
      <c r="E481"/>
      <c r="F481"/>
      <c r="G481"/>
      <c r="H481"/>
    </row>
    <row r="482" spans="2:8" x14ac:dyDescent="0.25">
      <c r="B482"/>
      <c r="C482"/>
      <c r="D482"/>
      <c r="E482"/>
      <c r="F482"/>
      <c r="G482"/>
      <c r="H482"/>
    </row>
    <row r="483" spans="2:8" x14ac:dyDescent="0.25">
      <c r="B483"/>
      <c r="C483"/>
      <c r="D483"/>
      <c r="E483"/>
      <c r="F483"/>
      <c r="G483"/>
      <c r="H483"/>
    </row>
    <row r="484" spans="2:8" x14ac:dyDescent="0.25">
      <c r="B484"/>
      <c r="C484"/>
      <c r="D484"/>
      <c r="E484"/>
      <c r="F484"/>
      <c r="G484"/>
      <c r="H484"/>
    </row>
    <row r="485" spans="2:8" x14ac:dyDescent="0.25">
      <c r="B485"/>
      <c r="C485"/>
      <c r="D485"/>
      <c r="E485"/>
      <c r="F485"/>
      <c r="G485"/>
      <c r="H485"/>
    </row>
    <row r="486" spans="2:8" x14ac:dyDescent="0.25">
      <c r="B486"/>
      <c r="C486"/>
      <c r="D486"/>
      <c r="E486"/>
      <c r="F486"/>
      <c r="G486"/>
      <c r="H486"/>
    </row>
    <row r="487" spans="2:8" x14ac:dyDescent="0.25">
      <c r="B487"/>
      <c r="C487"/>
      <c r="D487"/>
      <c r="E487"/>
      <c r="F487"/>
      <c r="G487"/>
      <c r="H487"/>
    </row>
    <row r="488" spans="2:8" x14ac:dyDescent="0.25">
      <c r="B488"/>
      <c r="C488"/>
      <c r="D488"/>
      <c r="E488"/>
      <c r="F488"/>
      <c r="G488"/>
      <c r="H488"/>
    </row>
    <row r="489" spans="2:8" x14ac:dyDescent="0.25">
      <c r="B489"/>
      <c r="C489"/>
      <c r="D489"/>
      <c r="E489"/>
      <c r="F489"/>
      <c r="G489"/>
      <c r="H489"/>
    </row>
    <row r="490" spans="2:8" x14ac:dyDescent="0.25">
      <c r="B490"/>
      <c r="C490"/>
      <c r="D490"/>
      <c r="E490"/>
      <c r="F490"/>
      <c r="G490"/>
      <c r="H490"/>
    </row>
    <row r="491" spans="2:8" x14ac:dyDescent="0.25">
      <c r="B491"/>
      <c r="C491"/>
      <c r="D491"/>
      <c r="E491"/>
      <c r="F491"/>
      <c r="G491"/>
      <c r="H491"/>
    </row>
    <row r="492" spans="2:8" x14ac:dyDescent="0.25">
      <c r="B492"/>
      <c r="C492"/>
      <c r="D492"/>
      <c r="E492"/>
      <c r="F492"/>
      <c r="G492"/>
      <c r="H492"/>
    </row>
    <row r="493" spans="2:8" x14ac:dyDescent="0.25">
      <c r="B493"/>
      <c r="C493"/>
      <c r="D493"/>
      <c r="E493"/>
      <c r="F493"/>
      <c r="G493"/>
      <c r="H493"/>
    </row>
    <row r="494" spans="2:8" x14ac:dyDescent="0.25">
      <c r="B494"/>
      <c r="C494"/>
      <c r="D494"/>
      <c r="E494"/>
      <c r="F494"/>
      <c r="G494"/>
      <c r="H494"/>
    </row>
    <row r="495" spans="2:8" x14ac:dyDescent="0.25">
      <c r="B495"/>
      <c r="C495"/>
      <c r="D495"/>
      <c r="E495"/>
      <c r="F495"/>
      <c r="G495"/>
      <c r="H495"/>
    </row>
    <row r="496" spans="2:8" x14ac:dyDescent="0.25">
      <c r="B496"/>
      <c r="C496"/>
      <c r="D496"/>
      <c r="E496"/>
      <c r="F496"/>
      <c r="G496"/>
      <c r="H496"/>
    </row>
    <row r="497" spans="2:8" x14ac:dyDescent="0.25">
      <c r="B497"/>
      <c r="C497"/>
      <c r="D497"/>
      <c r="E497"/>
      <c r="F497"/>
      <c r="G497"/>
      <c r="H497"/>
    </row>
    <row r="498" spans="2:8" x14ac:dyDescent="0.25">
      <c r="B498"/>
      <c r="C498"/>
      <c r="D498"/>
      <c r="E498"/>
      <c r="F498"/>
      <c r="G498"/>
      <c r="H498"/>
    </row>
    <row r="499" spans="2:8" x14ac:dyDescent="0.25">
      <c r="B499"/>
      <c r="C499"/>
      <c r="D499"/>
      <c r="E499"/>
      <c r="F499"/>
      <c r="G499"/>
      <c r="H499"/>
    </row>
    <row r="500" spans="2:8" x14ac:dyDescent="0.25">
      <c r="B500"/>
      <c r="C500"/>
      <c r="D500"/>
      <c r="E500"/>
      <c r="F500"/>
      <c r="G500"/>
      <c r="H500"/>
    </row>
    <row r="501" spans="2:8" x14ac:dyDescent="0.25">
      <c r="B501"/>
      <c r="C501"/>
      <c r="D501"/>
      <c r="E501"/>
      <c r="F501"/>
      <c r="G501"/>
      <c r="H501"/>
    </row>
    <row r="502" spans="2:8" x14ac:dyDescent="0.25">
      <c r="B502"/>
      <c r="C502"/>
      <c r="D502"/>
      <c r="E502"/>
      <c r="F502"/>
      <c r="G502"/>
      <c r="H502"/>
    </row>
    <row r="503" spans="2:8" x14ac:dyDescent="0.25">
      <c r="B503"/>
      <c r="C503"/>
      <c r="D503"/>
      <c r="E503"/>
      <c r="F503"/>
      <c r="G503"/>
      <c r="H503"/>
    </row>
    <row r="504" spans="2:8" x14ac:dyDescent="0.25">
      <c r="B504"/>
      <c r="C504"/>
      <c r="D504"/>
      <c r="E504"/>
      <c r="F504"/>
      <c r="G504"/>
      <c r="H504"/>
    </row>
    <row r="505" spans="2:8" x14ac:dyDescent="0.25">
      <c r="B505"/>
      <c r="C505"/>
      <c r="D505"/>
      <c r="E505"/>
      <c r="F505"/>
      <c r="G505"/>
      <c r="H505"/>
    </row>
    <row r="506" spans="2:8" x14ac:dyDescent="0.25">
      <c r="B506"/>
      <c r="C506"/>
      <c r="D506"/>
      <c r="E506"/>
      <c r="F506"/>
      <c r="G506"/>
      <c r="H506"/>
    </row>
    <row r="507" spans="2:8" x14ac:dyDescent="0.25">
      <c r="B507"/>
      <c r="C507"/>
      <c r="D507"/>
      <c r="E507"/>
      <c r="F507"/>
      <c r="G507"/>
      <c r="H507"/>
    </row>
    <row r="508" spans="2:8" x14ac:dyDescent="0.25">
      <c r="B508"/>
      <c r="C508"/>
      <c r="D508"/>
      <c r="E508"/>
      <c r="F508"/>
      <c r="G508"/>
      <c r="H508"/>
    </row>
    <row r="509" spans="2:8" x14ac:dyDescent="0.25">
      <c r="B509"/>
      <c r="C509"/>
      <c r="D509"/>
      <c r="E509"/>
      <c r="F509"/>
      <c r="G509"/>
      <c r="H509"/>
    </row>
    <row r="510" spans="2:8" x14ac:dyDescent="0.25">
      <c r="B510"/>
      <c r="C510"/>
      <c r="D510"/>
      <c r="E510"/>
      <c r="F510"/>
      <c r="G510"/>
      <c r="H510"/>
    </row>
    <row r="511" spans="2:8" x14ac:dyDescent="0.25">
      <c r="B511"/>
      <c r="C511"/>
      <c r="D511"/>
      <c r="E511"/>
      <c r="F511"/>
      <c r="G511"/>
      <c r="H511"/>
    </row>
    <row r="512" spans="2:8" x14ac:dyDescent="0.25">
      <c r="B512"/>
      <c r="C512"/>
      <c r="D512"/>
      <c r="E512"/>
      <c r="F512"/>
      <c r="G512"/>
      <c r="H512"/>
    </row>
    <row r="513" spans="2:8" x14ac:dyDescent="0.25">
      <c r="B513"/>
      <c r="C513"/>
      <c r="D513"/>
      <c r="E513"/>
      <c r="F513"/>
      <c r="G513"/>
      <c r="H513"/>
    </row>
    <row r="514" spans="2:8" x14ac:dyDescent="0.25">
      <c r="B514"/>
      <c r="C514"/>
      <c r="D514"/>
      <c r="E514"/>
      <c r="F514"/>
      <c r="G514"/>
      <c r="H514"/>
    </row>
    <row r="515" spans="2:8" x14ac:dyDescent="0.25">
      <c r="B515"/>
      <c r="C515"/>
      <c r="D515"/>
      <c r="E515"/>
      <c r="F515"/>
      <c r="G515"/>
      <c r="H515"/>
    </row>
    <row r="516" spans="2:8" x14ac:dyDescent="0.25">
      <c r="B516"/>
      <c r="C516"/>
      <c r="D516"/>
      <c r="E516"/>
      <c r="F516"/>
      <c r="G516"/>
      <c r="H516"/>
    </row>
    <row r="517" spans="2:8" x14ac:dyDescent="0.25">
      <c r="B517"/>
      <c r="C517"/>
      <c r="D517"/>
      <c r="E517"/>
      <c r="F517"/>
      <c r="G517"/>
      <c r="H517"/>
    </row>
    <row r="518" spans="2:8" x14ac:dyDescent="0.25">
      <c r="B518"/>
      <c r="C518"/>
      <c r="D518"/>
      <c r="E518"/>
      <c r="F518"/>
      <c r="G518"/>
      <c r="H518"/>
    </row>
    <row r="519" spans="2:8" x14ac:dyDescent="0.25">
      <c r="B519"/>
      <c r="C519"/>
      <c r="D519"/>
      <c r="E519"/>
      <c r="F519"/>
      <c r="G519"/>
      <c r="H519"/>
    </row>
    <row r="520" spans="2:8" x14ac:dyDescent="0.25">
      <c r="B520"/>
      <c r="C520"/>
      <c r="D520"/>
      <c r="E520"/>
      <c r="F520"/>
      <c r="G520"/>
      <c r="H520"/>
    </row>
    <row r="521" spans="2:8" x14ac:dyDescent="0.25">
      <c r="B521"/>
      <c r="C521"/>
      <c r="D521"/>
      <c r="E521"/>
      <c r="F521"/>
      <c r="G521"/>
      <c r="H521"/>
    </row>
    <row r="522" spans="2:8" x14ac:dyDescent="0.25">
      <c r="B522"/>
      <c r="C522"/>
      <c r="D522"/>
      <c r="E522"/>
      <c r="F522"/>
      <c r="G522"/>
      <c r="H522"/>
    </row>
    <row r="523" spans="2:8" x14ac:dyDescent="0.25">
      <c r="B523"/>
      <c r="C523"/>
      <c r="D523"/>
      <c r="E523"/>
      <c r="F523"/>
      <c r="G523"/>
      <c r="H523"/>
    </row>
    <row r="524" spans="2:8" x14ac:dyDescent="0.25">
      <c r="B524"/>
      <c r="C524"/>
      <c r="D524"/>
      <c r="E524"/>
      <c r="F524"/>
      <c r="G524"/>
      <c r="H524"/>
    </row>
    <row r="525" spans="2:8" x14ac:dyDescent="0.25">
      <c r="B525"/>
      <c r="C525"/>
      <c r="D525"/>
      <c r="E525"/>
      <c r="F525"/>
      <c r="G525"/>
      <c r="H525"/>
    </row>
    <row r="526" spans="2:8" x14ac:dyDescent="0.25">
      <c r="B526"/>
      <c r="C526"/>
      <c r="D526"/>
      <c r="E526"/>
      <c r="F526"/>
      <c r="G526"/>
      <c r="H526"/>
    </row>
    <row r="527" spans="2:8" x14ac:dyDescent="0.25">
      <c r="B527"/>
      <c r="C527"/>
      <c r="D527"/>
      <c r="E527"/>
      <c r="F527"/>
      <c r="G527"/>
      <c r="H527"/>
    </row>
    <row r="528" spans="2:8" x14ac:dyDescent="0.25">
      <c r="B528"/>
      <c r="C528"/>
      <c r="D528"/>
      <c r="E528"/>
      <c r="F528"/>
      <c r="G528"/>
      <c r="H528"/>
    </row>
    <row r="529" spans="2:8" x14ac:dyDescent="0.25">
      <c r="B529"/>
      <c r="C529"/>
      <c r="D529"/>
      <c r="E529"/>
      <c r="F529"/>
      <c r="G529"/>
      <c r="H529"/>
    </row>
    <row r="530" spans="2:8" x14ac:dyDescent="0.25">
      <c r="B530"/>
      <c r="C530"/>
      <c r="D530"/>
      <c r="E530"/>
      <c r="F530"/>
      <c r="G530"/>
      <c r="H530"/>
    </row>
    <row r="531" spans="2:8" x14ac:dyDescent="0.25">
      <c r="B531"/>
      <c r="C531"/>
      <c r="D531"/>
      <c r="E531"/>
      <c r="F531"/>
      <c r="G531"/>
      <c r="H531"/>
    </row>
    <row r="532" spans="2:8" x14ac:dyDescent="0.25">
      <c r="B532"/>
      <c r="C532"/>
      <c r="D532"/>
      <c r="E532"/>
      <c r="F532"/>
      <c r="G532"/>
      <c r="H532"/>
    </row>
    <row r="533" spans="2:8" x14ac:dyDescent="0.25">
      <c r="B533"/>
      <c r="C533"/>
      <c r="D533"/>
      <c r="E533"/>
      <c r="F533"/>
      <c r="G533"/>
      <c r="H533"/>
    </row>
    <row r="534" spans="2:8" x14ac:dyDescent="0.25">
      <c r="B534"/>
      <c r="C534"/>
      <c r="D534"/>
      <c r="E534"/>
      <c r="F534"/>
      <c r="G534"/>
      <c r="H534"/>
    </row>
    <row r="535" spans="2:8" x14ac:dyDescent="0.25">
      <c r="B535"/>
      <c r="C535"/>
      <c r="D535"/>
      <c r="E535"/>
      <c r="F535"/>
      <c r="G535"/>
      <c r="H535"/>
    </row>
    <row r="536" spans="2:8" x14ac:dyDescent="0.25">
      <c r="B536"/>
      <c r="C536"/>
      <c r="D536"/>
      <c r="E536"/>
      <c r="F536"/>
      <c r="G536"/>
      <c r="H536"/>
    </row>
    <row r="537" spans="2:8" x14ac:dyDescent="0.25">
      <c r="B537"/>
      <c r="C537"/>
      <c r="D537"/>
      <c r="E537"/>
      <c r="F537"/>
      <c r="G537"/>
      <c r="H537"/>
    </row>
    <row r="538" spans="2:8" x14ac:dyDescent="0.25">
      <c r="B538"/>
      <c r="C538"/>
      <c r="D538"/>
      <c r="E538"/>
      <c r="F538"/>
      <c r="G538"/>
      <c r="H538"/>
    </row>
    <row r="539" spans="2:8" x14ac:dyDescent="0.25">
      <c r="B539"/>
      <c r="C539"/>
      <c r="D539"/>
      <c r="E539"/>
      <c r="F539"/>
      <c r="G539"/>
      <c r="H539"/>
    </row>
    <row r="540" spans="2:8" x14ac:dyDescent="0.25">
      <c r="B540"/>
      <c r="C540"/>
      <c r="D540"/>
      <c r="E540"/>
      <c r="F540"/>
      <c r="G540"/>
      <c r="H540"/>
    </row>
    <row r="541" spans="2:8" x14ac:dyDescent="0.25">
      <c r="B541"/>
      <c r="C541"/>
      <c r="D541"/>
      <c r="E541"/>
      <c r="F541"/>
      <c r="G541"/>
      <c r="H541"/>
    </row>
    <row r="542" spans="2:8" x14ac:dyDescent="0.25">
      <c r="B542"/>
      <c r="C542"/>
      <c r="D542"/>
      <c r="E542"/>
      <c r="F542"/>
      <c r="G542"/>
      <c r="H542"/>
    </row>
    <row r="543" spans="2:8" x14ac:dyDescent="0.25">
      <c r="B543"/>
      <c r="C543"/>
      <c r="D543"/>
      <c r="E543"/>
      <c r="F543"/>
      <c r="G543"/>
      <c r="H543"/>
    </row>
    <row r="544" spans="2:8" x14ac:dyDescent="0.25">
      <c r="B544"/>
      <c r="C544"/>
      <c r="D544"/>
      <c r="E544"/>
      <c r="F544"/>
      <c r="G544"/>
      <c r="H544"/>
    </row>
    <row r="545" spans="2:8" x14ac:dyDescent="0.25">
      <c r="B545"/>
      <c r="C545"/>
      <c r="D545"/>
      <c r="E545"/>
      <c r="F545"/>
      <c r="G545"/>
      <c r="H545"/>
    </row>
    <row r="546" spans="2:8" x14ac:dyDescent="0.25">
      <c r="B546"/>
      <c r="C546"/>
      <c r="D546"/>
      <c r="E546"/>
      <c r="F546"/>
      <c r="G546"/>
      <c r="H546"/>
    </row>
    <row r="547" spans="2:8" x14ac:dyDescent="0.25">
      <c r="B547"/>
      <c r="C547"/>
      <c r="D547"/>
      <c r="E547"/>
      <c r="F547"/>
      <c r="G547"/>
      <c r="H547"/>
    </row>
    <row r="548" spans="2:8" x14ac:dyDescent="0.25">
      <c r="B548"/>
      <c r="C548"/>
      <c r="D548"/>
      <c r="E548"/>
      <c r="F548"/>
      <c r="G548"/>
      <c r="H548"/>
    </row>
    <row r="549" spans="2:8" x14ac:dyDescent="0.25">
      <c r="B549"/>
      <c r="C549"/>
      <c r="D549"/>
      <c r="E549"/>
      <c r="F549"/>
      <c r="G549"/>
      <c r="H549"/>
    </row>
    <row r="550" spans="2:8" x14ac:dyDescent="0.25">
      <c r="B550"/>
      <c r="C550"/>
      <c r="D550"/>
      <c r="E550"/>
      <c r="F550"/>
      <c r="G550"/>
      <c r="H550"/>
    </row>
    <row r="551" spans="2:8" x14ac:dyDescent="0.25">
      <c r="B551"/>
      <c r="C551"/>
      <c r="D551"/>
      <c r="E551"/>
      <c r="F551"/>
      <c r="G551"/>
      <c r="H551"/>
    </row>
    <row r="552" spans="2:8" x14ac:dyDescent="0.25">
      <c r="B552"/>
      <c r="C552"/>
      <c r="D552"/>
      <c r="E552"/>
      <c r="F552"/>
      <c r="G552"/>
      <c r="H552"/>
    </row>
    <row r="553" spans="2:8" x14ac:dyDescent="0.25">
      <c r="B553"/>
      <c r="C553"/>
      <c r="D553"/>
      <c r="E553"/>
      <c r="F553"/>
      <c r="G553"/>
      <c r="H553"/>
    </row>
    <row r="554" spans="2:8" x14ac:dyDescent="0.25">
      <c r="B554"/>
      <c r="C554"/>
      <c r="D554"/>
      <c r="E554"/>
      <c r="F554"/>
      <c r="G554"/>
      <c r="H554"/>
    </row>
    <row r="555" spans="2:8" x14ac:dyDescent="0.25">
      <c r="B555"/>
      <c r="C555"/>
      <c r="D555"/>
      <c r="E555"/>
      <c r="F555"/>
      <c r="G555"/>
      <c r="H555"/>
    </row>
    <row r="556" spans="2:8" x14ac:dyDescent="0.25">
      <c r="B556"/>
      <c r="C556"/>
      <c r="D556"/>
      <c r="E556"/>
      <c r="F556"/>
      <c r="G556"/>
      <c r="H556"/>
    </row>
    <row r="557" spans="2:8" x14ac:dyDescent="0.25">
      <c r="B557"/>
      <c r="C557"/>
      <c r="D557"/>
      <c r="E557"/>
      <c r="F557"/>
      <c r="G557"/>
      <c r="H557"/>
    </row>
    <row r="558" spans="2:8" x14ac:dyDescent="0.25">
      <c r="B558"/>
      <c r="C558"/>
      <c r="D558"/>
      <c r="E558"/>
      <c r="F558"/>
      <c r="G558"/>
      <c r="H558"/>
    </row>
    <row r="559" spans="2:8" x14ac:dyDescent="0.25">
      <c r="B559"/>
      <c r="C559"/>
      <c r="D559"/>
      <c r="E559"/>
      <c r="F559"/>
      <c r="G559"/>
      <c r="H559"/>
    </row>
    <row r="560" spans="2:8" x14ac:dyDescent="0.25">
      <c r="B560"/>
      <c r="C560"/>
      <c r="D560"/>
      <c r="E560"/>
      <c r="F560"/>
      <c r="G560"/>
      <c r="H560"/>
    </row>
    <row r="561" spans="2:8" x14ac:dyDescent="0.25">
      <c r="B561"/>
      <c r="C561"/>
      <c r="D561"/>
      <c r="E561"/>
      <c r="F561"/>
      <c r="G561"/>
      <c r="H561"/>
    </row>
    <row r="562" spans="2:8" x14ac:dyDescent="0.25">
      <c r="B562"/>
      <c r="C562"/>
      <c r="D562"/>
      <c r="E562"/>
      <c r="F562"/>
      <c r="G562"/>
      <c r="H562"/>
    </row>
    <row r="563" spans="2:8" x14ac:dyDescent="0.25">
      <c r="B563"/>
      <c r="C563"/>
      <c r="D563"/>
      <c r="E563"/>
      <c r="F563"/>
      <c r="G563"/>
      <c r="H563"/>
    </row>
    <row r="564" spans="2:8" x14ac:dyDescent="0.25">
      <c r="B564"/>
      <c r="C564"/>
      <c r="D564"/>
      <c r="E564"/>
      <c r="F564"/>
      <c r="G564"/>
      <c r="H564"/>
    </row>
    <row r="565" spans="2:8" x14ac:dyDescent="0.25">
      <c r="B565"/>
      <c r="C565"/>
      <c r="D565"/>
      <c r="E565"/>
      <c r="F565"/>
      <c r="G565"/>
      <c r="H565"/>
    </row>
    <row r="566" spans="2:8" x14ac:dyDescent="0.25">
      <c r="B566"/>
      <c r="C566"/>
      <c r="D566"/>
      <c r="E566"/>
      <c r="F566"/>
      <c r="G566"/>
      <c r="H566"/>
    </row>
    <row r="567" spans="2:8" x14ac:dyDescent="0.25">
      <c r="B567"/>
      <c r="C567"/>
      <c r="D567"/>
      <c r="E567"/>
      <c r="F567"/>
      <c r="G567"/>
      <c r="H567"/>
    </row>
    <row r="568" spans="2:8" x14ac:dyDescent="0.25">
      <c r="B568"/>
      <c r="C568"/>
      <c r="D568"/>
      <c r="E568"/>
      <c r="F568"/>
      <c r="G568"/>
      <c r="H568"/>
    </row>
    <row r="569" spans="2:8" x14ac:dyDescent="0.25">
      <c r="B569"/>
      <c r="C569"/>
      <c r="D569"/>
      <c r="E569"/>
      <c r="F569"/>
      <c r="G569"/>
      <c r="H569"/>
    </row>
    <row r="570" spans="2:8" x14ac:dyDescent="0.25">
      <c r="B570"/>
      <c r="C570"/>
      <c r="D570"/>
      <c r="E570"/>
      <c r="F570"/>
      <c r="G570"/>
      <c r="H570"/>
    </row>
    <row r="571" spans="2:8" x14ac:dyDescent="0.25">
      <c r="B571"/>
      <c r="C571"/>
      <c r="D571"/>
      <c r="E571"/>
      <c r="F571"/>
      <c r="G571"/>
      <c r="H571"/>
    </row>
    <row r="572" spans="2:8" x14ac:dyDescent="0.25">
      <c r="B572"/>
      <c r="C572"/>
      <c r="D572"/>
      <c r="E572"/>
      <c r="F572"/>
      <c r="G572"/>
      <c r="H572"/>
    </row>
    <row r="573" spans="2:8" x14ac:dyDescent="0.25">
      <c r="B573"/>
      <c r="C573"/>
      <c r="D573"/>
      <c r="E573"/>
      <c r="F573"/>
      <c r="G573"/>
      <c r="H573"/>
    </row>
    <row r="574" spans="2:8" x14ac:dyDescent="0.25">
      <c r="B574"/>
      <c r="C574"/>
      <c r="D574"/>
      <c r="E574"/>
      <c r="F574"/>
      <c r="G574"/>
      <c r="H574"/>
    </row>
    <row r="575" spans="2:8" x14ac:dyDescent="0.25">
      <c r="B575"/>
      <c r="C575"/>
      <c r="D575"/>
      <c r="E575"/>
      <c r="F575"/>
      <c r="G575"/>
      <c r="H575"/>
    </row>
    <row r="576" spans="2:8" x14ac:dyDescent="0.25">
      <c r="B576"/>
      <c r="C576"/>
      <c r="D576"/>
      <c r="E576"/>
      <c r="F576"/>
      <c r="G576"/>
      <c r="H576"/>
    </row>
    <row r="577" spans="2:8" x14ac:dyDescent="0.25">
      <c r="B577"/>
      <c r="C577"/>
      <c r="D577"/>
      <c r="E577"/>
      <c r="F577"/>
      <c r="G577"/>
      <c r="H577"/>
    </row>
    <row r="578" spans="2:8" x14ac:dyDescent="0.25">
      <c r="B578"/>
      <c r="C578"/>
      <c r="D578"/>
      <c r="E578"/>
      <c r="F578"/>
      <c r="G578"/>
      <c r="H578"/>
    </row>
    <row r="579" spans="2:8" x14ac:dyDescent="0.25">
      <c r="B579"/>
      <c r="C579"/>
      <c r="D579"/>
      <c r="E579"/>
      <c r="F579"/>
      <c r="G579"/>
      <c r="H579"/>
    </row>
    <row r="580" spans="2:8" x14ac:dyDescent="0.25">
      <c r="B580"/>
      <c r="C580"/>
      <c r="D580"/>
      <c r="E580"/>
      <c r="F580"/>
      <c r="G580"/>
      <c r="H580"/>
    </row>
    <row r="581" spans="2:8" x14ac:dyDescent="0.25">
      <c r="B581"/>
      <c r="C581"/>
      <c r="D581"/>
      <c r="E581"/>
      <c r="F581"/>
      <c r="G581"/>
      <c r="H581"/>
    </row>
    <row r="582" spans="2:8" x14ac:dyDescent="0.25">
      <c r="B582"/>
      <c r="C582"/>
      <c r="D582"/>
      <c r="E582"/>
      <c r="F582"/>
      <c r="G582"/>
      <c r="H582"/>
    </row>
    <row r="583" spans="2:8" x14ac:dyDescent="0.25">
      <c r="B583"/>
      <c r="C583"/>
      <c r="D583"/>
      <c r="E583"/>
      <c r="F583"/>
      <c r="G583"/>
      <c r="H583"/>
    </row>
    <row r="584" spans="2:8" x14ac:dyDescent="0.25">
      <c r="B584"/>
      <c r="C584"/>
      <c r="D584"/>
      <c r="E584"/>
      <c r="F584"/>
      <c r="G584"/>
      <c r="H584"/>
    </row>
    <row r="585" spans="2:8" x14ac:dyDescent="0.25">
      <c r="B585"/>
      <c r="C585"/>
      <c r="D585"/>
      <c r="E585"/>
      <c r="F585"/>
      <c r="G585"/>
      <c r="H585"/>
    </row>
    <row r="586" spans="2:8" x14ac:dyDescent="0.25">
      <c r="B586"/>
      <c r="C586"/>
      <c r="D586"/>
      <c r="E586"/>
      <c r="F586"/>
      <c r="G586"/>
      <c r="H586"/>
    </row>
    <row r="587" spans="2:8" x14ac:dyDescent="0.25">
      <c r="B587"/>
      <c r="C587"/>
      <c r="D587"/>
      <c r="E587"/>
      <c r="F587"/>
      <c r="G587"/>
      <c r="H587"/>
    </row>
    <row r="588" spans="2:8" x14ac:dyDescent="0.25">
      <c r="B588"/>
      <c r="C588"/>
      <c r="D588"/>
      <c r="E588"/>
      <c r="F588"/>
      <c r="G588"/>
      <c r="H588"/>
    </row>
    <row r="589" spans="2:8" x14ac:dyDescent="0.25">
      <c r="B589"/>
      <c r="C589"/>
      <c r="D589"/>
      <c r="E589"/>
      <c r="F589"/>
      <c r="G589"/>
      <c r="H589"/>
    </row>
    <row r="590" spans="2:8" x14ac:dyDescent="0.25">
      <c r="B590"/>
      <c r="C590"/>
      <c r="D590"/>
      <c r="E590"/>
      <c r="F590"/>
      <c r="G590"/>
      <c r="H590"/>
    </row>
    <row r="591" spans="2:8" x14ac:dyDescent="0.25">
      <c r="B591"/>
      <c r="C591"/>
      <c r="D591"/>
      <c r="E591"/>
      <c r="F591"/>
      <c r="G591"/>
      <c r="H591"/>
    </row>
    <row r="592" spans="2:8" x14ac:dyDescent="0.25">
      <c r="B592"/>
      <c r="C592"/>
      <c r="D592"/>
      <c r="E592"/>
      <c r="F592"/>
      <c r="G592"/>
      <c r="H592"/>
    </row>
    <row r="593" spans="2:8" x14ac:dyDescent="0.25">
      <c r="B593"/>
      <c r="C593"/>
      <c r="D593"/>
      <c r="E593"/>
      <c r="F593"/>
      <c r="G593"/>
      <c r="H593"/>
    </row>
    <row r="594" spans="2:8" x14ac:dyDescent="0.25">
      <c r="B594"/>
      <c r="C594"/>
      <c r="D594"/>
      <c r="E594"/>
      <c r="F594"/>
      <c r="G594"/>
      <c r="H594"/>
    </row>
    <row r="595" spans="2:8" x14ac:dyDescent="0.25">
      <c r="B595"/>
      <c r="C595"/>
      <c r="D595"/>
      <c r="E595"/>
      <c r="F595"/>
      <c r="G595"/>
      <c r="H595"/>
    </row>
    <row r="596" spans="2:8" x14ac:dyDescent="0.25">
      <c r="B596"/>
      <c r="C596"/>
      <c r="D596"/>
      <c r="E596"/>
      <c r="F596"/>
      <c r="G596"/>
      <c r="H596"/>
    </row>
    <row r="597" spans="2:8" x14ac:dyDescent="0.25">
      <c r="B597"/>
      <c r="C597"/>
      <c r="D597"/>
      <c r="E597"/>
      <c r="F597"/>
      <c r="G597"/>
      <c r="H597"/>
    </row>
    <row r="598" spans="2:8" x14ac:dyDescent="0.25">
      <c r="B598"/>
      <c r="C598"/>
      <c r="D598"/>
      <c r="E598"/>
      <c r="F598"/>
      <c r="G598"/>
      <c r="H598"/>
    </row>
    <row r="599" spans="2:8" x14ac:dyDescent="0.25">
      <c r="B599"/>
      <c r="C599"/>
      <c r="D599"/>
      <c r="E599"/>
      <c r="F599"/>
      <c r="G599"/>
      <c r="H599"/>
    </row>
    <row r="600" spans="2:8" x14ac:dyDescent="0.25">
      <c r="B600"/>
      <c r="C600"/>
      <c r="D600"/>
      <c r="E600"/>
      <c r="F600"/>
      <c r="G600"/>
      <c r="H600"/>
    </row>
    <row r="601" spans="2:8" x14ac:dyDescent="0.25">
      <c r="B601"/>
      <c r="C601"/>
      <c r="D601"/>
      <c r="E601"/>
      <c r="F601"/>
      <c r="G601"/>
      <c r="H601"/>
    </row>
    <row r="602" spans="2:8" x14ac:dyDescent="0.25">
      <c r="B602"/>
      <c r="C602"/>
      <c r="D602"/>
      <c r="E602"/>
      <c r="F602"/>
      <c r="G602"/>
      <c r="H602"/>
    </row>
    <row r="603" spans="2:8" x14ac:dyDescent="0.25">
      <c r="B603"/>
      <c r="C603"/>
      <c r="D603"/>
      <c r="E603"/>
      <c r="F603"/>
      <c r="G603"/>
      <c r="H603"/>
    </row>
    <row r="604" spans="2:8" x14ac:dyDescent="0.25">
      <c r="B604"/>
      <c r="C604"/>
      <c r="D604"/>
      <c r="E604"/>
      <c r="F604"/>
      <c r="G604"/>
      <c r="H604"/>
    </row>
    <row r="605" spans="2:8" x14ac:dyDescent="0.25">
      <c r="B605"/>
      <c r="C605"/>
      <c r="D605"/>
      <c r="E605"/>
      <c r="F605"/>
      <c r="G605"/>
      <c r="H605"/>
    </row>
    <row r="606" spans="2:8" x14ac:dyDescent="0.25">
      <c r="B606"/>
      <c r="C606"/>
      <c r="D606"/>
      <c r="E606"/>
      <c r="F606"/>
      <c r="G606"/>
      <c r="H606"/>
    </row>
    <row r="607" spans="2:8" x14ac:dyDescent="0.25">
      <c r="B607"/>
      <c r="C607"/>
      <c r="D607"/>
      <c r="E607"/>
      <c r="F607"/>
      <c r="G607"/>
      <c r="H607"/>
    </row>
    <row r="608" spans="2:8" x14ac:dyDescent="0.25">
      <c r="B608"/>
      <c r="C608"/>
      <c r="D608"/>
      <c r="E608"/>
      <c r="F608"/>
      <c r="G608"/>
      <c r="H608"/>
    </row>
    <row r="609" spans="2:8" x14ac:dyDescent="0.25">
      <c r="B609"/>
      <c r="C609"/>
      <c r="D609"/>
      <c r="E609"/>
      <c r="F609"/>
      <c r="G609"/>
      <c r="H609"/>
    </row>
    <row r="610" spans="2:8" x14ac:dyDescent="0.25">
      <c r="B610"/>
      <c r="C610"/>
      <c r="D610"/>
      <c r="E610"/>
      <c r="F610"/>
      <c r="G610"/>
      <c r="H610"/>
    </row>
    <row r="611" spans="2:8" x14ac:dyDescent="0.25">
      <c r="B611"/>
      <c r="C611"/>
      <c r="D611"/>
      <c r="E611"/>
      <c r="F611"/>
      <c r="G611"/>
      <c r="H611"/>
    </row>
    <row r="612" spans="2:8" x14ac:dyDescent="0.25">
      <c r="B612"/>
      <c r="C612"/>
      <c r="D612"/>
      <c r="E612"/>
      <c r="F612"/>
      <c r="G612"/>
      <c r="H612"/>
    </row>
    <row r="613" spans="2:8" x14ac:dyDescent="0.25">
      <c r="B613"/>
      <c r="C613"/>
      <c r="D613"/>
      <c r="E613"/>
      <c r="F613"/>
      <c r="G613"/>
      <c r="H613"/>
    </row>
    <row r="614" spans="2:8" x14ac:dyDescent="0.25">
      <c r="B614"/>
      <c r="C614"/>
      <c r="D614"/>
      <c r="E614"/>
      <c r="F614"/>
      <c r="G614"/>
      <c r="H614"/>
    </row>
    <row r="615" spans="2:8" x14ac:dyDescent="0.25">
      <c r="B615"/>
      <c r="C615"/>
      <c r="D615"/>
      <c r="E615"/>
      <c r="F615"/>
      <c r="G615"/>
      <c r="H615"/>
    </row>
    <row r="616" spans="2:8" x14ac:dyDescent="0.25">
      <c r="B616"/>
      <c r="C616"/>
      <c r="D616"/>
      <c r="E616"/>
      <c r="F616"/>
      <c r="G616"/>
      <c r="H616"/>
    </row>
    <row r="617" spans="2:8" x14ac:dyDescent="0.25">
      <c r="B617"/>
      <c r="C617"/>
      <c r="D617"/>
      <c r="E617"/>
      <c r="F617"/>
      <c r="G617"/>
      <c r="H617"/>
    </row>
    <row r="618" spans="2:8" x14ac:dyDescent="0.25">
      <c r="B618"/>
      <c r="C618"/>
      <c r="D618"/>
      <c r="E618"/>
      <c r="F618"/>
      <c r="G618"/>
      <c r="H618"/>
    </row>
    <row r="619" spans="2:8" x14ac:dyDescent="0.25">
      <c r="B619"/>
      <c r="C619"/>
      <c r="D619"/>
      <c r="E619"/>
      <c r="F619"/>
      <c r="G619"/>
      <c r="H619"/>
    </row>
    <row r="620" spans="2:8" x14ac:dyDescent="0.25">
      <c r="B620"/>
      <c r="C620"/>
      <c r="D620"/>
      <c r="E620"/>
      <c r="F620"/>
      <c r="G620"/>
      <c r="H620"/>
    </row>
    <row r="621" spans="2:8" x14ac:dyDescent="0.25">
      <c r="B621"/>
      <c r="C621"/>
      <c r="D621"/>
      <c r="E621"/>
      <c r="F621"/>
      <c r="G621"/>
      <c r="H621"/>
    </row>
    <row r="622" spans="2:8" x14ac:dyDescent="0.25">
      <c r="B622"/>
      <c r="C622"/>
      <c r="D622"/>
      <c r="E622"/>
      <c r="F622"/>
      <c r="G622"/>
      <c r="H622"/>
    </row>
    <row r="623" spans="2:8" x14ac:dyDescent="0.25">
      <c r="B623"/>
      <c r="C623"/>
      <c r="D623"/>
      <c r="E623"/>
      <c r="F623"/>
      <c r="G623"/>
      <c r="H623"/>
    </row>
    <row r="624" spans="2:8" x14ac:dyDescent="0.25">
      <c r="B624"/>
      <c r="C624"/>
      <c r="D624"/>
      <c r="E624"/>
      <c r="F624"/>
      <c r="G624"/>
      <c r="H624"/>
    </row>
    <row r="625" spans="2:8" x14ac:dyDescent="0.25">
      <c r="B625"/>
      <c r="C625"/>
      <c r="D625"/>
      <c r="E625"/>
      <c r="F625"/>
      <c r="G625"/>
      <c r="H625"/>
    </row>
    <row r="626" spans="2:8" x14ac:dyDescent="0.25">
      <c r="B626"/>
      <c r="C626"/>
      <c r="D626"/>
      <c r="E626"/>
      <c r="F626"/>
      <c r="G626"/>
      <c r="H626"/>
    </row>
    <row r="627" spans="2:8" x14ac:dyDescent="0.25">
      <c r="B627"/>
      <c r="C627"/>
      <c r="D627"/>
      <c r="E627"/>
      <c r="F627"/>
      <c r="G627"/>
      <c r="H627"/>
    </row>
    <row r="628" spans="2:8" x14ac:dyDescent="0.25">
      <c r="B628"/>
      <c r="C628"/>
      <c r="D628"/>
      <c r="E628"/>
      <c r="F628"/>
      <c r="G628"/>
      <c r="H628"/>
    </row>
    <row r="629" spans="2:8" x14ac:dyDescent="0.25">
      <c r="B629"/>
      <c r="C629"/>
      <c r="D629"/>
      <c r="E629"/>
      <c r="F629"/>
      <c r="G629"/>
      <c r="H629"/>
    </row>
    <row r="630" spans="2:8" x14ac:dyDescent="0.25">
      <c r="B630"/>
      <c r="C630"/>
      <c r="D630"/>
      <c r="E630"/>
      <c r="F630"/>
      <c r="G630"/>
      <c r="H630"/>
    </row>
    <row r="631" spans="2:8" x14ac:dyDescent="0.25">
      <c r="B631"/>
      <c r="C631"/>
      <c r="D631"/>
      <c r="E631"/>
      <c r="F631"/>
      <c r="G631"/>
      <c r="H631"/>
    </row>
    <row r="632" spans="2:8" x14ac:dyDescent="0.25">
      <c r="B632"/>
      <c r="C632"/>
      <c r="D632"/>
      <c r="E632"/>
      <c r="F632"/>
      <c r="G632"/>
      <c r="H632"/>
    </row>
    <row r="633" spans="2:8" x14ac:dyDescent="0.25">
      <c r="B633"/>
      <c r="C633"/>
      <c r="D633"/>
      <c r="E633"/>
      <c r="F633"/>
      <c r="G633"/>
      <c r="H633"/>
    </row>
    <row r="634" spans="2:8" x14ac:dyDescent="0.25">
      <c r="B634"/>
      <c r="C634"/>
      <c r="D634"/>
      <c r="E634"/>
      <c r="F634"/>
      <c r="G634"/>
      <c r="H634"/>
    </row>
    <row r="635" spans="2:8" x14ac:dyDescent="0.25">
      <c r="B635"/>
      <c r="C635"/>
      <c r="D635"/>
      <c r="E635"/>
      <c r="F635"/>
      <c r="G635"/>
      <c r="H635"/>
    </row>
    <row r="636" spans="2:8" x14ac:dyDescent="0.25">
      <c r="B636"/>
      <c r="C636"/>
      <c r="D636"/>
      <c r="E636"/>
      <c r="F636"/>
      <c r="G636"/>
      <c r="H636"/>
    </row>
    <row r="637" spans="2:8" x14ac:dyDescent="0.25">
      <c r="B637"/>
      <c r="C637"/>
      <c r="D637"/>
      <c r="E637"/>
      <c r="F637"/>
      <c r="G637"/>
      <c r="H637"/>
    </row>
    <row r="638" spans="2:8" x14ac:dyDescent="0.25">
      <c r="B638"/>
      <c r="C638"/>
      <c r="D638"/>
      <c r="E638"/>
      <c r="F638"/>
      <c r="G638"/>
      <c r="H638"/>
    </row>
    <row r="639" spans="2:8" x14ac:dyDescent="0.25">
      <c r="B639"/>
      <c r="C639"/>
      <c r="D639"/>
      <c r="E639"/>
      <c r="F639"/>
      <c r="G639"/>
      <c r="H639"/>
    </row>
    <row r="640" spans="2:8" x14ac:dyDescent="0.25">
      <c r="B640"/>
      <c r="C640"/>
      <c r="D640"/>
      <c r="E640"/>
      <c r="F640"/>
      <c r="G640"/>
      <c r="H640"/>
    </row>
    <row r="641" spans="2:8" x14ac:dyDescent="0.25">
      <c r="B641"/>
      <c r="C641"/>
      <c r="D641"/>
      <c r="E641"/>
      <c r="F641"/>
      <c r="G641"/>
      <c r="H641"/>
    </row>
    <row r="642" spans="2:8" x14ac:dyDescent="0.25">
      <c r="B642"/>
      <c r="C642"/>
      <c r="D642"/>
      <c r="E642"/>
      <c r="F642"/>
      <c r="G642"/>
      <c r="H642"/>
    </row>
    <row r="643" spans="2:8" x14ac:dyDescent="0.25">
      <c r="B643"/>
      <c r="C643"/>
      <c r="D643"/>
      <c r="E643"/>
      <c r="F643"/>
      <c r="G643"/>
      <c r="H643"/>
    </row>
    <row r="644" spans="2:8" x14ac:dyDescent="0.25">
      <c r="B644"/>
      <c r="C644"/>
      <c r="D644"/>
      <c r="E644"/>
      <c r="F644"/>
      <c r="G644"/>
      <c r="H644"/>
    </row>
    <row r="645" spans="2:8" x14ac:dyDescent="0.25">
      <c r="B645"/>
      <c r="C645"/>
      <c r="D645"/>
      <c r="E645"/>
      <c r="F645"/>
      <c r="G645"/>
      <c r="H645"/>
    </row>
    <row r="646" spans="2:8" x14ac:dyDescent="0.25">
      <c r="B646"/>
      <c r="C646"/>
      <c r="D646"/>
      <c r="E646"/>
      <c r="F646"/>
      <c r="G646"/>
      <c r="H646"/>
    </row>
    <row r="647" spans="2:8" x14ac:dyDescent="0.25">
      <c r="B647"/>
      <c r="C647"/>
      <c r="D647"/>
      <c r="E647"/>
      <c r="F647"/>
      <c r="G647"/>
      <c r="H647"/>
    </row>
    <row r="648" spans="2:8" x14ac:dyDescent="0.25">
      <c r="B648"/>
      <c r="C648"/>
      <c r="D648"/>
      <c r="E648"/>
      <c r="F648"/>
      <c r="G648"/>
      <c r="H648"/>
    </row>
    <row r="649" spans="2:8" x14ac:dyDescent="0.25">
      <c r="B649"/>
      <c r="C649"/>
      <c r="D649"/>
      <c r="E649"/>
      <c r="F649"/>
      <c r="G649"/>
      <c r="H649"/>
    </row>
    <row r="650" spans="2:8" x14ac:dyDescent="0.25">
      <c r="B650"/>
      <c r="C650"/>
      <c r="D650"/>
      <c r="E650"/>
      <c r="F650"/>
      <c r="G650"/>
      <c r="H650"/>
    </row>
    <row r="651" spans="2:8" x14ac:dyDescent="0.25">
      <c r="B651"/>
      <c r="C651"/>
      <c r="D651"/>
      <c r="E651"/>
      <c r="F651"/>
      <c r="G651"/>
      <c r="H651"/>
    </row>
    <row r="652" spans="2:8" x14ac:dyDescent="0.25">
      <c r="B652"/>
      <c r="C652"/>
      <c r="D652"/>
      <c r="E652"/>
      <c r="F652"/>
      <c r="G652"/>
      <c r="H652"/>
    </row>
    <row r="653" spans="2:8" x14ac:dyDescent="0.25">
      <c r="B653"/>
      <c r="C653"/>
      <c r="D653"/>
      <c r="E653"/>
      <c r="F653"/>
      <c r="G653"/>
      <c r="H653"/>
    </row>
    <row r="654" spans="2:8" x14ac:dyDescent="0.25">
      <c r="B654"/>
      <c r="C654"/>
      <c r="D654"/>
      <c r="E654"/>
      <c r="F654"/>
      <c r="G654"/>
      <c r="H654"/>
    </row>
    <row r="655" spans="2:8" x14ac:dyDescent="0.25">
      <c r="B655"/>
      <c r="C655"/>
      <c r="D655"/>
      <c r="E655"/>
      <c r="F655"/>
      <c r="G655"/>
      <c r="H655"/>
    </row>
    <row r="656" spans="2:8" x14ac:dyDescent="0.25">
      <c r="B656"/>
      <c r="C656"/>
      <c r="D656"/>
      <c r="E656"/>
      <c r="F656"/>
      <c r="G656"/>
      <c r="H656"/>
    </row>
    <row r="657" spans="2:8" x14ac:dyDescent="0.25">
      <c r="B657"/>
      <c r="C657"/>
      <c r="D657"/>
      <c r="E657"/>
      <c r="F657"/>
      <c r="G657"/>
      <c r="H657"/>
    </row>
    <row r="658" spans="2:8" x14ac:dyDescent="0.25">
      <c r="B658"/>
      <c r="C658"/>
      <c r="D658"/>
      <c r="E658"/>
      <c r="F658"/>
      <c r="G658"/>
      <c r="H658"/>
    </row>
    <row r="659" spans="2:8" x14ac:dyDescent="0.25">
      <c r="B659"/>
      <c r="C659"/>
      <c r="D659"/>
      <c r="E659"/>
      <c r="F659"/>
      <c r="G659"/>
      <c r="H659"/>
    </row>
    <row r="660" spans="2:8" x14ac:dyDescent="0.25">
      <c r="B660"/>
      <c r="C660"/>
      <c r="D660"/>
      <c r="E660"/>
      <c r="F660"/>
      <c r="G660"/>
      <c r="H660"/>
    </row>
    <row r="661" spans="2:8" x14ac:dyDescent="0.25">
      <c r="B661"/>
      <c r="C661"/>
      <c r="D661"/>
      <c r="E661"/>
      <c r="F661"/>
      <c r="G661"/>
      <c r="H661"/>
    </row>
    <row r="662" spans="2:8" x14ac:dyDescent="0.25">
      <c r="B662"/>
      <c r="C662"/>
      <c r="D662"/>
      <c r="E662"/>
      <c r="F662"/>
      <c r="G662"/>
      <c r="H662"/>
    </row>
    <row r="663" spans="2:8" x14ac:dyDescent="0.25">
      <c r="B663"/>
      <c r="C663"/>
      <c r="D663"/>
      <c r="E663"/>
      <c r="F663"/>
      <c r="G663"/>
      <c r="H663"/>
    </row>
    <row r="664" spans="2:8" x14ac:dyDescent="0.25">
      <c r="B664"/>
      <c r="C664"/>
      <c r="D664"/>
      <c r="E664"/>
      <c r="F664"/>
      <c r="G664"/>
      <c r="H664"/>
    </row>
    <row r="665" spans="2:8" x14ac:dyDescent="0.25">
      <c r="B665"/>
      <c r="C665"/>
      <c r="D665"/>
      <c r="E665"/>
      <c r="F665"/>
      <c r="G665"/>
      <c r="H665"/>
    </row>
    <row r="666" spans="2:8" x14ac:dyDescent="0.25">
      <c r="B666"/>
      <c r="C666"/>
      <c r="D666"/>
      <c r="E666"/>
      <c r="F666"/>
      <c r="G666"/>
      <c r="H666"/>
    </row>
    <row r="667" spans="2:8" x14ac:dyDescent="0.25">
      <c r="B667"/>
      <c r="C667"/>
      <c r="D667"/>
      <c r="E667"/>
      <c r="F667"/>
      <c r="G667"/>
      <c r="H667"/>
    </row>
    <row r="668" spans="2:8" x14ac:dyDescent="0.25">
      <c r="B668"/>
      <c r="C668"/>
      <c r="D668"/>
      <c r="E668"/>
      <c r="F668"/>
      <c r="G668"/>
      <c r="H668"/>
    </row>
    <row r="669" spans="2:8" x14ac:dyDescent="0.25">
      <c r="B669"/>
      <c r="C669"/>
      <c r="D669"/>
      <c r="E669"/>
      <c r="F669"/>
      <c r="G669"/>
      <c r="H669"/>
    </row>
    <row r="670" spans="2:8" x14ac:dyDescent="0.25">
      <c r="B670"/>
      <c r="C670"/>
      <c r="D670"/>
      <c r="E670"/>
      <c r="F670"/>
      <c r="G670"/>
      <c r="H670"/>
    </row>
    <row r="671" spans="2:8" x14ac:dyDescent="0.25">
      <c r="B671"/>
      <c r="C671"/>
      <c r="D671"/>
      <c r="E671"/>
      <c r="F671"/>
      <c r="G671"/>
      <c r="H671"/>
    </row>
    <row r="672" spans="2:8" x14ac:dyDescent="0.25">
      <c r="B672"/>
      <c r="C672"/>
      <c r="D672"/>
      <c r="E672"/>
      <c r="F672"/>
      <c r="G672"/>
      <c r="H672"/>
    </row>
    <row r="673" spans="2:8" x14ac:dyDescent="0.25">
      <c r="B673"/>
      <c r="C673"/>
      <c r="D673"/>
      <c r="E673"/>
      <c r="F673"/>
      <c r="G673"/>
      <c r="H673"/>
    </row>
    <row r="674" spans="2:8" x14ac:dyDescent="0.25">
      <c r="B674"/>
      <c r="C674"/>
      <c r="D674"/>
      <c r="E674"/>
      <c r="F674"/>
      <c r="G674"/>
      <c r="H674"/>
    </row>
    <row r="675" spans="2:8" x14ac:dyDescent="0.25">
      <c r="B675"/>
      <c r="C675"/>
      <c r="D675"/>
      <c r="E675"/>
      <c r="F675"/>
      <c r="G675"/>
      <c r="H675"/>
    </row>
    <row r="676" spans="2:8" x14ac:dyDescent="0.25">
      <c r="B676"/>
      <c r="C676"/>
      <c r="D676"/>
      <c r="E676"/>
      <c r="F676"/>
      <c r="G676"/>
      <c r="H676"/>
    </row>
    <row r="677" spans="2:8" x14ac:dyDescent="0.25">
      <c r="B677"/>
      <c r="C677"/>
      <c r="D677"/>
      <c r="E677"/>
      <c r="F677"/>
      <c r="G677"/>
      <c r="H677"/>
    </row>
    <row r="678" spans="2:8" x14ac:dyDescent="0.25">
      <c r="B678"/>
      <c r="C678"/>
      <c r="D678"/>
      <c r="E678"/>
      <c r="F678"/>
      <c r="G678"/>
      <c r="H678"/>
    </row>
    <row r="679" spans="2:8" x14ac:dyDescent="0.25">
      <c r="B679"/>
      <c r="C679"/>
      <c r="D679"/>
      <c r="E679"/>
      <c r="F679"/>
      <c r="G679"/>
      <c r="H679"/>
    </row>
    <row r="680" spans="2:8" x14ac:dyDescent="0.25">
      <c r="B680"/>
      <c r="C680"/>
      <c r="D680"/>
      <c r="E680"/>
      <c r="F680"/>
      <c r="G680"/>
      <c r="H680"/>
    </row>
    <row r="681" spans="2:8" x14ac:dyDescent="0.25">
      <c r="B681"/>
      <c r="C681"/>
      <c r="D681"/>
      <c r="E681"/>
      <c r="F681"/>
      <c r="G681"/>
      <c r="H681"/>
    </row>
    <row r="682" spans="2:8" x14ac:dyDescent="0.25">
      <c r="B682"/>
      <c r="C682"/>
      <c r="D682"/>
      <c r="E682"/>
      <c r="F682"/>
      <c r="G682"/>
      <c r="H682"/>
    </row>
    <row r="683" spans="2:8" x14ac:dyDescent="0.25">
      <c r="B683"/>
      <c r="C683"/>
      <c r="D683"/>
      <c r="E683"/>
      <c r="F683"/>
      <c r="G683"/>
      <c r="H683"/>
    </row>
    <row r="684" spans="2:8" x14ac:dyDescent="0.25">
      <c r="B684"/>
      <c r="C684"/>
      <c r="D684"/>
      <c r="E684"/>
      <c r="F684"/>
      <c r="G684"/>
      <c r="H684"/>
    </row>
    <row r="685" spans="2:8" x14ac:dyDescent="0.25">
      <c r="B685"/>
      <c r="C685"/>
      <c r="D685"/>
      <c r="E685"/>
      <c r="F685"/>
      <c r="G685"/>
      <c r="H685"/>
    </row>
    <row r="686" spans="2:8" x14ac:dyDescent="0.25">
      <c r="B686"/>
      <c r="C686"/>
      <c r="D686"/>
      <c r="E686"/>
      <c r="F686"/>
      <c r="G686"/>
      <c r="H686"/>
    </row>
    <row r="687" spans="2:8" x14ac:dyDescent="0.25">
      <c r="B687"/>
      <c r="C687"/>
      <c r="D687"/>
      <c r="E687"/>
      <c r="F687"/>
      <c r="G687"/>
      <c r="H687"/>
    </row>
    <row r="688" spans="2:8" x14ac:dyDescent="0.25">
      <c r="B688"/>
      <c r="C688"/>
      <c r="D688"/>
      <c r="E688"/>
      <c r="F688"/>
      <c r="G688"/>
      <c r="H688"/>
    </row>
    <row r="689" spans="2:8" x14ac:dyDescent="0.25">
      <c r="B689"/>
      <c r="C689"/>
      <c r="D689"/>
      <c r="E689"/>
      <c r="F689"/>
      <c r="G689"/>
      <c r="H689"/>
    </row>
    <row r="690" spans="2:8" x14ac:dyDescent="0.25">
      <c r="B690"/>
      <c r="C690"/>
      <c r="D690"/>
      <c r="E690"/>
      <c r="F690"/>
      <c r="G690"/>
      <c r="H690"/>
    </row>
    <row r="691" spans="2:8" x14ac:dyDescent="0.25">
      <c r="B691"/>
      <c r="C691"/>
      <c r="D691"/>
      <c r="E691"/>
      <c r="F691"/>
      <c r="G691"/>
      <c r="H691"/>
    </row>
    <row r="692" spans="2:8" x14ac:dyDescent="0.25">
      <c r="B692"/>
      <c r="C692"/>
      <c r="D692"/>
      <c r="E692"/>
      <c r="F692"/>
      <c r="G692"/>
      <c r="H692"/>
    </row>
    <row r="693" spans="2:8" x14ac:dyDescent="0.25">
      <c r="B693"/>
      <c r="C693"/>
      <c r="D693"/>
      <c r="E693"/>
      <c r="F693"/>
      <c r="G693"/>
      <c r="H693"/>
    </row>
    <row r="694" spans="2:8" x14ac:dyDescent="0.25">
      <c r="B694"/>
      <c r="C694"/>
      <c r="D694"/>
      <c r="E694"/>
      <c r="F694"/>
      <c r="G694"/>
      <c r="H694"/>
    </row>
    <row r="695" spans="2:8" x14ac:dyDescent="0.25">
      <c r="B695"/>
      <c r="C695"/>
      <c r="D695"/>
      <c r="E695"/>
      <c r="F695"/>
      <c r="G695"/>
      <c r="H695"/>
    </row>
    <row r="696" spans="2:8" x14ac:dyDescent="0.25">
      <c r="B696"/>
      <c r="C696"/>
      <c r="D696"/>
      <c r="E696"/>
      <c r="F696"/>
      <c r="G696"/>
      <c r="H696"/>
    </row>
    <row r="697" spans="2:8" x14ac:dyDescent="0.25">
      <c r="B697"/>
      <c r="C697"/>
      <c r="D697"/>
      <c r="E697"/>
      <c r="F697"/>
      <c r="G697"/>
      <c r="H697"/>
    </row>
    <row r="698" spans="2:8" x14ac:dyDescent="0.25">
      <c r="B698"/>
      <c r="C698"/>
      <c r="D698"/>
      <c r="E698"/>
      <c r="F698"/>
      <c r="G698"/>
      <c r="H698"/>
    </row>
    <row r="699" spans="2:8" x14ac:dyDescent="0.25">
      <c r="B699"/>
      <c r="C699"/>
      <c r="D699"/>
      <c r="E699"/>
      <c r="F699"/>
      <c r="G699"/>
      <c r="H699"/>
    </row>
    <row r="700" spans="2:8" x14ac:dyDescent="0.25">
      <c r="B700"/>
      <c r="C700"/>
      <c r="D700"/>
      <c r="E700"/>
      <c r="F700"/>
      <c r="G700"/>
      <c r="H700"/>
    </row>
    <row r="701" spans="2:8" x14ac:dyDescent="0.25">
      <c r="B701"/>
      <c r="C701"/>
      <c r="D701"/>
      <c r="E701"/>
      <c r="F701"/>
      <c r="G701"/>
      <c r="H701"/>
    </row>
    <row r="702" spans="2:8" x14ac:dyDescent="0.25">
      <c r="B702"/>
      <c r="C702"/>
      <c r="D702"/>
      <c r="E702"/>
      <c r="F702"/>
      <c r="G702"/>
      <c r="H702"/>
    </row>
    <row r="703" spans="2:8" x14ac:dyDescent="0.25">
      <c r="B703"/>
      <c r="C703"/>
      <c r="D703"/>
      <c r="E703"/>
      <c r="F703"/>
      <c r="G703"/>
      <c r="H703"/>
    </row>
    <row r="704" spans="2:8" x14ac:dyDescent="0.25">
      <c r="B704"/>
      <c r="C704"/>
      <c r="D704"/>
      <c r="E704"/>
      <c r="F704"/>
      <c r="G704"/>
      <c r="H704"/>
    </row>
    <row r="705" spans="2:8" x14ac:dyDescent="0.25">
      <c r="B705"/>
      <c r="C705"/>
      <c r="D705"/>
      <c r="E705"/>
      <c r="F705"/>
      <c r="G705"/>
      <c r="H705"/>
    </row>
    <row r="706" spans="2:8" x14ac:dyDescent="0.25">
      <c r="B706"/>
      <c r="C706"/>
      <c r="D706"/>
      <c r="E706"/>
      <c r="F706"/>
      <c r="G706"/>
      <c r="H706"/>
    </row>
    <row r="707" spans="2:8" x14ac:dyDescent="0.25">
      <c r="B707"/>
      <c r="C707"/>
      <c r="D707"/>
      <c r="E707"/>
      <c r="F707"/>
      <c r="G707"/>
      <c r="H707"/>
    </row>
    <row r="708" spans="2:8" x14ac:dyDescent="0.25">
      <c r="B708"/>
      <c r="C708"/>
      <c r="D708"/>
      <c r="E708"/>
      <c r="F708"/>
      <c r="G708"/>
      <c r="H708"/>
    </row>
    <row r="709" spans="2:8" x14ac:dyDescent="0.25">
      <c r="B709"/>
      <c r="C709"/>
      <c r="D709"/>
      <c r="E709"/>
      <c r="F709"/>
      <c r="G709"/>
      <c r="H709"/>
    </row>
    <row r="710" spans="2:8" x14ac:dyDescent="0.25">
      <c r="B710"/>
      <c r="C710"/>
      <c r="D710"/>
      <c r="E710"/>
      <c r="F710"/>
      <c r="G710"/>
      <c r="H710"/>
    </row>
    <row r="711" spans="2:8" x14ac:dyDescent="0.25">
      <c r="B711"/>
      <c r="C711"/>
      <c r="D711"/>
      <c r="E711"/>
      <c r="F711"/>
      <c r="G711"/>
      <c r="H711"/>
    </row>
    <row r="712" spans="2:8" x14ac:dyDescent="0.25">
      <c r="B712"/>
      <c r="C712"/>
      <c r="D712"/>
      <c r="E712"/>
      <c r="F712"/>
      <c r="G712"/>
      <c r="H712"/>
    </row>
    <row r="713" spans="2:8" x14ac:dyDescent="0.25">
      <c r="B713"/>
      <c r="C713"/>
      <c r="D713"/>
      <c r="E713"/>
      <c r="F713"/>
      <c r="G713"/>
      <c r="H713"/>
    </row>
    <row r="714" spans="2:8" x14ac:dyDescent="0.25">
      <c r="B714"/>
      <c r="C714"/>
      <c r="D714"/>
      <c r="E714"/>
      <c r="F714"/>
      <c r="G714"/>
      <c r="H714"/>
    </row>
    <row r="715" spans="2:8" x14ac:dyDescent="0.25">
      <c r="B715"/>
      <c r="C715"/>
      <c r="D715"/>
      <c r="E715"/>
      <c r="F715"/>
      <c r="G715"/>
      <c r="H715"/>
    </row>
    <row r="716" spans="2:8" x14ac:dyDescent="0.25">
      <c r="B716"/>
      <c r="C716"/>
      <c r="D716"/>
      <c r="E716"/>
      <c r="F716"/>
      <c r="G716"/>
      <c r="H716"/>
    </row>
    <row r="717" spans="2:8" x14ac:dyDescent="0.25">
      <c r="B717"/>
      <c r="C717"/>
      <c r="D717"/>
      <c r="E717"/>
      <c r="F717"/>
      <c r="G717"/>
      <c r="H717"/>
    </row>
    <row r="718" spans="2:8" x14ac:dyDescent="0.25">
      <c r="B718"/>
      <c r="C718"/>
      <c r="D718"/>
      <c r="E718"/>
      <c r="F718"/>
      <c r="G718"/>
      <c r="H718"/>
    </row>
    <row r="719" spans="2:8" x14ac:dyDescent="0.25">
      <c r="B719"/>
      <c r="C719"/>
      <c r="D719"/>
      <c r="E719"/>
      <c r="F719"/>
      <c r="G719"/>
      <c r="H719"/>
    </row>
    <row r="720" spans="2:8" x14ac:dyDescent="0.25">
      <c r="B720"/>
      <c r="C720"/>
      <c r="D720"/>
      <c r="E720"/>
      <c r="F720"/>
      <c r="G720"/>
      <c r="H720"/>
    </row>
    <row r="721" spans="2:8" x14ac:dyDescent="0.25">
      <c r="B721"/>
      <c r="C721"/>
      <c r="D721"/>
      <c r="E721"/>
      <c r="F721"/>
      <c r="G721"/>
      <c r="H721"/>
    </row>
    <row r="722" spans="2:8" x14ac:dyDescent="0.25">
      <c r="B722"/>
      <c r="C722"/>
      <c r="D722"/>
      <c r="E722"/>
      <c r="F722"/>
      <c r="G722"/>
      <c r="H722"/>
    </row>
    <row r="723" spans="2:8" x14ac:dyDescent="0.25">
      <c r="B723"/>
      <c r="C723"/>
      <c r="D723"/>
      <c r="E723"/>
      <c r="F723"/>
      <c r="G723"/>
      <c r="H723"/>
    </row>
    <row r="724" spans="2:8" x14ac:dyDescent="0.25">
      <c r="B724"/>
      <c r="C724"/>
      <c r="D724"/>
      <c r="E724"/>
      <c r="F724"/>
      <c r="G724"/>
      <c r="H724"/>
    </row>
    <row r="725" spans="2:8" x14ac:dyDescent="0.25">
      <c r="B725"/>
      <c r="C725"/>
      <c r="D725"/>
      <c r="E725"/>
      <c r="F725"/>
      <c r="G725"/>
      <c r="H725"/>
    </row>
    <row r="726" spans="2:8" x14ac:dyDescent="0.25">
      <c r="B726"/>
      <c r="C726"/>
      <c r="D726"/>
      <c r="E726"/>
      <c r="F726"/>
      <c r="G726"/>
      <c r="H726"/>
    </row>
    <row r="727" spans="2:8" x14ac:dyDescent="0.25">
      <c r="B727"/>
      <c r="C727"/>
      <c r="D727"/>
      <c r="E727"/>
      <c r="F727"/>
      <c r="G727"/>
      <c r="H727"/>
    </row>
    <row r="728" spans="2:8" x14ac:dyDescent="0.25">
      <c r="B728"/>
      <c r="C728"/>
      <c r="D728"/>
      <c r="E728"/>
      <c r="F728"/>
      <c r="G728"/>
      <c r="H728"/>
    </row>
    <row r="729" spans="2:8" x14ac:dyDescent="0.25">
      <c r="B729"/>
      <c r="C729"/>
      <c r="D729"/>
      <c r="E729"/>
      <c r="F729"/>
      <c r="G729"/>
      <c r="H729"/>
    </row>
    <row r="730" spans="2:8" x14ac:dyDescent="0.25">
      <c r="B730"/>
      <c r="C730"/>
      <c r="D730"/>
      <c r="E730"/>
      <c r="F730"/>
      <c r="G730"/>
      <c r="H730"/>
    </row>
    <row r="731" spans="2:8" x14ac:dyDescent="0.25">
      <c r="B731"/>
      <c r="C731"/>
      <c r="D731"/>
      <c r="E731"/>
      <c r="F731"/>
      <c r="G731"/>
      <c r="H731"/>
    </row>
    <row r="732" spans="2:8" x14ac:dyDescent="0.25">
      <c r="B732"/>
      <c r="C732"/>
      <c r="D732"/>
      <c r="E732"/>
      <c r="F732"/>
      <c r="G732"/>
      <c r="H732"/>
    </row>
    <row r="733" spans="2:8" x14ac:dyDescent="0.25">
      <c r="B733"/>
      <c r="C733"/>
      <c r="D733"/>
      <c r="E733"/>
      <c r="F733"/>
      <c r="G733"/>
      <c r="H733"/>
    </row>
    <row r="734" spans="2:8" x14ac:dyDescent="0.25">
      <c r="B734"/>
      <c r="C734"/>
      <c r="D734"/>
      <c r="E734"/>
      <c r="F734"/>
      <c r="G734"/>
      <c r="H734"/>
    </row>
    <row r="735" spans="2:8" x14ac:dyDescent="0.25">
      <c r="B735"/>
      <c r="C735"/>
      <c r="D735"/>
      <c r="E735"/>
      <c r="F735"/>
      <c r="G735"/>
      <c r="H735"/>
    </row>
    <row r="736" spans="2:8" x14ac:dyDescent="0.25">
      <c r="B736"/>
      <c r="C736"/>
      <c r="D736"/>
      <c r="E736"/>
      <c r="F736"/>
      <c r="G736"/>
      <c r="H736"/>
    </row>
    <row r="737" spans="2:8" x14ac:dyDescent="0.25">
      <c r="B737"/>
      <c r="C737"/>
      <c r="D737"/>
      <c r="E737"/>
      <c r="F737"/>
      <c r="G737"/>
      <c r="H737"/>
    </row>
    <row r="738" spans="2:8" x14ac:dyDescent="0.25">
      <c r="B738"/>
      <c r="C738"/>
      <c r="D738"/>
      <c r="E738"/>
      <c r="F738"/>
      <c r="G738"/>
      <c r="H738"/>
    </row>
    <row r="739" spans="2:8" x14ac:dyDescent="0.25">
      <c r="B739"/>
      <c r="C739"/>
      <c r="D739"/>
      <c r="E739"/>
      <c r="F739"/>
      <c r="G739"/>
      <c r="H739"/>
    </row>
    <row r="740" spans="2:8" x14ac:dyDescent="0.25">
      <c r="B740"/>
      <c r="C740"/>
      <c r="D740"/>
      <c r="E740"/>
      <c r="F740"/>
      <c r="G740"/>
      <c r="H740"/>
    </row>
    <row r="741" spans="2:8" x14ac:dyDescent="0.25">
      <c r="B741"/>
      <c r="C741"/>
      <c r="D741"/>
      <c r="E741"/>
      <c r="F741"/>
      <c r="G741"/>
      <c r="H741"/>
    </row>
    <row r="742" spans="2:8" x14ac:dyDescent="0.25">
      <c r="B742"/>
      <c r="C742"/>
      <c r="D742"/>
      <c r="E742"/>
      <c r="F742"/>
      <c r="G742"/>
      <c r="H742"/>
    </row>
    <row r="743" spans="2:8" x14ac:dyDescent="0.25">
      <c r="B743"/>
      <c r="C743"/>
      <c r="D743"/>
      <c r="E743"/>
      <c r="F743"/>
      <c r="G743"/>
      <c r="H743"/>
    </row>
    <row r="744" spans="2:8" x14ac:dyDescent="0.25">
      <c r="B744"/>
      <c r="C744"/>
      <c r="D744"/>
      <c r="E744"/>
      <c r="F744"/>
      <c r="G744"/>
      <c r="H744"/>
    </row>
    <row r="745" spans="2:8" x14ac:dyDescent="0.25">
      <c r="B745"/>
      <c r="C745"/>
      <c r="D745"/>
      <c r="E745"/>
      <c r="F745"/>
      <c r="G745"/>
      <c r="H745"/>
    </row>
    <row r="746" spans="2:8" x14ac:dyDescent="0.25">
      <c r="B746"/>
      <c r="C746"/>
      <c r="D746"/>
      <c r="E746"/>
      <c r="F746"/>
      <c r="G746"/>
      <c r="H746"/>
    </row>
    <row r="747" spans="2:8" x14ac:dyDescent="0.25">
      <c r="B747"/>
      <c r="C747"/>
      <c r="D747"/>
      <c r="E747"/>
      <c r="F747"/>
      <c r="G747"/>
      <c r="H747"/>
    </row>
    <row r="748" spans="2:8" x14ac:dyDescent="0.25">
      <c r="B748"/>
      <c r="C748"/>
      <c r="D748"/>
      <c r="E748"/>
      <c r="F748"/>
      <c r="G748"/>
      <c r="H748"/>
    </row>
    <row r="749" spans="2:8" x14ac:dyDescent="0.25">
      <c r="B749"/>
      <c r="C749"/>
      <c r="D749"/>
      <c r="E749"/>
      <c r="F749"/>
      <c r="G749"/>
      <c r="H749"/>
    </row>
    <row r="750" spans="2:8" x14ac:dyDescent="0.25">
      <c r="B750"/>
      <c r="C750"/>
      <c r="D750"/>
      <c r="E750"/>
      <c r="F750"/>
      <c r="G750"/>
      <c r="H750"/>
    </row>
    <row r="751" spans="2:8" x14ac:dyDescent="0.25">
      <c r="B751"/>
      <c r="C751"/>
      <c r="D751"/>
      <c r="E751"/>
      <c r="F751"/>
      <c r="G751"/>
      <c r="H751"/>
    </row>
    <row r="752" spans="2:8" x14ac:dyDescent="0.25">
      <c r="B752"/>
      <c r="C752"/>
      <c r="D752"/>
      <c r="E752"/>
      <c r="F752"/>
      <c r="G752"/>
      <c r="H752"/>
    </row>
    <row r="753" spans="2:8" x14ac:dyDescent="0.25">
      <c r="B753"/>
      <c r="C753"/>
      <c r="D753"/>
      <c r="E753"/>
      <c r="F753"/>
      <c r="G753"/>
      <c r="H753"/>
    </row>
    <row r="754" spans="2:8" x14ac:dyDescent="0.25">
      <c r="B754"/>
      <c r="C754"/>
      <c r="D754"/>
      <c r="E754"/>
      <c r="F754"/>
      <c r="G754"/>
      <c r="H754"/>
    </row>
    <row r="755" spans="2:8" x14ac:dyDescent="0.25">
      <c r="B755"/>
      <c r="C755"/>
      <c r="D755"/>
      <c r="E755"/>
      <c r="F755"/>
      <c r="G755"/>
      <c r="H755"/>
    </row>
    <row r="756" spans="2:8" x14ac:dyDescent="0.25">
      <c r="B756"/>
      <c r="C756"/>
      <c r="D756"/>
      <c r="E756"/>
      <c r="F756"/>
      <c r="G756"/>
      <c r="H756"/>
    </row>
    <row r="757" spans="2:8" x14ac:dyDescent="0.25">
      <c r="B757"/>
      <c r="C757"/>
      <c r="D757"/>
      <c r="E757"/>
      <c r="F757"/>
      <c r="G757"/>
      <c r="H757"/>
    </row>
    <row r="758" spans="2:8" x14ac:dyDescent="0.25">
      <c r="B758"/>
      <c r="C758"/>
      <c r="D758"/>
      <c r="E758"/>
      <c r="F758"/>
      <c r="G758"/>
      <c r="H758"/>
    </row>
    <row r="759" spans="2:8" x14ac:dyDescent="0.25">
      <c r="B759"/>
      <c r="C759"/>
      <c r="D759"/>
      <c r="E759"/>
      <c r="F759"/>
      <c r="G759"/>
      <c r="H759"/>
    </row>
    <row r="760" spans="2:8" x14ac:dyDescent="0.25">
      <c r="B760"/>
      <c r="C760"/>
      <c r="D760"/>
      <c r="E760"/>
      <c r="F760"/>
      <c r="G760"/>
      <c r="H760"/>
    </row>
    <row r="761" spans="2:8" x14ac:dyDescent="0.25">
      <c r="B761"/>
      <c r="C761"/>
      <c r="D761"/>
      <c r="E761"/>
      <c r="F761"/>
      <c r="G761"/>
      <c r="H761"/>
    </row>
    <row r="762" spans="2:8" x14ac:dyDescent="0.25">
      <c r="B762"/>
      <c r="C762"/>
      <c r="D762"/>
      <c r="E762"/>
      <c r="F762"/>
      <c r="G762"/>
      <c r="H762"/>
    </row>
    <row r="763" spans="2:8" x14ac:dyDescent="0.25">
      <c r="B763"/>
      <c r="C763"/>
      <c r="D763"/>
      <c r="E763"/>
      <c r="F763"/>
      <c r="G763"/>
      <c r="H763"/>
    </row>
    <row r="764" spans="2:8" x14ac:dyDescent="0.25">
      <c r="B764"/>
      <c r="C764"/>
      <c r="D764"/>
      <c r="E764"/>
      <c r="F764"/>
      <c r="G764"/>
      <c r="H764"/>
    </row>
    <row r="765" spans="2:8" x14ac:dyDescent="0.25">
      <c r="B765"/>
      <c r="C765"/>
      <c r="D765"/>
      <c r="E765"/>
      <c r="F765"/>
      <c r="G765"/>
      <c r="H765"/>
    </row>
    <row r="766" spans="2:8" x14ac:dyDescent="0.25">
      <c r="B766"/>
      <c r="C766"/>
      <c r="D766"/>
      <c r="E766"/>
      <c r="F766"/>
      <c r="G766"/>
      <c r="H766"/>
    </row>
    <row r="767" spans="2:8" x14ac:dyDescent="0.25">
      <c r="B767"/>
      <c r="C767"/>
      <c r="D767"/>
      <c r="E767"/>
      <c r="F767"/>
      <c r="G767"/>
      <c r="H767"/>
    </row>
    <row r="768" spans="2:8" x14ac:dyDescent="0.25">
      <c r="B768"/>
      <c r="C768"/>
      <c r="D768"/>
      <c r="E768"/>
      <c r="F768"/>
      <c r="G768"/>
      <c r="H768"/>
    </row>
    <row r="769" spans="2:8" x14ac:dyDescent="0.25">
      <c r="B769"/>
      <c r="C769"/>
      <c r="D769"/>
      <c r="E769"/>
      <c r="F769"/>
      <c r="G769"/>
      <c r="H769"/>
    </row>
    <row r="770" spans="2:8" x14ac:dyDescent="0.25">
      <c r="B770"/>
      <c r="C770"/>
      <c r="D770"/>
      <c r="E770"/>
      <c r="F770"/>
      <c r="G770"/>
      <c r="H770"/>
    </row>
    <row r="771" spans="2:8" x14ac:dyDescent="0.25">
      <c r="B771"/>
      <c r="C771"/>
      <c r="D771"/>
      <c r="E771"/>
      <c r="F771"/>
      <c r="G771"/>
      <c r="H771"/>
    </row>
    <row r="772" spans="2:8" x14ac:dyDescent="0.25">
      <c r="B772"/>
      <c r="C772"/>
      <c r="D772"/>
      <c r="E772"/>
      <c r="F772"/>
      <c r="G772"/>
      <c r="H772"/>
    </row>
    <row r="773" spans="2:8" x14ac:dyDescent="0.25">
      <c r="B773"/>
      <c r="C773"/>
      <c r="D773"/>
      <c r="E773"/>
      <c r="F773"/>
      <c r="G773"/>
      <c r="H773"/>
    </row>
    <row r="774" spans="2:8" x14ac:dyDescent="0.25">
      <c r="B774"/>
      <c r="C774"/>
      <c r="D774"/>
      <c r="E774"/>
      <c r="F774"/>
      <c r="G774"/>
      <c r="H774"/>
    </row>
    <row r="775" spans="2:8" x14ac:dyDescent="0.25">
      <c r="B775"/>
      <c r="C775"/>
      <c r="D775"/>
      <c r="E775"/>
      <c r="F775"/>
      <c r="G775"/>
      <c r="H775"/>
    </row>
    <row r="776" spans="2:8" x14ac:dyDescent="0.25">
      <c r="B776"/>
      <c r="C776"/>
      <c r="D776"/>
      <c r="E776"/>
      <c r="F776"/>
      <c r="G776"/>
      <c r="H776"/>
    </row>
    <row r="777" spans="2:8" x14ac:dyDescent="0.25">
      <c r="B777"/>
      <c r="C777"/>
      <c r="D777"/>
      <c r="E777"/>
      <c r="F777"/>
      <c r="G777"/>
      <c r="H777"/>
    </row>
    <row r="778" spans="2:8" x14ac:dyDescent="0.25">
      <c r="B778"/>
      <c r="C778"/>
      <c r="D778"/>
      <c r="E778"/>
      <c r="F778"/>
      <c r="G778"/>
      <c r="H778"/>
    </row>
    <row r="779" spans="2:8" x14ac:dyDescent="0.25">
      <c r="B779"/>
      <c r="C779"/>
      <c r="D779"/>
      <c r="E779"/>
      <c r="F779"/>
      <c r="G779"/>
      <c r="H779"/>
    </row>
    <row r="780" spans="2:8" x14ac:dyDescent="0.25">
      <c r="B780"/>
      <c r="C780"/>
      <c r="D780"/>
      <c r="E780"/>
      <c r="F780"/>
      <c r="G780"/>
      <c r="H780"/>
    </row>
    <row r="781" spans="2:8" x14ac:dyDescent="0.25">
      <c r="B781"/>
      <c r="C781"/>
      <c r="D781"/>
      <c r="E781"/>
      <c r="F781"/>
      <c r="G781"/>
      <c r="H781"/>
    </row>
    <row r="782" spans="2:8" x14ac:dyDescent="0.25">
      <c r="B782"/>
      <c r="C782"/>
      <c r="D782"/>
      <c r="E782"/>
      <c r="F782"/>
      <c r="G782"/>
      <c r="H782"/>
    </row>
    <row r="783" spans="2:8" x14ac:dyDescent="0.25">
      <c r="B783"/>
      <c r="C783"/>
      <c r="D783"/>
      <c r="E783"/>
      <c r="F783"/>
      <c r="G783"/>
      <c r="H783"/>
    </row>
    <row r="784" spans="2:8" x14ac:dyDescent="0.25">
      <c r="B784"/>
      <c r="C784"/>
      <c r="D784"/>
      <c r="E784"/>
      <c r="F784"/>
      <c r="G784"/>
      <c r="H784"/>
    </row>
    <row r="785" spans="2:8" x14ac:dyDescent="0.25">
      <c r="B785"/>
      <c r="C785"/>
      <c r="D785"/>
      <c r="E785"/>
      <c r="F785"/>
      <c r="G785"/>
      <c r="H785"/>
    </row>
    <row r="786" spans="2:8" x14ac:dyDescent="0.25">
      <c r="B786"/>
      <c r="C786"/>
      <c r="D786"/>
      <c r="E786"/>
      <c r="F786"/>
      <c r="G786"/>
      <c r="H786"/>
    </row>
    <row r="787" spans="2:8" x14ac:dyDescent="0.25">
      <c r="B787"/>
      <c r="C787"/>
      <c r="D787"/>
      <c r="E787"/>
      <c r="F787"/>
      <c r="G787"/>
      <c r="H787"/>
    </row>
    <row r="788" spans="2:8" x14ac:dyDescent="0.25">
      <c r="B788"/>
      <c r="C788"/>
      <c r="D788"/>
      <c r="E788"/>
      <c r="F788"/>
      <c r="G788"/>
      <c r="H788"/>
    </row>
    <row r="789" spans="2:8" x14ac:dyDescent="0.25">
      <c r="B789"/>
      <c r="C789"/>
      <c r="D789"/>
      <c r="E789"/>
      <c r="F789"/>
      <c r="G789"/>
      <c r="H789"/>
    </row>
    <row r="790" spans="2:8" x14ac:dyDescent="0.25">
      <c r="B790"/>
      <c r="C790"/>
      <c r="D790"/>
      <c r="E790"/>
      <c r="F790"/>
      <c r="G790"/>
      <c r="H790"/>
    </row>
    <row r="791" spans="2:8" x14ac:dyDescent="0.25">
      <c r="B791"/>
      <c r="C791"/>
      <c r="D791"/>
      <c r="E791"/>
      <c r="F791"/>
      <c r="G791"/>
      <c r="H791"/>
    </row>
    <row r="792" spans="2:8" x14ac:dyDescent="0.25">
      <c r="B792"/>
      <c r="C792"/>
      <c r="D792"/>
      <c r="E792"/>
      <c r="F792"/>
      <c r="G792"/>
      <c r="H792"/>
    </row>
    <row r="793" spans="2:8" x14ac:dyDescent="0.25">
      <c r="B793"/>
      <c r="C793"/>
      <c r="D793"/>
      <c r="E793"/>
      <c r="F793"/>
      <c r="G793"/>
      <c r="H793"/>
    </row>
    <row r="794" spans="2:8" x14ac:dyDescent="0.25">
      <c r="B794"/>
      <c r="C794"/>
      <c r="D794"/>
      <c r="E794"/>
      <c r="F794"/>
      <c r="G794"/>
      <c r="H794"/>
    </row>
    <row r="795" spans="2:8" x14ac:dyDescent="0.25">
      <c r="B795"/>
      <c r="C795"/>
      <c r="D795"/>
      <c r="E795"/>
      <c r="F795"/>
      <c r="G795"/>
      <c r="H795"/>
    </row>
    <row r="796" spans="2:8" x14ac:dyDescent="0.25">
      <c r="B796"/>
      <c r="C796"/>
      <c r="D796"/>
      <c r="E796"/>
      <c r="F796"/>
      <c r="G796"/>
      <c r="H796"/>
    </row>
    <row r="797" spans="2:8" x14ac:dyDescent="0.25">
      <c r="B797"/>
      <c r="C797"/>
      <c r="D797"/>
      <c r="E797"/>
      <c r="F797"/>
      <c r="G797"/>
      <c r="H797"/>
    </row>
    <row r="798" spans="2:8" x14ac:dyDescent="0.25">
      <c r="B798"/>
      <c r="C798"/>
      <c r="D798"/>
      <c r="E798"/>
      <c r="F798"/>
      <c r="G798"/>
      <c r="H798"/>
    </row>
    <row r="799" spans="2:8" x14ac:dyDescent="0.25">
      <c r="B799"/>
      <c r="C799"/>
      <c r="D799"/>
      <c r="E799"/>
      <c r="F799"/>
      <c r="G799"/>
      <c r="H799"/>
    </row>
    <row r="800" spans="2:8" x14ac:dyDescent="0.25">
      <c r="B800"/>
      <c r="C800"/>
      <c r="D800"/>
      <c r="E800"/>
      <c r="F800"/>
      <c r="G800"/>
      <c r="H800"/>
    </row>
    <row r="801" spans="2:8" x14ac:dyDescent="0.25">
      <c r="B801"/>
      <c r="C801"/>
      <c r="D801"/>
      <c r="E801"/>
      <c r="F801"/>
      <c r="G801"/>
      <c r="H801"/>
    </row>
    <row r="802" spans="2:8" x14ac:dyDescent="0.25">
      <c r="B802"/>
      <c r="C802"/>
      <c r="D802"/>
      <c r="E802"/>
      <c r="F802"/>
      <c r="G802"/>
      <c r="H802"/>
    </row>
    <row r="803" spans="2:8" x14ac:dyDescent="0.25">
      <c r="B803"/>
      <c r="C803"/>
      <c r="D803"/>
      <c r="E803"/>
      <c r="F803"/>
      <c r="G803"/>
      <c r="H803"/>
    </row>
    <row r="804" spans="2:8" x14ac:dyDescent="0.25">
      <c r="B804"/>
      <c r="C804"/>
      <c r="D804"/>
      <c r="E804"/>
      <c r="F804"/>
      <c r="G804"/>
      <c r="H804"/>
    </row>
    <row r="805" spans="2:8" x14ac:dyDescent="0.25">
      <c r="B805"/>
      <c r="C805"/>
      <c r="D805"/>
      <c r="E805"/>
      <c r="F805"/>
      <c r="G805"/>
      <c r="H805"/>
    </row>
    <row r="806" spans="2:8" x14ac:dyDescent="0.25">
      <c r="B806"/>
      <c r="C806"/>
      <c r="D806"/>
      <c r="E806"/>
      <c r="F806"/>
      <c r="G806"/>
      <c r="H806"/>
    </row>
    <row r="807" spans="2:8" x14ac:dyDescent="0.25">
      <c r="B807"/>
      <c r="C807"/>
      <c r="D807"/>
      <c r="E807"/>
      <c r="F807"/>
      <c r="G807"/>
      <c r="H807"/>
    </row>
    <row r="808" spans="2:8" x14ac:dyDescent="0.25">
      <c r="B808"/>
      <c r="C808"/>
      <c r="D808"/>
      <c r="E808"/>
      <c r="F808"/>
      <c r="G808"/>
      <c r="H808"/>
    </row>
    <row r="809" spans="2:8" x14ac:dyDescent="0.25">
      <c r="B809"/>
      <c r="C809"/>
      <c r="D809"/>
      <c r="E809"/>
      <c r="F809"/>
      <c r="G809"/>
      <c r="H809"/>
    </row>
    <row r="810" spans="2:8" x14ac:dyDescent="0.25">
      <c r="B810"/>
      <c r="C810"/>
      <c r="D810"/>
      <c r="E810"/>
      <c r="F810"/>
      <c r="G810"/>
      <c r="H810"/>
    </row>
    <row r="811" spans="2:8" x14ac:dyDescent="0.25">
      <c r="B811"/>
      <c r="C811"/>
      <c r="D811"/>
      <c r="E811"/>
      <c r="F811"/>
      <c r="G811"/>
      <c r="H811"/>
    </row>
    <row r="812" spans="2:8" x14ac:dyDescent="0.25">
      <c r="B812"/>
      <c r="C812"/>
      <c r="D812"/>
      <c r="E812"/>
      <c r="F812"/>
      <c r="G812"/>
      <c r="H812"/>
    </row>
    <row r="813" spans="2:8" x14ac:dyDescent="0.25">
      <c r="B813"/>
      <c r="C813"/>
      <c r="D813"/>
      <c r="E813"/>
      <c r="F813"/>
      <c r="G813"/>
      <c r="H813"/>
    </row>
    <row r="814" spans="2:8" x14ac:dyDescent="0.25">
      <c r="B814"/>
      <c r="C814"/>
      <c r="D814"/>
      <c r="E814"/>
      <c r="F814"/>
      <c r="G814"/>
      <c r="H814"/>
    </row>
    <row r="815" spans="2:8" x14ac:dyDescent="0.25">
      <c r="B815"/>
      <c r="C815"/>
      <c r="D815"/>
      <c r="E815"/>
      <c r="F815"/>
      <c r="G815"/>
      <c r="H815"/>
    </row>
    <row r="816" spans="2:8" x14ac:dyDescent="0.25">
      <c r="B816"/>
      <c r="C816"/>
      <c r="D816"/>
      <c r="E816"/>
      <c r="F816"/>
      <c r="G816"/>
      <c r="H816"/>
    </row>
    <row r="817" spans="2:8" x14ac:dyDescent="0.25">
      <c r="B817"/>
      <c r="C817"/>
      <c r="D817"/>
      <c r="E817"/>
      <c r="F817"/>
      <c r="G817"/>
      <c r="H817"/>
    </row>
    <row r="818" spans="2:8" x14ac:dyDescent="0.25">
      <c r="B818"/>
      <c r="C818"/>
      <c r="D818"/>
      <c r="E818"/>
      <c r="F818"/>
      <c r="G818"/>
      <c r="H818"/>
    </row>
    <row r="819" spans="2:8" x14ac:dyDescent="0.25">
      <c r="B819"/>
      <c r="C819"/>
      <c r="D819"/>
      <c r="E819"/>
      <c r="F819"/>
      <c r="G819"/>
      <c r="H819"/>
    </row>
    <row r="820" spans="2:8" x14ac:dyDescent="0.25">
      <c r="B820"/>
      <c r="C820"/>
      <c r="D820"/>
      <c r="E820"/>
      <c r="F820"/>
      <c r="G820"/>
      <c r="H820"/>
    </row>
    <row r="821" spans="2:8" x14ac:dyDescent="0.25">
      <c r="B821"/>
      <c r="C821"/>
      <c r="D821"/>
      <c r="E821"/>
      <c r="F821"/>
      <c r="G821"/>
      <c r="H821"/>
    </row>
    <row r="822" spans="2:8" x14ac:dyDescent="0.25">
      <c r="B822"/>
      <c r="C822"/>
      <c r="D822"/>
      <c r="E822"/>
      <c r="F822"/>
      <c r="G822"/>
      <c r="H822"/>
    </row>
    <row r="823" spans="2:8" x14ac:dyDescent="0.25">
      <c r="B823"/>
      <c r="C823"/>
      <c r="D823"/>
      <c r="E823"/>
      <c r="F823"/>
      <c r="G823"/>
      <c r="H823"/>
    </row>
    <row r="824" spans="2:8" x14ac:dyDescent="0.25">
      <c r="B824"/>
      <c r="C824"/>
      <c r="D824"/>
      <c r="E824"/>
      <c r="F824"/>
      <c r="G824"/>
      <c r="H824"/>
    </row>
    <row r="825" spans="2:8" x14ac:dyDescent="0.25">
      <c r="B825"/>
      <c r="C825"/>
      <c r="D825"/>
      <c r="E825"/>
      <c r="F825"/>
      <c r="G825"/>
      <c r="H825"/>
    </row>
    <row r="826" spans="2:8" x14ac:dyDescent="0.25">
      <c r="B826"/>
      <c r="C826"/>
      <c r="D826"/>
      <c r="E826"/>
      <c r="F826"/>
      <c r="G826"/>
      <c r="H826"/>
    </row>
    <row r="827" spans="2:8" x14ac:dyDescent="0.25">
      <c r="B827"/>
      <c r="C827"/>
      <c r="D827"/>
      <c r="E827"/>
      <c r="F827"/>
      <c r="G827"/>
      <c r="H827"/>
    </row>
    <row r="828" spans="2:8" x14ac:dyDescent="0.25">
      <c r="B828"/>
      <c r="C828"/>
      <c r="D828"/>
      <c r="E828"/>
      <c r="F828"/>
      <c r="G828"/>
      <c r="H828"/>
    </row>
    <row r="829" spans="2:8" x14ac:dyDescent="0.25">
      <c r="B829"/>
      <c r="C829"/>
      <c r="D829"/>
      <c r="E829"/>
      <c r="F829"/>
      <c r="G829"/>
      <c r="H829"/>
    </row>
    <row r="830" spans="2:8" x14ac:dyDescent="0.25">
      <c r="B830"/>
      <c r="C830"/>
      <c r="D830"/>
      <c r="E830"/>
      <c r="F830"/>
      <c r="G830"/>
      <c r="H830"/>
    </row>
    <row r="831" spans="2:8" x14ac:dyDescent="0.25">
      <c r="B831"/>
      <c r="C831"/>
      <c r="D831"/>
      <c r="E831"/>
      <c r="F831"/>
      <c r="G831"/>
      <c r="H831"/>
    </row>
    <row r="832" spans="2:8" x14ac:dyDescent="0.25">
      <c r="B832"/>
      <c r="C832"/>
      <c r="D832"/>
      <c r="E832"/>
      <c r="F832"/>
      <c r="G832"/>
      <c r="H832"/>
    </row>
    <row r="833" spans="2:8" x14ac:dyDescent="0.25">
      <c r="B833"/>
      <c r="C833"/>
      <c r="D833"/>
      <c r="E833"/>
      <c r="F833"/>
      <c r="G833"/>
      <c r="H833"/>
    </row>
    <row r="834" spans="2:8" x14ac:dyDescent="0.25">
      <c r="B834"/>
      <c r="C834"/>
      <c r="D834"/>
      <c r="E834"/>
      <c r="F834"/>
      <c r="G834"/>
      <c r="H834"/>
    </row>
    <row r="835" spans="2:8" x14ac:dyDescent="0.25">
      <c r="B835"/>
      <c r="C835"/>
      <c r="D835"/>
      <c r="E835"/>
      <c r="F835"/>
      <c r="G835"/>
      <c r="H835"/>
    </row>
    <row r="836" spans="2:8" x14ac:dyDescent="0.25">
      <c r="B836"/>
      <c r="C836"/>
      <c r="D836"/>
      <c r="E836"/>
      <c r="F836"/>
      <c r="G836"/>
      <c r="H836"/>
    </row>
    <row r="837" spans="2:8" x14ac:dyDescent="0.25">
      <c r="B837"/>
      <c r="C837"/>
      <c r="D837"/>
      <c r="E837"/>
      <c r="F837"/>
      <c r="G837"/>
      <c r="H837"/>
    </row>
    <row r="838" spans="2:8" x14ac:dyDescent="0.25">
      <c r="B838"/>
      <c r="C838"/>
      <c r="D838"/>
      <c r="E838"/>
      <c r="F838"/>
      <c r="G838"/>
      <c r="H838"/>
    </row>
    <row r="839" spans="2:8" x14ac:dyDescent="0.25">
      <c r="B839"/>
      <c r="C839"/>
      <c r="D839"/>
      <c r="E839"/>
      <c r="F839"/>
      <c r="G839"/>
      <c r="H839"/>
    </row>
    <row r="840" spans="2:8" x14ac:dyDescent="0.25">
      <c r="B840"/>
      <c r="C840"/>
      <c r="D840"/>
      <c r="E840"/>
      <c r="F840"/>
      <c r="G840"/>
      <c r="H840"/>
    </row>
    <row r="841" spans="2:8" x14ac:dyDescent="0.25">
      <c r="B841"/>
      <c r="C841"/>
      <c r="D841"/>
      <c r="E841"/>
      <c r="F841"/>
      <c r="G841"/>
      <c r="H841"/>
    </row>
    <row r="842" spans="2:8" x14ac:dyDescent="0.25">
      <c r="B842"/>
      <c r="C842"/>
      <c r="D842"/>
      <c r="E842"/>
      <c r="F842"/>
      <c r="G842"/>
      <c r="H842"/>
    </row>
    <row r="843" spans="2:8" x14ac:dyDescent="0.25">
      <c r="B843"/>
      <c r="C843"/>
      <c r="D843"/>
      <c r="E843"/>
      <c r="F843"/>
      <c r="G843"/>
      <c r="H843"/>
    </row>
    <row r="844" spans="2:8" x14ac:dyDescent="0.25">
      <c r="B844"/>
      <c r="C844"/>
      <c r="D844"/>
      <c r="E844"/>
      <c r="F844"/>
      <c r="G844"/>
      <c r="H844"/>
    </row>
    <row r="845" spans="2:8" x14ac:dyDescent="0.25">
      <c r="B845"/>
      <c r="C845"/>
      <c r="D845"/>
      <c r="E845"/>
      <c r="F845"/>
      <c r="G845"/>
      <c r="H845"/>
    </row>
    <row r="846" spans="2:8" x14ac:dyDescent="0.25">
      <c r="B846"/>
      <c r="C846"/>
      <c r="D846"/>
      <c r="E846"/>
      <c r="F846"/>
      <c r="G846"/>
      <c r="H846"/>
    </row>
    <row r="847" spans="2:8" x14ac:dyDescent="0.25">
      <c r="B847"/>
      <c r="C847"/>
      <c r="D847"/>
      <c r="E847"/>
      <c r="F847"/>
      <c r="G847"/>
      <c r="H847"/>
    </row>
    <row r="848" spans="2:8" x14ac:dyDescent="0.25">
      <c r="B848"/>
      <c r="C848"/>
      <c r="D848"/>
      <c r="E848"/>
      <c r="F848"/>
      <c r="G848"/>
      <c r="H848"/>
    </row>
    <row r="849" spans="2:8" x14ac:dyDescent="0.25">
      <c r="B849"/>
      <c r="C849"/>
      <c r="D849"/>
      <c r="E849"/>
      <c r="F849"/>
      <c r="G849"/>
      <c r="H849"/>
    </row>
    <row r="850" spans="2:8" x14ac:dyDescent="0.25">
      <c r="B850"/>
      <c r="C850"/>
      <c r="D850"/>
      <c r="E850"/>
      <c r="F850"/>
      <c r="G850"/>
      <c r="H850"/>
    </row>
    <row r="851" spans="2:8" x14ac:dyDescent="0.25">
      <c r="B851"/>
      <c r="C851"/>
      <c r="D851"/>
      <c r="E851"/>
      <c r="F851"/>
      <c r="G851"/>
      <c r="H851"/>
    </row>
    <row r="852" spans="2:8" x14ac:dyDescent="0.25">
      <c r="B852"/>
      <c r="C852"/>
      <c r="D852"/>
      <c r="E852"/>
      <c r="F852"/>
      <c r="G852"/>
      <c r="H852"/>
    </row>
    <row r="853" spans="2:8" x14ac:dyDescent="0.25">
      <c r="B853"/>
      <c r="C853"/>
      <c r="D853"/>
      <c r="E853"/>
      <c r="F853"/>
      <c r="G853"/>
      <c r="H853"/>
    </row>
    <row r="854" spans="2:8" x14ac:dyDescent="0.25">
      <c r="B854"/>
      <c r="C854"/>
      <c r="D854"/>
      <c r="E854"/>
      <c r="F854"/>
      <c r="G854"/>
      <c r="H854"/>
    </row>
    <row r="855" spans="2:8" x14ac:dyDescent="0.25">
      <c r="B855"/>
      <c r="C855"/>
      <c r="D855"/>
      <c r="E855"/>
      <c r="F855"/>
      <c r="G855"/>
      <c r="H855"/>
    </row>
    <row r="856" spans="2:8" x14ac:dyDescent="0.25">
      <c r="B856"/>
      <c r="C856"/>
      <c r="D856"/>
      <c r="E856"/>
      <c r="F856"/>
      <c r="G856"/>
      <c r="H856"/>
    </row>
    <row r="857" spans="2:8" x14ac:dyDescent="0.25">
      <c r="B857"/>
      <c r="C857"/>
      <c r="D857"/>
      <c r="E857"/>
      <c r="F857"/>
      <c r="G857"/>
      <c r="H857"/>
    </row>
    <row r="858" spans="2:8" x14ac:dyDescent="0.25">
      <c r="B858"/>
      <c r="C858"/>
      <c r="D858"/>
      <c r="E858"/>
      <c r="F858"/>
      <c r="G858"/>
      <c r="H858"/>
    </row>
    <row r="859" spans="2:8" x14ac:dyDescent="0.25">
      <c r="B859"/>
      <c r="C859"/>
      <c r="D859"/>
      <c r="E859"/>
      <c r="F859"/>
      <c r="G859"/>
      <c r="H859"/>
    </row>
    <row r="860" spans="2:8" x14ac:dyDescent="0.25">
      <c r="B860"/>
      <c r="C860"/>
      <c r="D860"/>
      <c r="E860"/>
      <c r="F860"/>
      <c r="G860"/>
      <c r="H860"/>
    </row>
    <row r="861" spans="2:8" x14ac:dyDescent="0.25">
      <c r="B861"/>
      <c r="C861"/>
      <c r="D861"/>
      <c r="E861"/>
      <c r="F861"/>
      <c r="G861"/>
      <c r="H861"/>
    </row>
    <row r="862" spans="2:8" x14ac:dyDescent="0.25">
      <c r="B862"/>
      <c r="C862"/>
      <c r="D862"/>
      <c r="E862"/>
      <c r="F862"/>
      <c r="G862"/>
      <c r="H862"/>
    </row>
    <row r="863" spans="2:8" x14ac:dyDescent="0.25">
      <c r="B863"/>
      <c r="C863"/>
      <c r="D863"/>
      <c r="E863"/>
      <c r="F863"/>
      <c r="G863"/>
      <c r="H863"/>
    </row>
    <row r="864" spans="2:8" x14ac:dyDescent="0.25">
      <c r="B864"/>
      <c r="C864"/>
      <c r="D864"/>
      <c r="E864"/>
      <c r="F864"/>
      <c r="G864"/>
      <c r="H864"/>
    </row>
    <row r="865" spans="2:8" x14ac:dyDescent="0.25">
      <c r="B865"/>
      <c r="C865"/>
      <c r="D865"/>
      <c r="E865"/>
      <c r="F865"/>
      <c r="G865"/>
      <c r="H865"/>
    </row>
    <row r="866" spans="2:8" x14ac:dyDescent="0.25">
      <c r="B866"/>
      <c r="C866"/>
      <c r="D866"/>
      <c r="E866"/>
      <c r="F866"/>
      <c r="G866"/>
      <c r="H866"/>
    </row>
    <row r="867" spans="2:8" x14ac:dyDescent="0.25">
      <c r="B867"/>
      <c r="C867"/>
      <c r="D867"/>
      <c r="E867"/>
      <c r="F867"/>
      <c r="G867"/>
      <c r="H867"/>
    </row>
    <row r="868" spans="2:8" x14ac:dyDescent="0.25">
      <c r="B868"/>
      <c r="C868"/>
      <c r="D868"/>
      <c r="E868"/>
      <c r="F868"/>
      <c r="G868"/>
      <c r="H868"/>
    </row>
    <row r="869" spans="2:8" x14ac:dyDescent="0.25">
      <c r="B869"/>
      <c r="C869"/>
      <c r="D869"/>
      <c r="E869"/>
      <c r="F869"/>
      <c r="G869"/>
      <c r="H869"/>
    </row>
    <row r="870" spans="2:8" x14ac:dyDescent="0.25">
      <c r="B870"/>
      <c r="C870"/>
      <c r="D870"/>
      <c r="E870"/>
      <c r="F870"/>
      <c r="G870"/>
      <c r="H870"/>
    </row>
    <row r="871" spans="2:8" x14ac:dyDescent="0.25">
      <c r="B871"/>
      <c r="C871"/>
      <c r="D871"/>
      <c r="E871"/>
      <c r="F871"/>
      <c r="G871"/>
      <c r="H871"/>
    </row>
    <row r="872" spans="2:8" x14ac:dyDescent="0.25">
      <c r="B872"/>
      <c r="C872"/>
      <c r="D872"/>
      <c r="E872"/>
      <c r="F872"/>
      <c r="G872"/>
      <c r="H872"/>
    </row>
    <row r="873" spans="2:8" x14ac:dyDescent="0.25">
      <c r="B873"/>
      <c r="C873"/>
      <c r="D873"/>
      <c r="E873"/>
      <c r="F873"/>
      <c r="G873"/>
      <c r="H873"/>
    </row>
    <row r="874" spans="2:8" x14ac:dyDescent="0.25">
      <c r="B874"/>
      <c r="C874"/>
      <c r="D874"/>
      <c r="E874"/>
      <c r="F874"/>
      <c r="G874"/>
      <c r="H874"/>
    </row>
    <row r="875" spans="2:8" x14ac:dyDescent="0.25">
      <c r="B875"/>
      <c r="C875"/>
      <c r="D875"/>
      <c r="E875"/>
      <c r="F875"/>
      <c r="G875"/>
      <c r="H875"/>
    </row>
    <row r="876" spans="2:8" x14ac:dyDescent="0.25">
      <c r="B876"/>
      <c r="C876"/>
      <c r="D876"/>
      <c r="E876"/>
      <c r="F876"/>
      <c r="G876"/>
      <c r="H876"/>
    </row>
    <row r="877" spans="2:8" x14ac:dyDescent="0.25">
      <c r="B877"/>
      <c r="C877"/>
      <c r="D877"/>
      <c r="E877"/>
      <c r="F877"/>
      <c r="G877"/>
      <c r="H877"/>
    </row>
    <row r="878" spans="2:8" x14ac:dyDescent="0.25">
      <c r="B878"/>
      <c r="C878"/>
      <c r="D878"/>
      <c r="E878"/>
      <c r="F878"/>
      <c r="G878"/>
      <c r="H878"/>
    </row>
    <row r="879" spans="2:8" x14ac:dyDescent="0.25">
      <c r="B879"/>
      <c r="C879"/>
      <c r="D879"/>
      <c r="E879"/>
      <c r="F879"/>
      <c r="G879"/>
      <c r="H879"/>
    </row>
    <row r="880" spans="2:8" x14ac:dyDescent="0.25">
      <c r="B880"/>
      <c r="C880"/>
      <c r="D880"/>
      <c r="E880"/>
      <c r="F880"/>
      <c r="G880"/>
      <c r="H880"/>
    </row>
    <row r="881" spans="2:8" x14ac:dyDescent="0.25">
      <c r="B881"/>
      <c r="C881"/>
      <c r="D881"/>
      <c r="E881"/>
      <c r="F881"/>
      <c r="G881"/>
      <c r="H881"/>
    </row>
    <row r="882" spans="2:8" x14ac:dyDescent="0.25">
      <c r="B882"/>
      <c r="C882"/>
      <c r="D882"/>
      <c r="E882"/>
      <c r="F882"/>
      <c r="G882"/>
      <c r="H882"/>
    </row>
    <row r="883" spans="2:8" x14ac:dyDescent="0.25">
      <c r="B883"/>
      <c r="C883"/>
      <c r="D883"/>
      <c r="E883"/>
      <c r="F883"/>
      <c r="G883"/>
      <c r="H883"/>
    </row>
    <row r="884" spans="2:8" x14ac:dyDescent="0.25">
      <c r="B884"/>
      <c r="C884"/>
      <c r="D884"/>
      <c r="E884"/>
      <c r="F884"/>
      <c r="G884"/>
      <c r="H884"/>
    </row>
    <row r="885" spans="2:8" x14ac:dyDescent="0.25">
      <c r="B885"/>
      <c r="C885"/>
      <c r="D885"/>
      <c r="E885"/>
      <c r="F885"/>
      <c r="G885"/>
      <c r="H885"/>
    </row>
    <row r="886" spans="2:8" x14ac:dyDescent="0.25">
      <c r="B886"/>
      <c r="C886"/>
      <c r="D886"/>
      <c r="E886"/>
      <c r="F886"/>
      <c r="G886"/>
      <c r="H886"/>
    </row>
    <row r="887" spans="2:8" x14ac:dyDescent="0.25">
      <c r="B887"/>
      <c r="C887"/>
      <c r="D887"/>
      <c r="E887"/>
      <c r="F887"/>
      <c r="G887"/>
      <c r="H887"/>
    </row>
    <row r="888" spans="2:8" x14ac:dyDescent="0.25">
      <c r="B888"/>
      <c r="C888"/>
      <c r="D888"/>
      <c r="E888"/>
      <c r="F888"/>
      <c r="G888"/>
      <c r="H888"/>
    </row>
    <row r="889" spans="2:8" x14ac:dyDescent="0.25">
      <c r="B889"/>
      <c r="C889"/>
      <c r="D889"/>
      <c r="E889"/>
      <c r="F889"/>
      <c r="G889"/>
      <c r="H889"/>
    </row>
    <row r="890" spans="2:8" x14ac:dyDescent="0.25">
      <c r="B890"/>
      <c r="C890"/>
      <c r="D890"/>
      <c r="E890"/>
      <c r="F890"/>
      <c r="G890"/>
      <c r="H890"/>
    </row>
    <row r="891" spans="2:8" x14ac:dyDescent="0.25">
      <c r="B891"/>
      <c r="C891"/>
      <c r="D891"/>
      <c r="E891"/>
      <c r="F891"/>
      <c r="G891"/>
      <c r="H891"/>
    </row>
    <row r="892" spans="2:8" x14ac:dyDescent="0.25">
      <c r="B892"/>
      <c r="C892"/>
      <c r="D892"/>
      <c r="E892"/>
      <c r="F892"/>
      <c r="G892"/>
      <c r="H892"/>
    </row>
    <row r="893" spans="2:8" x14ac:dyDescent="0.25">
      <c r="B893"/>
      <c r="C893"/>
      <c r="D893"/>
      <c r="E893"/>
      <c r="F893"/>
      <c r="G893"/>
      <c r="H893"/>
    </row>
    <row r="894" spans="2:8" x14ac:dyDescent="0.25">
      <c r="B894"/>
      <c r="C894"/>
      <c r="D894"/>
      <c r="E894"/>
      <c r="F894"/>
      <c r="G894"/>
      <c r="H894"/>
    </row>
    <row r="895" spans="2:8" x14ac:dyDescent="0.25">
      <c r="B895"/>
      <c r="C895"/>
      <c r="D895"/>
      <c r="E895"/>
      <c r="F895"/>
      <c r="G895"/>
      <c r="H895"/>
    </row>
    <row r="896" spans="2:8" x14ac:dyDescent="0.25">
      <c r="B896"/>
      <c r="C896"/>
      <c r="D896"/>
      <c r="E896"/>
      <c r="F896"/>
      <c r="G896"/>
      <c r="H896"/>
    </row>
    <row r="897" spans="2:8" x14ac:dyDescent="0.25">
      <c r="B897"/>
      <c r="C897"/>
      <c r="D897"/>
      <c r="E897"/>
      <c r="F897"/>
      <c r="G897"/>
      <c r="H897"/>
    </row>
    <row r="898" spans="2:8" x14ac:dyDescent="0.25">
      <c r="B898"/>
      <c r="C898"/>
      <c r="D898"/>
      <c r="E898"/>
      <c r="F898"/>
      <c r="G898"/>
      <c r="H898"/>
    </row>
    <row r="899" spans="2:8" x14ac:dyDescent="0.25">
      <c r="B899"/>
      <c r="C899"/>
      <c r="D899"/>
      <c r="E899"/>
      <c r="F899"/>
      <c r="G899"/>
      <c r="H899"/>
    </row>
    <row r="900" spans="2:8" x14ac:dyDescent="0.25">
      <c r="B900"/>
      <c r="C900"/>
      <c r="D900"/>
      <c r="E900"/>
      <c r="F900"/>
      <c r="G900"/>
      <c r="H900"/>
    </row>
    <row r="901" spans="2:8" x14ac:dyDescent="0.25">
      <c r="B901"/>
      <c r="C901"/>
      <c r="D901"/>
      <c r="E901"/>
      <c r="F901"/>
      <c r="G901"/>
      <c r="H901"/>
    </row>
    <row r="902" spans="2:8" x14ac:dyDescent="0.25">
      <c r="B902"/>
      <c r="C902"/>
      <c r="D902"/>
      <c r="E902"/>
      <c r="F902"/>
      <c r="G902"/>
      <c r="H902"/>
    </row>
    <row r="903" spans="2:8" x14ac:dyDescent="0.25">
      <c r="B903"/>
      <c r="C903"/>
      <c r="D903"/>
      <c r="E903"/>
      <c r="F903"/>
      <c r="G903"/>
      <c r="H903"/>
    </row>
    <row r="904" spans="2:8" x14ac:dyDescent="0.25">
      <c r="B904"/>
      <c r="C904"/>
      <c r="D904"/>
      <c r="E904"/>
      <c r="F904"/>
      <c r="G904"/>
      <c r="H904"/>
    </row>
    <row r="905" spans="2:8" x14ac:dyDescent="0.25">
      <c r="B905"/>
      <c r="C905"/>
      <c r="D905"/>
      <c r="E905"/>
      <c r="F905"/>
      <c r="G905"/>
      <c r="H905"/>
    </row>
    <row r="906" spans="2:8" x14ac:dyDescent="0.25">
      <c r="B906"/>
      <c r="C906"/>
      <c r="D906"/>
      <c r="E906"/>
      <c r="F906"/>
      <c r="G906"/>
      <c r="H906"/>
    </row>
    <row r="907" spans="2:8" x14ac:dyDescent="0.25">
      <c r="B907"/>
      <c r="C907"/>
      <c r="D907"/>
      <c r="E907"/>
      <c r="F907"/>
      <c r="G907"/>
      <c r="H907"/>
    </row>
    <row r="908" spans="2:8" x14ac:dyDescent="0.25">
      <c r="B908"/>
      <c r="C908"/>
      <c r="D908"/>
      <c r="E908"/>
      <c r="F908"/>
      <c r="G908"/>
      <c r="H908"/>
    </row>
    <row r="909" spans="2:8" x14ac:dyDescent="0.25">
      <c r="B909"/>
      <c r="C909"/>
      <c r="D909"/>
      <c r="E909"/>
      <c r="F909"/>
      <c r="G909"/>
      <c r="H909"/>
    </row>
    <row r="910" spans="2:8" x14ac:dyDescent="0.25">
      <c r="B910"/>
      <c r="C910"/>
      <c r="D910"/>
      <c r="E910"/>
      <c r="F910"/>
      <c r="G910"/>
      <c r="H910"/>
    </row>
    <row r="911" spans="2:8" x14ac:dyDescent="0.25">
      <c r="B911"/>
      <c r="C911"/>
      <c r="D911"/>
      <c r="E911"/>
      <c r="F911"/>
      <c r="G911"/>
      <c r="H911"/>
    </row>
    <row r="912" spans="2:8" x14ac:dyDescent="0.25">
      <c r="B912"/>
      <c r="C912"/>
      <c r="D912"/>
      <c r="E912"/>
      <c r="F912"/>
      <c r="G912"/>
      <c r="H912"/>
    </row>
    <row r="913" spans="2:8" x14ac:dyDescent="0.25">
      <c r="B913"/>
      <c r="C913"/>
      <c r="D913"/>
      <c r="E913"/>
      <c r="F913"/>
      <c r="G913"/>
      <c r="H913"/>
    </row>
    <row r="914" spans="2:8" x14ac:dyDescent="0.25">
      <c r="B914"/>
      <c r="C914"/>
      <c r="D914"/>
      <c r="E914"/>
      <c r="F914"/>
      <c r="G914"/>
      <c r="H914"/>
    </row>
    <row r="915" spans="2:8" x14ac:dyDescent="0.25">
      <c r="B915"/>
      <c r="C915"/>
      <c r="D915"/>
      <c r="E915"/>
      <c r="F915"/>
      <c r="G915"/>
      <c r="H915"/>
    </row>
    <row r="916" spans="2:8" x14ac:dyDescent="0.25">
      <c r="B916"/>
      <c r="C916"/>
      <c r="D916"/>
      <c r="E916"/>
      <c r="F916"/>
      <c r="G916"/>
      <c r="H916"/>
    </row>
    <row r="917" spans="2:8" x14ac:dyDescent="0.25">
      <c r="B917"/>
      <c r="C917"/>
      <c r="D917"/>
      <c r="E917"/>
      <c r="F917"/>
      <c r="G917"/>
      <c r="H917"/>
    </row>
    <row r="918" spans="2:8" x14ac:dyDescent="0.25">
      <c r="B918"/>
      <c r="C918"/>
      <c r="D918"/>
      <c r="E918"/>
      <c r="F918"/>
      <c r="G918"/>
      <c r="H918"/>
    </row>
    <row r="919" spans="2:8" x14ac:dyDescent="0.25">
      <c r="B919"/>
      <c r="C919"/>
      <c r="D919"/>
      <c r="E919"/>
      <c r="F919"/>
      <c r="G919"/>
      <c r="H919"/>
    </row>
    <row r="920" spans="2:8" x14ac:dyDescent="0.25">
      <c r="B920"/>
      <c r="C920"/>
      <c r="D920"/>
      <c r="E920"/>
      <c r="F920"/>
      <c r="G920"/>
      <c r="H920"/>
    </row>
    <row r="921" spans="2:8" x14ac:dyDescent="0.25">
      <c r="B921"/>
      <c r="C921"/>
      <c r="D921"/>
      <c r="E921"/>
      <c r="F921"/>
      <c r="G921"/>
      <c r="H921"/>
    </row>
    <row r="922" spans="2:8" x14ac:dyDescent="0.25">
      <c r="B922"/>
      <c r="C922"/>
      <c r="D922"/>
      <c r="E922"/>
      <c r="F922"/>
      <c r="G922"/>
      <c r="H922"/>
    </row>
    <row r="923" spans="2:8" x14ac:dyDescent="0.25">
      <c r="B923"/>
      <c r="C923"/>
      <c r="D923"/>
      <c r="E923"/>
      <c r="F923"/>
      <c r="G923"/>
      <c r="H923"/>
    </row>
    <row r="924" spans="2:8" x14ac:dyDescent="0.25">
      <c r="B924"/>
      <c r="C924"/>
      <c r="D924"/>
      <c r="E924"/>
      <c r="F924"/>
      <c r="G924"/>
      <c r="H924"/>
    </row>
    <row r="925" spans="2:8" x14ac:dyDescent="0.25">
      <c r="B925"/>
      <c r="C925"/>
      <c r="D925"/>
      <c r="E925"/>
      <c r="F925"/>
      <c r="G925"/>
      <c r="H925"/>
    </row>
    <row r="926" spans="2:8" x14ac:dyDescent="0.25">
      <c r="B926"/>
      <c r="C926"/>
      <c r="D926"/>
      <c r="E926"/>
      <c r="F926"/>
      <c r="G926"/>
      <c r="H926"/>
    </row>
    <row r="927" spans="2:8" x14ac:dyDescent="0.25">
      <c r="B927"/>
      <c r="C927"/>
      <c r="D927"/>
      <c r="E927"/>
      <c r="F927"/>
      <c r="G927"/>
      <c r="H927"/>
    </row>
    <row r="928" spans="2:8" x14ac:dyDescent="0.25">
      <c r="B928"/>
      <c r="C928"/>
      <c r="D928"/>
      <c r="E928"/>
      <c r="F928"/>
      <c r="G928"/>
      <c r="H928"/>
    </row>
    <row r="929" spans="2:8" x14ac:dyDescent="0.25">
      <c r="B929"/>
      <c r="C929"/>
      <c r="D929"/>
      <c r="E929"/>
      <c r="F929"/>
      <c r="G929"/>
      <c r="H929"/>
    </row>
    <row r="930" spans="2:8" x14ac:dyDescent="0.25">
      <c r="B930"/>
      <c r="C930"/>
      <c r="D930"/>
      <c r="E930"/>
      <c r="F930"/>
      <c r="G930"/>
      <c r="H930"/>
    </row>
    <row r="931" spans="2:8" x14ac:dyDescent="0.25">
      <c r="B931"/>
      <c r="C931"/>
      <c r="D931"/>
      <c r="E931"/>
      <c r="F931"/>
      <c r="G931"/>
      <c r="H931"/>
    </row>
    <row r="932" spans="2:8" x14ac:dyDescent="0.25">
      <c r="B932"/>
      <c r="C932"/>
      <c r="D932"/>
      <c r="E932"/>
      <c r="F932"/>
      <c r="G932"/>
      <c r="H932"/>
    </row>
    <row r="933" spans="2:8" x14ac:dyDescent="0.25">
      <c r="B933"/>
      <c r="C933"/>
      <c r="D933"/>
      <c r="E933"/>
      <c r="F933"/>
      <c r="G933"/>
      <c r="H933"/>
    </row>
    <row r="934" spans="2:8" x14ac:dyDescent="0.25">
      <c r="B934"/>
      <c r="C934"/>
      <c r="D934"/>
      <c r="E934"/>
      <c r="F934"/>
      <c r="G934"/>
      <c r="H934"/>
    </row>
    <row r="935" spans="2:8" x14ac:dyDescent="0.25">
      <c r="B935"/>
      <c r="C935"/>
      <c r="D935"/>
      <c r="E935"/>
      <c r="F935"/>
      <c r="G935"/>
      <c r="H935"/>
    </row>
    <row r="936" spans="2:8" x14ac:dyDescent="0.25">
      <c r="B936"/>
      <c r="C936"/>
      <c r="D936"/>
      <c r="E936"/>
      <c r="F936"/>
      <c r="G936"/>
      <c r="H936"/>
    </row>
    <row r="937" spans="2:8" x14ac:dyDescent="0.25">
      <c r="B937"/>
      <c r="C937"/>
      <c r="D937"/>
      <c r="E937"/>
      <c r="F937"/>
      <c r="G937"/>
      <c r="H937"/>
    </row>
    <row r="938" spans="2:8" x14ac:dyDescent="0.25">
      <c r="B938"/>
      <c r="C938"/>
      <c r="D938"/>
      <c r="E938"/>
      <c r="F938"/>
      <c r="G938"/>
      <c r="H938"/>
    </row>
    <row r="939" spans="2:8" x14ac:dyDescent="0.25">
      <c r="B939"/>
      <c r="C939"/>
      <c r="D939"/>
      <c r="E939"/>
      <c r="F939"/>
      <c r="G939"/>
      <c r="H939"/>
    </row>
    <row r="940" spans="2:8" x14ac:dyDescent="0.25">
      <c r="B940"/>
      <c r="C940"/>
      <c r="D940"/>
      <c r="E940"/>
      <c r="F940"/>
      <c r="G940"/>
      <c r="H940"/>
    </row>
    <row r="941" spans="2:8" x14ac:dyDescent="0.25">
      <c r="B941"/>
      <c r="C941"/>
      <c r="D941"/>
      <c r="E941"/>
      <c r="F941"/>
      <c r="G941"/>
      <c r="H941"/>
    </row>
    <row r="942" spans="2:8" x14ac:dyDescent="0.25">
      <c r="B942"/>
      <c r="C942"/>
      <c r="D942"/>
      <c r="E942"/>
      <c r="F942"/>
      <c r="G942"/>
      <c r="H942"/>
    </row>
    <row r="943" spans="2:8" x14ac:dyDescent="0.25">
      <c r="B943"/>
      <c r="C943"/>
      <c r="D943"/>
      <c r="E943"/>
      <c r="F943"/>
      <c r="G943"/>
      <c r="H943"/>
    </row>
    <row r="944" spans="2:8" x14ac:dyDescent="0.25">
      <c r="B944"/>
      <c r="C944"/>
      <c r="D944"/>
      <c r="E944"/>
      <c r="F944"/>
      <c r="G944"/>
      <c r="H944"/>
    </row>
    <row r="945" spans="2:8" x14ac:dyDescent="0.25">
      <c r="B945"/>
      <c r="C945"/>
      <c r="D945"/>
      <c r="E945"/>
      <c r="F945"/>
      <c r="G945"/>
      <c r="H945"/>
    </row>
    <row r="946" spans="2:8" x14ac:dyDescent="0.25">
      <c r="B946"/>
      <c r="C946"/>
      <c r="D946"/>
      <c r="E946"/>
      <c r="F946"/>
      <c r="G946"/>
      <c r="H946"/>
    </row>
    <row r="947" spans="2:8" x14ac:dyDescent="0.25">
      <c r="B947"/>
      <c r="C947"/>
      <c r="D947"/>
      <c r="E947"/>
      <c r="F947"/>
      <c r="G947"/>
      <c r="H947"/>
    </row>
    <row r="948" spans="2:8" x14ac:dyDescent="0.25">
      <c r="B948"/>
      <c r="C948"/>
      <c r="D948"/>
      <c r="E948"/>
      <c r="F948"/>
      <c r="G948"/>
      <c r="H948"/>
    </row>
    <row r="949" spans="2:8" x14ac:dyDescent="0.25">
      <c r="B949"/>
      <c r="C949"/>
      <c r="D949"/>
      <c r="E949"/>
      <c r="F949"/>
      <c r="G949"/>
      <c r="H949"/>
    </row>
    <row r="950" spans="2:8" x14ac:dyDescent="0.25">
      <c r="B950"/>
      <c r="C950"/>
      <c r="D950"/>
      <c r="E950"/>
      <c r="F950"/>
      <c r="G950"/>
      <c r="H950"/>
    </row>
    <row r="951" spans="2:8" x14ac:dyDescent="0.25">
      <c r="B951"/>
      <c r="C951"/>
      <c r="D951"/>
      <c r="E951"/>
      <c r="F951"/>
      <c r="G951"/>
      <c r="H951"/>
    </row>
    <row r="952" spans="2:8" x14ac:dyDescent="0.25">
      <c r="B952"/>
      <c r="C952"/>
      <c r="D952"/>
      <c r="E952"/>
      <c r="F952"/>
      <c r="G952"/>
      <c r="H952"/>
    </row>
    <row r="953" spans="2:8" x14ac:dyDescent="0.25">
      <c r="B953"/>
      <c r="C953"/>
      <c r="D953"/>
      <c r="E953"/>
      <c r="F953"/>
      <c r="G953"/>
      <c r="H953"/>
    </row>
    <row r="954" spans="2:8" x14ac:dyDescent="0.25">
      <c r="B954"/>
      <c r="C954"/>
      <c r="D954"/>
      <c r="E954"/>
      <c r="F954"/>
      <c r="G954"/>
      <c r="H954"/>
    </row>
    <row r="955" spans="2:8" x14ac:dyDescent="0.25">
      <c r="B955"/>
      <c r="C955"/>
      <c r="D955"/>
      <c r="E955"/>
      <c r="F955"/>
      <c r="G955"/>
      <c r="H955"/>
    </row>
    <row r="956" spans="2:8" x14ac:dyDescent="0.25">
      <c r="B956"/>
      <c r="C956"/>
      <c r="D956"/>
      <c r="E956"/>
      <c r="F956"/>
      <c r="G956"/>
      <c r="H956"/>
    </row>
    <row r="957" spans="2:8" x14ac:dyDescent="0.25">
      <c r="B957"/>
      <c r="C957"/>
      <c r="D957"/>
      <c r="E957"/>
      <c r="F957"/>
      <c r="G957"/>
      <c r="H957"/>
    </row>
    <row r="958" spans="2:8" x14ac:dyDescent="0.25">
      <c r="B958"/>
      <c r="C958"/>
      <c r="D958"/>
      <c r="E958"/>
      <c r="F958"/>
      <c r="G958"/>
      <c r="H958"/>
    </row>
    <row r="959" spans="2:8" x14ac:dyDescent="0.25">
      <c r="B959"/>
      <c r="C959"/>
      <c r="D959"/>
      <c r="E959"/>
      <c r="F959"/>
      <c r="G959"/>
      <c r="H959"/>
    </row>
    <row r="960" spans="2:8" x14ac:dyDescent="0.25">
      <c r="B960"/>
      <c r="C960"/>
      <c r="D960"/>
      <c r="E960"/>
      <c r="F960"/>
      <c r="G960"/>
      <c r="H960"/>
    </row>
    <row r="961" spans="2:8" x14ac:dyDescent="0.25">
      <c r="B961"/>
      <c r="C961"/>
      <c r="D961"/>
      <c r="E961"/>
      <c r="F961"/>
      <c r="G961"/>
      <c r="H961"/>
    </row>
    <row r="962" spans="2:8" x14ac:dyDescent="0.25">
      <c r="B962"/>
      <c r="C962"/>
      <c r="D962"/>
      <c r="E962"/>
      <c r="F962"/>
      <c r="G962"/>
      <c r="H962"/>
    </row>
    <row r="963" spans="2:8" x14ac:dyDescent="0.25">
      <c r="B963"/>
      <c r="C963"/>
      <c r="D963"/>
      <c r="E963"/>
      <c r="F963"/>
      <c r="G963"/>
      <c r="H963"/>
    </row>
    <row r="964" spans="2:8" x14ac:dyDescent="0.25">
      <c r="B964"/>
      <c r="C964"/>
      <c r="D964"/>
      <c r="E964"/>
      <c r="F964"/>
      <c r="G964"/>
      <c r="H964"/>
    </row>
    <row r="965" spans="2:8" x14ac:dyDescent="0.25">
      <c r="B965"/>
      <c r="C965"/>
      <c r="D965"/>
      <c r="E965"/>
      <c r="F965"/>
      <c r="G965"/>
      <c r="H965"/>
    </row>
    <row r="966" spans="2:8" x14ac:dyDescent="0.25">
      <c r="B966"/>
      <c r="C966"/>
      <c r="D966"/>
      <c r="E966"/>
      <c r="F966"/>
      <c r="G966"/>
      <c r="H966"/>
    </row>
    <row r="967" spans="2:8" x14ac:dyDescent="0.25">
      <c r="B967"/>
      <c r="C967"/>
      <c r="D967"/>
      <c r="E967"/>
      <c r="F967"/>
      <c r="G967"/>
      <c r="H967"/>
    </row>
    <row r="968" spans="2:8" x14ac:dyDescent="0.25">
      <c r="B968"/>
      <c r="C968"/>
      <c r="D968"/>
      <c r="E968"/>
      <c r="F968"/>
      <c r="G968"/>
      <c r="H968"/>
    </row>
    <row r="969" spans="2:8" x14ac:dyDescent="0.25">
      <c r="B969"/>
      <c r="C969"/>
      <c r="D969"/>
      <c r="E969"/>
      <c r="F969"/>
      <c r="G969"/>
      <c r="H969"/>
    </row>
    <row r="970" spans="2:8" x14ac:dyDescent="0.25">
      <c r="B970"/>
      <c r="C970"/>
      <c r="D970"/>
      <c r="E970"/>
      <c r="F970"/>
      <c r="G970"/>
      <c r="H970"/>
    </row>
    <row r="971" spans="2:8" x14ac:dyDescent="0.25">
      <c r="B971"/>
      <c r="C971"/>
      <c r="D971"/>
      <c r="E971"/>
      <c r="F971"/>
      <c r="G971"/>
      <c r="H971"/>
    </row>
    <row r="972" spans="2:8" x14ac:dyDescent="0.25">
      <c r="B972"/>
      <c r="C972"/>
      <c r="D972"/>
      <c r="E972"/>
      <c r="F972"/>
      <c r="G972"/>
      <c r="H972"/>
    </row>
    <row r="973" spans="2:8" x14ac:dyDescent="0.25">
      <c r="B973"/>
      <c r="C973"/>
      <c r="D973"/>
      <c r="E973"/>
      <c r="F973"/>
      <c r="G973"/>
      <c r="H973"/>
    </row>
    <row r="974" spans="2:8" x14ac:dyDescent="0.25">
      <c r="B974"/>
      <c r="C974"/>
      <c r="D974"/>
      <c r="E974"/>
      <c r="F974"/>
      <c r="G974"/>
      <c r="H974"/>
    </row>
    <row r="975" spans="2:8" x14ac:dyDescent="0.25">
      <c r="B975"/>
      <c r="C975"/>
      <c r="D975"/>
      <c r="E975"/>
      <c r="F975"/>
      <c r="G975"/>
      <c r="H975"/>
    </row>
    <row r="976" spans="2:8" x14ac:dyDescent="0.25">
      <c r="B976"/>
      <c r="C976"/>
      <c r="D976"/>
      <c r="E976"/>
      <c r="F976"/>
      <c r="G976"/>
      <c r="H976"/>
    </row>
    <row r="977" spans="2:8" x14ac:dyDescent="0.25">
      <c r="B977"/>
      <c r="C977"/>
      <c r="D977"/>
      <c r="E977"/>
      <c r="F977"/>
      <c r="G977"/>
      <c r="H977"/>
    </row>
    <row r="978" spans="2:8" x14ac:dyDescent="0.25">
      <c r="B978"/>
      <c r="C978"/>
      <c r="D978"/>
      <c r="E978"/>
      <c r="F978"/>
      <c r="G978"/>
      <c r="H978"/>
    </row>
    <row r="979" spans="2:8" x14ac:dyDescent="0.25">
      <c r="B979"/>
      <c r="C979"/>
      <c r="D979"/>
      <c r="E979"/>
      <c r="F979"/>
      <c r="G979"/>
      <c r="H979"/>
    </row>
    <row r="980" spans="2:8" x14ac:dyDescent="0.25">
      <c r="B980"/>
      <c r="C980"/>
      <c r="D980"/>
      <c r="E980"/>
      <c r="F980"/>
      <c r="G980"/>
      <c r="H980"/>
    </row>
    <row r="981" spans="2:8" x14ac:dyDescent="0.25">
      <c r="B981"/>
      <c r="C981"/>
      <c r="D981"/>
      <c r="E981"/>
      <c r="F981"/>
      <c r="G981"/>
      <c r="H981"/>
    </row>
    <row r="982" spans="2:8" x14ac:dyDescent="0.25">
      <c r="B982"/>
      <c r="C982"/>
      <c r="D982"/>
      <c r="E982"/>
      <c r="F982"/>
      <c r="G982"/>
      <c r="H982"/>
    </row>
    <row r="983" spans="2:8" x14ac:dyDescent="0.25">
      <c r="B983"/>
      <c r="C983"/>
      <c r="D983"/>
      <c r="E983"/>
      <c r="F983"/>
      <c r="G983"/>
      <c r="H983"/>
    </row>
    <row r="984" spans="2:8" x14ac:dyDescent="0.25">
      <c r="B984"/>
      <c r="C984"/>
      <c r="D984"/>
      <c r="E984"/>
      <c r="F984"/>
      <c r="G984"/>
      <c r="H984"/>
    </row>
    <row r="985" spans="2:8" x14ac:dyDescent="0.25">
      <c r="B985"/>
      <c r="C985"/>
      <c r="D985"/>
      <c r="E985"/>
      <c r="F985"/>
      <c r="G985"/>
      <c r="H985"/>
    </row>
    <row r="986" spans="2:8" x14ac:dyDescent="0.25">
      <c r="B986"/>
      <c r="C986"/>
      <c r="D986"/>
      <c r="E986"/>
      <c r="F986"/>
      <c r="G986"/>
      <c r="H986"/>
    </row>
    <row r="987" spans="2:8" x14ac:dyDescent="0.25">
      <c r="B987"/>
      <c r="C987"/>
      <c r="D987"/>
      <c r="E987"/>
      <c r="F987"/>
      <c r="G987"/>
      <c r="H987"/>
    </row>
    <row r="988" spans="2:8" x14ac:dyDescent="0.25">
      <c r="B988"/>
      <c r="C988"/>
      <c r="D988"/>
      <c r="E988"/>
      <c r="F988"/>
      <c r="G988"/>
      <c r="H988"/>
    </row>
    <row r="989" spans="2:8" x14ac:dyDescent="0.25">
      <c r="B989"/>
      <c r="C989"/>
      <c r="D989"/>
      <c r="E989"/>
      <c r="F989"/>
      <c r="G989"/>
      <c r="H989"/>
    </row>
    <row r="990" spans="2:8" x14ac:dyDescent="0.25">
      <c r="B990"/>
      <c r="C990"/>
      <c r="D990"/>
      <c r="E990"/>
      <c r="F990"/>
      <c r="G990"/>
      <c r="H990"/>
    </row>
    <row r="991" spans="2:8" x14ac:dyDescent="0.25">
      <c r="B991"/>
      <c r="C991"/>
      <c r="D991"/>
      <c r="E991"/>
      <c r="F991"/>
      <c r="G991"/>
      <c r="H991"/>
    </row>
    <row r="992" spans="2:8" x14ac:dyDescent="0.25">
      <c r="B992"/>
      <c r="C992"/>
      <c r="D992"/>
      <c r="E992"/>
      <c r="F992"/>
      <c r="G992"/>
      <c r="H992"/>
    </row>
    <row r="993" spans="2:8" x14ac:dyDescent="0.25">
      <c r="B993"/>
      <c r="C993"/>
      <c r="D993"/>
      <c r="E993"/>
      <c r="F993"/>
      <c r="G993"/>
      <c r="H993"/>
    </row>
    <row r="994" spans="2:8" x14ac:dyDescent="0.25">
      <c r="B994"/>
      <c r="C994"/>
      <c r="D994"/>
      <c r="E994"/>
      <c r="F994"/>
      <c r="G994"/>
      <c r="H994"/>
    </row>
    <row r="995" spans="2:8" x14ac:dyDescent="0.25">
      <c r="B995"/>
      <c r="C995"/>
      <c r="D995"/>
      <c r="E995"/>
      <c r="F995"/>
      <c r="G995"/>
      <c r="H995"/>
    </row>
    <row r="996" spans="2:8" x14ac:dyDescent="0.25">
      <c r="B996"/>
      <c r="C996"/>
      <c r="D996"/>
      <c r="E996"/>
      <c r="F996"/>
      <c r="G996"/>
      <c r="H996"/>
    </row>
    <row r="997" spans="2:8" x14ac:dyDescent="0.25">
      <c r="B997"/>
      <c r="C997"/>
      <c r="D997"/>
      <c r="E997"/>
      <c r="F997"/>
      <c r="G997"/>
      <c r="H997"/>
    </row>
    <row r="998" spans="2:8" x14ac:dyDescent="0.25">
      <c r="B998"/>
      <c r="C998"/>
      <c r="D998"/>
      <c r="E998"/>
      <c r="F998"/>
      <c r="G998"/>
      <c r="H998"/>
    </row>
    <row r="999" spans="2:8" x14ac:dyDescent="0.25">
      <c r="B999"/>
      <c r="C999"/>
      <c r="D999"/>
      <c r="E999"/>
      <c r="F999"/>
      <c r="G999"/>
      <c r="H999"/>
    </row>
    <row r="1000" spans="2:8" x14ac:dyDescent="0.25">
      <c r="B1000"/>
      <c r="C1000"/>
      <c r="D1000"/>
      <c r="E1000"/>
      <c r="F1000"/>
      <c r="G1000"/>
      <c r="H1000"/>
    </row>
    <row r="1001" spans="2:8" x14ac:dyDescent="0.25">
      <c r="B1001"/>
      <c r="C1001"/>
      <c r="D1001"/>
      <c r="E1001"/>
      <c r="F1001"/>
      <c r="G1001"/>
      <c r="H1001"/>
    </row>
    <row r="1002" spans="2:8" x14ac:dyDescent="0.25">
      <c r="B1002"/>
      <c r="C1002"/>
      <c r="D1002"/>
      <c r="E1002"/>
      <c r="F1002"/>
      <c r="G1002"/>
      <c r="H1002"/>
    </row>
    <row r="1003" spans="2:8" x14ac:dyDescent="0.25">
      <c r="B1003"/>
      <c r="C1003"/>
      <c r="D1003"/>
      <c r="E1003"/>
      <c r="F1003"/>
      <c r="G1003"/>
      <c r="H1003"/>
    </row>
    <row r="1004" spans="2:8" x14ac:dyDescent="0.25">
      <c r="B1004"/>
      <c r="C1004"/>
      <c r="D1004"/>
      <c r="E1004"/>
      <c r="F1004"/>
      <c r="G1004"/>
      <c r="H1004"/>
    </row>
    <row r="1005" spans="2:8" x14ac:dyDescent="0.25">
      <c r="B1005"/>
      <c r="C1005"/>
      <c r="D1005"/>
      <c r="E1005"/>
      <c r="F1005"/>
      <c r="G1005"/>
      <c r="H1005"/>
    </row>
    <row r="1006" spans="2:8" x14ac:dyDescent="0.25">
      <c r="B1006"/>
      <c r="C1006"/>
      <c r="D1006"/>
      <c r="E1006"/>
      <c r="F1006"/>
      <c r="G1006"/>
      <c r="H1006"/>
    </row>
    <row r="1007" spans="2:8" x14ac:dyDescent="0.25">
      <c r="B1007"/>
      <c r="C1007"/>
      <c r="D1007"/>
      <c r="E1007"/>
      <c r="F1007"/>
      <c r="G1007"/>
      <c r="H1007"/>
    </row>
    <row r="1008" spans="2:8" x14ac:dyDescent="0.25">
      <c r="B1008"/>
      <c r="C1008"/>
      <c r="D1008"/>
      <c r="E1008"/>
      <c r="F1008"/>
      <c r="G1008"/>
      <c r="H1008"/>
    </row>
    <row r="1009" spans="2:8" x14ac:dyDescent="0.25">
      <c r="B1009"/>
      <c r="C1009"/>
      <c r="D1009"/>
      <c r="E1009"/>
      <c r="F1009"/>
      <c r="G1009"/>
      <c r="H1009"/>
    </row>
    <row r="1010" spans="2:8" x14ac:dyDescent="0.25">
      <c r="B1010"/>
      <c r="C1010"/>
      <c r="D1010"/>
      <c r="E1010"/>
      <c r="F1010"/>
      <c r="G1010"/>
      <c r="H1010"/>
    </row>
  </sheetData>
  <sheetProtection pivotTables="0"/>
  <mergeCells count="2">
    <mergeCell ref="C3:H6"/>
    <mergeCell ref="E7:H7"/>
  </mergeCells>
  <conditionalFormatting sqref="B1:H6 B1011:H1048576 B9:E1010 B8:H8 B7:E7">
    <cfRule type="cellIs" dxfId="803" priority="1" operator="equal">
      <formula>"(blank)"</formula>
    </cfRule>
  </conditionalFormatting>
  <printOptions horizontalCentered="1"/>
  <pageMargins left="0.70866141732283472" right="0.70866141732283472" top="0.74803149606299213" bottom="0.74803149606299213" header="0.31496062992125984" footer="0.31496062992125984"/>
  <pageSetup scale="94" fitToHeight="0" orientation="portrait" r:id="rId2"/>
  <headerFooter>
    <oddFooter>&amp;CB &amp;P/&amp;N&amp;RStamp/Sign</oddFooter>
  </headerFooter>
  <rowBreaks count="5" manualBreakCount="5">
    <brk id="23" min="2" max="8" man="1"/>
    <brk id="37" min="2" max="8" man="1"/>
    <brk id="57" min="2" max="8" man="1"/>
    <brk id="69" min="2" max="8" man="1"/>
    <brk id="83" min="2" max="8" man="1"/>
  </rowBreaks>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B3AA4-EE5B-48DE-83AE-76B2E75D78CC}">
  <sheetPr codeName="Sheet28">
    <tabColor rgb="FFFFFF00"/>
    <pageSetUpPr fitToPage="1"/>
  </sheetPr>
  <dimension ref="B2:F515"/>
  <sheetViews>
    <sheetView showZeros="0" view="pageBreakPreview" zoomScale="90" zoomScaleNormal="100" zoomScaleSheetLayoutView="90" workbookViewId="0">
      <pane ySplit="6" topLeftCell="A7" activePane="bottomLeft" state="frozen"/>
      <selection activeCell="G35" sqref="G35"/>
      <selection pane="bottomLeft" activeCell="G19" sqref="G19"/>
    </sheetView>
  </sheetViews>
  <sheetFormatPr defaultColWidth="9.109375" defaultRowHeight="13.2" x14ac:dyDescent="0.25"/>
  <cols>
    <col min="1" max="1" width="4.33203125" style="5" customWidth="1"/>
    <col min="2" max="2" width="10.6640625" style="10" customWidth="1"/>
    <col min="3" max="3" width="58.6640625" style="11" customWidth="1"/>
    <col min="4" max="4" width="18.6640625" style="9" customWidth="1"/>
    <col min="5" max="6" width="0.88671875" style="5" customWidth="1"/>
    <col min="7" max="16384" width="9.109375" style="5"/>
  </cols>
  <sheetData>
    <row r="2" spans="2:6" x14ac:dyDescent="0.25">
      <c r="B2" s="149" t="str">
        <f>'2. BQ Normal'!D2</f>
        <v>SUPPLY, INSTALLATION, TESTING AND COMMISSIONING OF STREET LIGHTINGS AT SG LANGAT DAM</v>
      </c>
      <c r="C2" s="149"/>
      <c r="D2" s="149"/>
    </row>
    <row r="3" spans="2:6" x14ac:dyDescent="0.25">
      <c r="B3" s="149"/>
      <c r="C3" s="149"/>
      <c r="D3" s="149"/>
    </row>
    <row r="4" spans="2:6" x14ac:dyDescent="0.25">
      <c r="B4" s="149"/>
      <c r="C4" s="149"/>
      <c r="D4" s="149"/>
    </row>
    <row r="5" spans="2:6" x14ac:dyDescent="0.25">
      <c r="C5" s="12"/>
      <c r="D5" s="12"/>
    </row>
    <row r="6" spans="2:6" s="6" customFormat="1" ht="30" customHeight="1" x14ac:dyDescent="0.25">
      <c r="B6" s="61" t="s">
        <v>11</v>
      </c>
      <c r="C6" s="61" t="s">
        <v>16</v>
      </c>
      <c r="D6" s="6" t="s">
        <v>15</v>
      </c>
    </row>
    <row r="7" spans="2:6" x14ac:dyDescent="0.25">
      <c r="B7" s="18" t="s">
        <v>132</v>
      </c>
      <c r="C7" s="19"/>
      <c r="D7" s="8"/>
      <c r="E7"/>
      <c r="F7"/>
    </row>
    <row r="8" spans="2:6" x14ac:dyDescent="0.25">
      <c r="B8" s="20"/>
      <c r="C8" s="154" t="s">
        <v>132</v>
      </c>
      <c r="D8" s="8">
        <v>15000</v>
      </c>
      <c r="E8"/>
      <c r="F8"/>
    </row>
    <row r="9" spans="2:6" x14ac:dyDescent="0.25">
      <c r="C9" s="10"/>
      <c r="D9" s="8"/>
      <c r="E9"/>
      <c r="F9"/>
    </row>
    <row r="10" spans="2:6" x14ac:dyDescent="0.25">
      <c r="B10" s="62" t="s">
        <v>9</v>
      </c>
      <c r="C10" s="62"/>
      <c r="D10" s="155">
        <v>15000</v>
      </c>
      <c r="E10"/>
      <c r="F10"/>
    </row>
    <row r="11" spans="2:6" x14ac:dyDescent="0.25">
      <c r="B11"/>
      <c r="C11"/>
      <c r="D11"/>
      <c r="E11"/>
      <c r="F11"/>
    </row>
    <row r="12" spans="2:6" x14ac:dyDescent="0.25">
      <c r="B12"/>
      <c r="C12"/>
      <c r="D12"/>
      <c r="E12"/>
      <c r="F12"/>
    </row>
    <row r="13" spans="2:6" x14ac:dyDescent="0.25">
      <c r="B13"/>
      <c r="C13"/>
      <c r="D13"/>
      <c r="E13"/>
      <c r="F13"/>
    </row>
    <row r="14" spans="2:6" x14ac:dyDescent="0.25">
      <c r="B14"/>
      <c r="C14"/>
      <c r="D14"/>
      <c r="E14"/>
      <c r="F14"/>
    </row>
    <row r="15" spans="2:6" x14ac:dyDescent="0.25">
      <c r="B15"/>
      <c r="C15"/>
      <c r="D15"/>
      <c r="E15"/>
      <c r="F15"/>
    </row>
    <row r="16" spans="2:6"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s="60" customFormat="1" x14ac:dyDescent="0.25">
      <c r="B26"/>
      <c r="C26"/>
      <c r="D26"/>
    </row>
    <row r="27" spans="2:6" x14ac:dyDescent="0.25">
      <c r="B27"/>
      <c r="C27"/>
      <c r="D27"/>
      <c r="E27"/>
      <c r="F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row>
    <row r="36" spans="2:6" x14ac:dyDescent="0.25">
      <c r="B36"/>
      <c r="C36"/>
      <c r="D36"/>
    </row>
    <row r="37" spans="2:6" x14ac:dyDescent="0.25">
      <c r="B37"/>
      <c r="C37"/>
      <c r="D37"/>
    </row>
    <row r="38" spans="2:6" x14ac:dyDescent="0.25">
      <c r="B38"/>
      <c r="C38"/>
      <c r="D38"/>
    </row>
    <row r="39" spans="2:6" x14ac:dyDescent="0.25">
      <c r="B39"/>
      <c r="C39"/>
      <c r="D39"/>
    </row>
    <row r="40" spans="2:6" x14ac:dyDescent="0.25">
      <c r="B40"/>
      <c r="C40"/>
      <c r="D40"/>
    </row>
    <row r="41" spans="2:6" x14ac:dyDescent="0.25">
      <c r="B41"/>
      <c r="C41"/>
      <c r="D41"/>
    </row>
    <row r="42" spans="2:6" x14ac:dyDescent="0.25">
      <c r="B42"/>
      <c r="C42"/>
      <c r="D42"/>
    </row>
    <row r="43" spans="2:6" x14ac:dyDescent="0.25">
      <c r="B43"/>
      <c r="C43"/>
      <c r="D43"/>
    </row>
    <row r="44" spans="2:6" x14ac:dyDescent="0.25">
      <c r="B44"/>
      <c r="C44"/>
      <c r="D44"/>
    </row>
    <row r="45" spans="2:6" x14ac:dyDescent="0.25">
      <c r="B45"/>
      <c r="C45"/>
      <c r="D45"/>
    </row>
    <row r="46" spans="2:6" x14ac:dyDescent="0.25">
      <c r="B46"/>
      <c r="C46"/>
      <c r="D46"/>
    </row>
    <row r="47" spans="2:6" x14ac:dyDescent="0.25">
      <c r="B47"/>
      <c r="C47"/>
      <c r="D47"/>
    </row>
    <row r="48" spans="2:6"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row>
    <row r="206" spans="2:4" x14ac:dyDescent="0.25">
      <c r="B206"/>
      <c r="C206"/>
    </row>
    <row r="207" spans="2:4" x14ac:dyDescent="0.25">
      <c r="B207"/>
      <c r="C207"/>
    </row>
    <row r="208" spans="2:4" x14ac:dyDescent="0.25">
      <c r="B208"/>
      <c r="C208"/>
    </row>
    <row r="209" spans="2:6" x14ac:dyDescent="0.25">
      <c r="B209"/>
      <c r="C209"/>
    </row>
    <row r="210" spans="2:6" s="9" customFormat="1" x14ac:dyDescent="0.25">
      <c r="B210"/>
      <c r="C210"/>
      <c r="E210" s="5"/>
      <c r="F210" s="5"/>
    </row>
    <row r="211" spans="2:6" s="9" customFormat="1" x14ac:dyDescent="0.25">
      <c r="B211"/>
      <c r="C211"/>
      <c r="E211" s="5"/>
      <c r="F211" s="5"/>
    </row>
    <row r="212" spans="2:6" s="9" customFormat="1" x14ac:dyDescent="0.25">
      <c r="B212"/>
      <c r="C212"/>
      <c r="E212" s="5"/>
      <c r="F212" s="5"/>
    </row>
    <row r="213" spans="2:6" s="9" customFormat="1" x14ac:dyDescent="0.25">
      <c r="B213"/>
      <c r="C213"/>
      <c r="E213" s="5"/>
      <c r="F213" s="5"/>
    </row>
    <row r="214" spans="2:6" s="9" customFormat="1" x14ac:dyDescent="0.25">
      <c r="B214"/>
      <c r="C214"/>
      <c r="E214" s="5"/>
      <c r="F214" s="5"/>
    </row>
    <row r="215" spans="2:6" s="9" customFormat="1" x14ac:dyDescent="0.25">
      <c r="B215"/>
      <c r="C215"/>
      <c r="E215" s="5"/>
      <c r="F215" s="5"/>
    </row>
    <row r="216" spans="2:6" s="9" customFormat="1" x14ac:dyDescent="0.25">
      <c r="B216"/>
      <c r="C216"/>
      <c r="E216" s="5"/>
      <c r="F216" s="5"/>
    </row>
    <row r="217" spans="2:6" s="9" customFormat="1" x14ac:dyDescent="0.25">
      <c r="B217"/>
      <c r="C217"/>
      <c r="E217" s="5"/>
      <c r="F217" s="5"/>
    </row>
    <row r="218" spans="2:6" s="9" customFormat="1" x14ac:dyDescent="0.25">
      <c r="B218"/>
      <c r="C218"/>
      <c r="E218" s="5"/>
      <c r="F218" s="5"/>
    </row>
    <row r="219" spans="2:6" s="9" customFormat="1" x14ac:dyDescent="0.25">
      <c r="B219"/>
      <c r="C219"/>
      <c r="E219" s="5"/>
      <c r="F219" s="5"/>
    </row>
    <row r="220" spans="2:6" s="9" customFormat="1" x14ac:dyDescent="0.25">
      <c r="B220"/>
      <c r="C220"/>
      <c r="E220" s="5"/>
      <c r="F220" s="5"/>
    </row>
    <row r="221" spans="2:6" s="9" customFormat="1" x14ac:dyDescent="0.25">
      <c r="B221"/>
      <c r="C221"/>
      <c r="E221" s="5"/>
      <c r="F221" s="5"/>
    </row>
    <row r="222" spans="2:6" s="9" customFormat="1" x14ac:dyDescent="0.25">
      <c r="B222"/>
      <c r="C222"/>
      <c r="E222" s="5"/>
      <c r="F222" s="5"/>
    </row>
    <row r="223" spans="2:6" s="9" customFormat="1" x14ac:dyDescent="0.25">
      <c r="B223"/>
      <c r="C223"/>
      <c r="E223" s="5"/>
      <c r="F223" s="5"/>
    </row>
    <row r="224" spans="2:6" s="9" customFormat="1" x14ac:dyDescent="0.25">
      <c r="B224"/>
      <c r="C224"/>
      <c r="E224" s="5"/>
      <c r="F224" s="5"/>
    </row>
    <row r="225" spans="2:6" s="9" customFormat="1" x14ac:dyDescent="0.25">
      <c r="B225"/>
      <c r="C225"/>
      <c r="E225" s="5"/>
      <c r="F225" s="5"/>
    </row>
    <row r="226" spans="2:6" s="9" customFormat="1" x14ac:dyDescent="0.25">
      <c r="B226"/>
      <c r="C226"/>
      <c r="E226" s="5"/>
      <c r="F226" s="5"/>
    </row>
    <row r="227" spans="2:6" s="9" customFormat="1" x14ac:dyDescent="0.25">
      <c r="B227"/>
      <c r="C227"/>
      <c r="E227" s="5"/>
      <c r="F227" s="5"/>
    </row>
    <row r="228" spans="2:6" s="9" customFormat="1" x14ac:dyDescent="0.25">
      <c r="B228"/>
      <c r="C228"/>
      <c r="E228" s="5"/>
      <c r="F228" s="5"/>
    </row>
    <row r="229" spans="2:6" s="9" customFormat="1" x14ac:dyDescent="0.25">
      <c r="B229"/>
      <c r="C229"/>
      <c r="E229" s="5"/>
      <c r="F229" s="5"/>
    </row>
    <row r="230" spans="2:6" s="9" customFormat="1" x14ac:dyDescent="0.25">
      <c r="B230"/>
      <c r="C230"/>
      <c r="E230" s="5"/>
      <c r="F230" s="5"/>
    </row>
    <row r="231" spans="2:6" s="9" customFormat="1" x14ac:dyDescent="0.25">
      <c r="B231"/>
      <c r="C231"/>
      <c r="E231" s="5"/>
      <c r="F231" s="5"/>
    </row>
    <row r="232" spans="2:6" s="9" customFormat="1" x14ac:dyDescent="0.25">
      <c r="B232"/>
      <c r="C232"/>
      <c r="E232" s="5"/>
      <c r="F232" s="5"/>
    </row>
    <row r="233" spans="2:6" s="9" customFormat="1" x14ac:dyDescent="0.25">
      <c r="B233"/>
      <c r="C233"/>
      <c r="E233" s="5"/>
      <c r="F233" s="5"/>
    </row>
    <row r="234" spans="2:6" s="9" customFormat="1" x14ac:dyDescent="0.25">
      <c r="B234"/>
      <c r="C234"/>
      <c r="E234" s="5"/>
      <c r="F234" s="5"/>
    </row>
    <row r="235" spans="2:6" s="9" customFormat="1" x14ac:dyDescent="0.25">
      <c r="B235"/>
      <c r="C235"/>
      <c r="E235" s="5"/>
      <c r="F235" s="5"/>
    </row>
    <row r="236" spans="2:6" s="9" customFormat="1" x14ac:dyDescent="0.25">
      <c r="B236"/>
      <c r="C236"/>
      <c r="E236" s="5"/>
      <c r="F236" s="5"/>
    </row>
    <row r="237" spans="2:6" s="9" customFormat="1" x14ac:dyDescent="0.25">
      <c r="B237"/>
      <c r="C237"/>
      <c r="E237" s="5"/>
      <c r="F237" s="5"/>
    </row>
    <row r="238" spans="2:6" s="9" customFormat="1" x14ac:dyDescent="0.25">
      <c r="B238"/>
      <c r="C238"/>
      <c r="E238" s="5"/>
      <c r="F238" s="5"/>
    </row>
    <row r="239" spans="2:6" s="9" customFormat="1" x14ac:dyDescent="0.25">
      <c r="B239"/>
      <c r="C239"/>
      <c r="E239" s="5"/>
      <c r="F239" s="5"/>
    </row>
    <row r="240" spans="2:6" s="9" customFormat="1" x14ac:dyDescent="0.25">
      <c r="B240"/>
      <c r="C240"/>
      <c r="E240" s="5"/>
      <c r="F240" s="5"/>
    </row>
    <row r="241" spans="2:6" s="9" customFormat="1" x14ac:dyDescent="0.25">
      <c r="B241"/>
      <c r="C241"/>
      <c r="E241" s="5"/>
      <c r="F241" s="5"/>
    </row>
    <row r="242" spans="2:6" s="9" customFormat="1" x14ac:dyDescent="0.25">
      <c r="B242"/>
      <c r="C242"/>
      <c r="E242" s="5"/>
      <c r="F242" s="5"/>
    </row>
    <row r="243" spans="2:6" s="9" customFormat="1" x14ac:dyDescent="0.25">
      <c r="B243"/>
      <c r="C243"/>
      <c r="E243" s="5"/>
      <c r="F243" s="5"/>
    </row>
    <row r="244" spans="2:6" s="9" customFormat="1" x14ac:dyDescent="0.25">
      <c r="B244"/>
      <c r="C244"/>
      <c r="E244" s="5"/>
      <c r="F244" s="5"/>
    </row>
    <row r="245" spans="2:6" s="9" customFormat="1" x14ac:dyDescent="0.25">
      <c r="B245"/>
      <c r="C245"/>
      <c r="E245" s="5"/>
      <c r="F245" s="5"/>
    </row>
    <row r="246" spans="2:6" s="9" customFormat="1" x14ac:dyDescent="0.25">
      <c r="B246"/>
      <c r="C246"/>
      <c r="E246" s="5"/>
      <c r="F246" s="5"/>
    </row>
    <row r="247" spans="2:6" s="9" customFormat="1" x14ac:dyDescent="0.25">
      <c r="B247"/>
      <c r="C247"/>
      <c r="E247" s="5"/>
      <c r="F247" s="5"/>
    </row>
    <row r="248" spans="2:6" s="9" customFormat="1" x14ac:dyDescent="0.25">
      <c r="B248"/>
      <c r="C248"/>
      <c r="E248" s="5"/>
      <c r="F248" s="5"/>
    </row>
    <row r="249" spans="2:6" s="9" customFormat="1" x14ac:dyDescent="0.25">
      <c r="B249"/>
      <c r="C249"/>
      <c r="E249" s="5"/>
      <c r="F249" s="5"/>
    </row>
    <row r="250" spans="2:6" s="9" customFormat="1" x14ac:dyDescent="0.25">
      <c r="B250"/>
      <c r="C250"/>
      <c r="E250" s="5"/>
      <c r="F250" s="5"/>
    </row>
    <row r="251" spans="2:6" s="9" customFormat="1" x14ac:dyDescent="0.25">
      <c r="B251"/>
      <c r="C251"/>
      <c r="E251" s="5"/>
      <c r="F251" s="5"/>
    </row>
    <row r="252" spans="2:6" s="9" customFormat="1" x14ac:dyDescent="0.25">
      <c r="B252"/>
      <c r="C252"/>
      <c r="E252" s="5"/>
      <c r="F252" s="5"/>
    </row>
    <row r="253" spans="2:6" s="9" customFormat="1" x14ac:dyDescent="0.25">
      <c r="B253"/>
      <c r="C253"/>
      <c r="E253" s="5"/>
      <c r="F253" s="5"/>
    </row>
    <row r="254" spans="2:6" s="9" customFormat="1" x14ac:dyDescent="0.25">
      <c r="B254"/>
      <c r="C254"/>
      <c r="E254" s="5"/>
      <c r="F254" s="5"/>
    </row>
    <row r="255" spans="2:6" s="9" customFormat="1" x14ac:dyDescent="0.25">
      <c r="B255"/>
      <c r="C255"/>
      <c r="E255" s="5"/>
      <c r="F255" s="5"/>
    </row>
    <row r="256" spans="2:6" s="9" customFormat="1" x14ac:dyDescent="0.25">
      <c r="B256"/>
      <c r="C256"/>
      <c r="E256" s="5"/>
      <c r="F256" s="5"/>
    </row>
    <row r="257" spans="2:6" s="9" customFormat="1" x14ac:dyDescent="0.25">
      <c r="B257"/>
      <c r="C257"/>
      <c r="E257" s="5"/>
      <c r="F257" s="5"/>
    </row>
    <row r="258" spans="2:6" s="9" customFormat="1" x14ac:dyDescent="0.25">
      <c r="B258"/>
      <c r="C258"/>
      <c r="E258" s="5"/>
      <c r="F258" s="5"/>
    </row>
    <row r="259" spans="2:6" s="9" customFormat="1" x14ac:dyDescent="0.25">
      <c r="B259"/>
      <c r="C259"/>
      <c r="E259" s="5"/>
      <c r="F259" s="5"/>
    </row>
    <row r="260" spans="2:6" s="9" customFormat="1" x14ac:dyDescent="0.25">
      <c r="B260"/>
      <c r="C260"/>
      <c r="E260" s="5"/>
      <c r="F260" s="5"/>
    </row>
    <row r="261" spans="2:6" s="9" customFormat="1" x14ac:dyDescent="0.25">
      <c r="B261"/>
      <c r="C261"/>
      <c r="E261" s="5"/>
      <c r="F261" s="5"/>
    </row>
    <row r="262" spans="2:6" s="9" customFormat="1" x14ac:dyDescent="0.25">
      <c r="B262"/>
      <c r="C262"/>
      <c r="E262" s="5"/>
      <c r="F262" s="5"/>
    </row>
    <row r="263" spans="2:6" s="9" customFormat="1" x14ac:dyDescent="0.25">
      <c r="B263"/>
      <c r="C263"/>
      <c r="E263" s="5"/>
      <c r="F263" s="5"/>
    </row>
    <row r="264" spans="2:6" s="9" customFormat="1" x14ac:dyDescent="0.25">
      <c r="B264"/>
      <c r="C264"/>
      <c r="E264" s="5"/>
      <c r="F264" s="5"/>
    </row>
    <row r="265" spans="2:6" s="9" customFormat="1" x14ac:dyDescent="0.25">
      <c r="B265"/>
      <c r="C265"/>
      <c r="E265" s="5"/>
      <c r="F265" s="5"/>
    </row>
    <row r="266" spans="2:6" s="9" customFormat="1" x14ac:dyDescent="0.25">
      <c r="B266"/>
      <c r="C266"/>
      <c r="E266" s="5"/>
      <c r="F266" s="5"/>
    </row>
    <row r="267" spans="2:6" s="9" customFormat="1" x14ac:dyDescent="0.25">
      <c r="B267"/>
      <c r="C267"/>
      <c r="E267" s="5"/>
      <c r="F267" s="5"/>
    </row>
    <row r="268" spans="2:6" s="9" customFormat="1" x14ac:dyDescent="0.25">
      <c r="B268"/>
      <c r="C268"/>
      <c r="E268" s="5"/>
      <c r="F268" s="5"/>
    </row>
    <row r="269" spans="2:6" s="9" customFormat="1" x14ac:dyDescent="0.25">
      <c r="B269"/>
      <c r="C269"/>
      <c r="E269" s="5"/>
      <c r="F269" s="5"/>
    </row>
    <row r="270" spans="2:6" s="9" customFormat="1" x14ac:dyDescent="0.25">
      <c r="B270"/>
      <c r="C270"/>
      <c r="E270" s="5"/>
      <c r="F270" s="5"/>
    </row>
    <row r="271" spans="2:6" s="9" customFormat="1" x14ac:dyDescent="0.25">
      <c r="B271"/>
      <c r="C271"/>
      <c r="E271" s="5"/>
      <c r="F271" s="5"/>
    </row>
    <row r="272" spans="2:6" s="9" customFormat="1" x14ac:dyDescent="0.25">
      <c r="B272"/>
      <c r="C272"/>
      <c r="E272" s="5"/>
      <c r="F272" s="5"/>
    </row>
    <row r="273" spans="2:6" s="9" customFormat="1" x14ac:dyDescent="0.25">
      <c r="B273"/>
      <c r="C273"/>
      <c r="E273" s="5"/>
      <c r="F273" s="5"/>
    </row>
    <row r="274" spans="2:6" s="9" customFormat="1" x14ac:dyDescent="0.25">
      <c r="B274"/>
      <c r="C274"/>
      <c r="E274" s="5"/>
      <c r="F274" s="5"/>
    </row>
    <row r="275" spans="2:6" s="9" customFormat="1" x14ac:dyDescent="0.25">
      <c r="B275"/>
      <c r="C275"/>
      <c r="E275" s="5"/>
      <c r="F275" s="5"/>
    </row>
    <row r="276" spans="2:6" s="9" customFormat="1" x14ac:dyDescent="0.25">
      <c r="B276"/>
      <c r="C276"/>
      <c r="E276" s="5"/>
      <c r="F276" s="5"/>
    </row>
    <row r="277" spans="2:6" s="9" customFormat="1" x14ac:dyDescent="0.25">
      <c r="B277"/>
      <c r="C277"/>
      <c r="E277" s="5"/>
      <c r="F277" s="5"/>
    </row>
    <row r="278" spans="2:6" s="9" customFormat="1" x14ac:dyDescent="0.25">
      <c r="B278"/>
      <c r="C278"/>
      <c r="E278" s="5"/>
      <c r="F278" s="5"/>
    </row>
    <row r="279" spans="2:6" s="9" customFormat="1" x14ac:dyDescent="0.25">
      <c r="B279"/>
      <c r="C279"/>
      <c r="E279" s="5"/>
      <c r="F279" s="5"/>
    </row>
    <row r="280" spans="2:6" s="9" customFormat="1" x14ac:dyDescent="0.25">
      <c r="B280"/>
      <c r="C280"/>
      <c r="E280" s="5"/>
      <c r="F280" s="5"/>
    </row>
    <row r="281" spans="2:6" s="9" customFormat="1" x14ac:dyDescent="0.25">
      <c r="B281"/>
      <c r="C281"/>
      <c r="E281" s="5"/>
      <c r="F281" s="5"/>
    </row>
    <row r="282" spans="2:6" s="9" customFormat="1" x14ac:dyDescent="0.25">
      <c r="B282"/>
      <c r="C282"/>
      <c r="E282" s="5"/>
      <c r="F282" s="5"/>
    </row>
    <row r="283" spans="2:6" s="9" customFormat="1" x14ac:dyDescent="0.25">
      <c r="B283"/>
      <c r="C283"/>
      <c r="E283" s="5"/>
      <c r="F283" s="5"/>
    </row>
    <row r="284" spans="2:6" s="9" customFormat="1" x14ac:dyDescent="0.25">
      <c r="B284"/>
      <c r="C284"/>
      <c r="E284" s="5"/>
      <c r="F284" s="5"/>
    </row>
    <row r="285" spans="2:6" s="9" customFormat="1" x14ac:dyDescent="0.25">
      <c r="B285"/>
      <c r="C285"/>
      <c r="E285" s="5"/>
      <c r="F285" s="5"/>
    </row>
    <row r="286" spans="2:6" s="9" customFormat="1" x14ac:dyDescent="0.25">
      <c r="B286"/>
      <c r="C286"/>
      <c r="E286" s="5"/>
      <c r="F286" s="5"/>
    </row>
    <row r="287" spans="2:6" s="9" customFormat="1" x14ac:dyDescent="0.25">
      <c r="B287"/>
      <c r="C287"/>
      <c r="E287" s="5"/>
      <c r="F287" s="5"/>
    </row>
    <row r="288" spans="2:6" s="9" customFormat="1" x14ac:dyDescent="0.25">
      <c r="B288"/>
      <c r="C288"/>
      <c r="E288" s="5"/>
      <c r="F288" s="5"/>
    </row>
    <row r="289" spans="2:6" s="9" customFormat="1" x14ac:dyDescent="0.25">
      <c r="B289"/>
      <c r="C289"/>
      <c r="E289" s="5"/>
      <c r="F289" s="5"/>
    </row>
    <row r="290" spans="2:6" s="9" customFormat="1" x14ac:dyDescent="0.25">
      <c r="B290"/>
      <c r="C290"/>
      <c r="E290" s="5"/>
      <c r="F290" s="5"/>
    </row>
    <row r="291" spans="2:6" s="9" customFormat="1" x14ac:dyDescent="0.25">
      <c r="B291"/>
      <c r="C291"/>
      <c r="E291" s="5"/>
      <c r="F291" s="5"/>
    </row>
    <row r="292" spans="2:6" s="9" customFormat="1" x14ac:dyDescent="0.25">
      <c r="B292"/>
      <c r="C292"/>
      <c r="E292" s="5"/>
      <c r="F292" s="5"/>
    </row>
    <row r="293" spans="2:6" s="9" customFormat="1" x14ac:dyDescent="0.25">
      <c r="B293"/>
      <c r="C293"/>
      <c r="E293" s="5"/>
      <c r="F293" s="5"/>
    </row>
    <row r="294" spans="2:6" s="9" customFormat="1" x14ac:dyDescent="0.25">
      <c r="B294"/>
      <c r="C294"/>
      <c r="E294" s="5"/>
      <c r="F294" s="5"/>
    </row>
    <row r="295" spans="2:6" s="9" customFormat="1" x14ac:dyDescent="0.25">
      <c r="B295"/>
      <c r="C295"/>
      <c r="E295" s="5"/>
      <c r="F295" s="5"/>
    </row>
    <row r="296" spans="2:6" s="9" customFormat="1" x14ac:dyDescent="0.25">
      <c r="B296"/>
      <c r="C296"/>
      <c r="E296" s="5"/>
      <c r="F296" s="5"/>
    </row>
    <row r="297" spans="2:6" s="9" customFormat="1" x14ac:dyDescent="0.25">
      <c r="B297"/>
      <c r="C297"/>
      <c r="E297" s="5"/>
      <c r="F297" s="5"/>
    </row>
    <row r="298" spans="2:6" s="9" customFormat="1" x14ac:dyDescent="0.25">
      <c r="B298"/>
      <c r="C298"/>
      <c r="E298" s="5"/>
      <c r="F298" s="5"/>
    </row>
    <row r="299" spans="2:6" s="9" customFormat="1" x14ac:dyDescent="0.25">
      <c r="B299"/>
      <c r="C299"/>
      <c r="E299" s="5"/>
      <c r="F299" s="5"/>
    </row>
    <row r="300" spans="2:6" s="9" customFormat="1" x14ac:dyDescent="0.25">
      <c r="B300"/>
      <c r="C300"/>
      <c r="E300" s="5"/>
      <c r="F300" s="5"/>
    </row>
    <row r="301" spans="2:6" s="9" customFormat="1" x14ac:dyDescent="0.25">
      <c r="B301"/>
      <c r="C301"/>
      <c r="E301" s="5"/>
      <c r="F301" s="5"/>
    </row>
    <row r="302" spans="2:6" s="9" customFormat="1" x14ac:dyDescent="0.25">
      <c r="B302"/>
      <c r="C302"/>
      <c r="E302" s="5"/>
      <c r="F302" s="5"/>
    </row>
    <row r="303" spans="2:6" s="9" customFormat="1" x14ac:dyDescent="0.25">
      <c r="B303"/>
      <c r="C303"/>
      <c r="E303" s="5"/>
      <c r="F303" s="5"/>
    </row>
    <row r="304" spans="2:6" s="9" customFormat="1" x14ac:dyDescent="0.25">
      <c r="B304"/>
      <c r="C304"/>
      <c r="E304" s="5"/>
      <c r="F304" s="5"/>
    </row>
    <row r="305" spans="2:6" s="9" customFormat="1" x14ac:dyDescent="0.25">
      <c r="B305"/>
      <c r="C305"/>
      <c r="E305" s="5"/>
      <c r="F305" s="5"/>
    </row>
    <row r="306" spans="2:6" s="9" customFormat="1" x14ac:dyDescent="0.25">
      <c r="B306"/>
      <c r="C306"/>
      <c r="E306" s="5"/>
      <c r="F306" s="5"/>
    </row>
    <row r="307" spans="2:6" s="9" customFormat="1" x14ac:dyDescent="0.25">
      <c r="B307"/>
      <c r="C307"/>
      <c r="E307" s="5"/>
      <c r="F307" s="5"/>
    </row>
    <row r="308" spans="2:6" s="9" customFormat="1" x14ac:dyDescent="0.25">
      <c r="B308"/>
      <c r="C308"/>
      <c r="E308" s="5"/>
      <c r="F308" s="5"/>
    </row>
    <row r="309" spans="2:6" s="9" customFormat="1" x14ac:dyDescent="0.25">
      <c r="B309"/>
      <c r="C309"/>
      <c r="E309" s="5"/>
      <c r="F309" s="5"/>
    </row>
    <row r="310" spans="2:6" s="9" customFormat="1" x14ac:dyDescent="0.25">
      <c r="B310"/>
      <c r="C310"/>
      <c r="E310" s="5"/>
      <c r="F310" s="5"/>
    </row>
    <row r="311" spans="2:6" s="9" customFormat="1" x14ac:dyDescent="0.25">
      <c r="B311"/>
      <c r="C311"/>
      <c r="E311" s="5"/>
      <c r="F311" s="5"/>
    </row>
    <row r="312" spans="2:6" s="9" customFormat="1" x14ac:dyDescent="0.25">
      <c r="B312"/>
      <c r="C312"/>
      <c r="E312" s="5"/>
      <c r="F312" s="5"/>
    </row>
    <row r="313" spans="2:6" s="9" customFormat="1" x14ac:dyDescent="0.25">
      <c r="B313"/>
      <c r="C313"/>
      <c r="E313" s="5"/>
      <c r="F313" s="5"/>
    </row>
    <row r="314" spans="2:6" s="9" customFormat="1" x14ac:dyDescent="0.25">
      <c r="B314"/>
      <c r="C314"/>
      <c r="E314" s="5"/>
      <c r="F314" s="5"/>
    </row>
    <row r="315" spans="2:6" s="9" customFormat="1" x14ac:dyDescent="0.25">
      <c r="B315"/>
      <c r="C315"/>
      <c r="E315" s="5"/>
      <c r="F315" s="5"/>
    </row>
    <row r="316" spans="2:6" s="9" customFormat="1" x14ac:dyDescent="0.25">
      <c r="B316"/>
      <c r="C316"/>
      <c r="E316" s="5"/>
      <c r="F316" s="5"/>
    </row>
    <row r="317" spans="2:6" s="9" customFormat="1" x14ac:dyDescent="0.25">
      <c r="B317"/>
      <c r="C317"/>
      <c r="E317" s="5"/>
      <c r="F317" s="5"/>
    </row>
    <row r="318" spans="2:6" s="9" customFormat="1" x14ac:dyDescent="0.25">
      <c r="B318"/>
      <c r="C318"/>
      <c r="E318" s="5"/>
      <c r="F318" s="5"/>
    </row>
    <row r="319" spans="2:6" s="9" customFormat="1" x14ac:dyDescent="0.25">
      <c r="B319"/>
      <c r="C319"/>
      <c r="E319" s="5"/>
      <c r="F319" s="5"/>
    </row>
    <row r="320" spans="2:6" s="9" customFormat="1" x14ac:dyDescent="0.25">
      <c r="B320"/>
      <c r="C320"/>
      <c r="E320" s="5"/>
      <c r="F320" s="5"/>
    </row>
    <row r="321" spans="2:6" s="9" customFormat="1" x14ac:dyDescent="0.25">
      <c r="B321"/>
      <c r="C321"/>
      <c r="E321" s="5"/>
      <c r="F321" s="5"/>
    </row>
    <row r="322" spans="2:6" s="9" customFormat="1" x14ac:dyDescent="0.25">
      <c r="B322"/>
      <c r="C322"/>
      <c r="E322" s="5"/>
      <c r="F322" s="5"/>
    </row>
    <row r="323" spans="2:6" s="9" customFormat="1" x14ac:dyDescent="0.25">
      <c r="B323"/>
      <c r="C323"/>
      <c r="E323" s="5"/>
      <c r="F323" s="5"/>
    </row>
    <row r="324" spans="2:6" s="9" customFormat="1" x14ac:dyDescent="0.25">
      <c r="B324"/>
      <c r="C324"/>
      <c r="E324" s="5"/>
      <c r="F324" s="5"/>
    </row>
    <row r="325" spans="2:6" s="9" customFormat="1" x14ac:dyDescent="0.25">
      <c r="B325"/>
      <c r="C325"/>
      <c r="E325" s="5"/>
      <c r="F325" s="5"/>
    </row>
    <row r="326" spans="2:6" s="9" customFormat="1" x14ac:dyDescent="0.25">
      <c r="B326"/>
      <c r="C326"/>
      <c r="E326" s="5"/>
      <c r="F326" s="5"/>
    </row>
    <row r="327" spans="2:6" s="9" customFormat="1" x14ac:dyDescent="0.25">
      <c r="B327"/>
      <c r="C327"/>
      <c r="E327" s="5"/>
      <c r="F327" s="5"/>
    </row>
    <row r="328" spans="2:6" s="9" customFormat="1" x14ac:dyDescent="0.25">
      <c r="B328"/>
      <c r="C328"/>
      <c r="E328" s="5"/>
      <c r="F328" s="5"/>
    </row>
    <row r="329" spans="2:6" s="9" customFormat="1" x14ac:dyDescent="0.25">
      <c r="B329"/>
      <c r="C329"/>
      <c r="E329" s="5"/>
      <c r="F329" s="5"/>
    </row>
    <row r="330" spans="2:6" s="9" customFormat="1" x14ac:dyDescent="0.25">
      <c r="B330"/>
      <c r="C330"/>
      <c r="E330" s="5"/>
      <c r="F330" s="5"/>
    </row>
    <row r="331" spans="2:6" s="9" customFormat="1" x14ac:dyDescent="0.25">
      <c r="B331"/>
      <c r="C331"/>
      <c r="E331" s="5"/>
      <c r="F331" s="5"/>
    </row>
    <row r="332" spans="2:6" s="9" customFormat="1" x14ac:dyDescent="0.25">
      <c r="B332"/>
      <c r="C332"/>
      <c r="E332" s="5"/>
      <c r="F332" s="5"/>
    </row>
    <row r="333" spans="2:6" s="9" customFormat="1" x14ac:dyDescent="0.25">
      <c r="B333"/>
      <c r="C333"/>
      <c r="E333" s="5"/>
      <c r="F333" s="5"/>
    </row>
    <row r="334" spans="2:6" s="9" customFormat="1" x14ac:dyDescent="0.25">
      <c r="B334"/>
      <c r="C334"/>
      <c r="E334" s="5"/>
      <c r="F334" s="5"/>
    </row>
    <row r="335" spans="2:6" s="9" customFormat="1" x14ac:dyDescent="0.25">
      <c r="B335"/>
      <c r="C335"/>
      <c r="E335" s="5"/>
      <c r="F335" s="5"/>
    </row>
    <row r="336" spans="2:6" s="9" customFormat="1" x14ac:dyDescent="0.25">
      <c r="B336"/>
      <c r="C336"/>
      <c r="E336" s="5"/>
      <c r="F336" s="5"/>
    </row>
    <row r="337" spans="2:6" s="9" customFormat="1" x14ac:dyDescent="0.25">
      <c r="B337"/>
      <c r="C337"/>
      <c r="E337" s="5"/>
      <c r="F337" s="5"/>
    </row>
    <row r="338" spans="2:6" s="9" customFormat="1" x14ac:dyDescent="0.25">
      <c r="B338"/>
      <c r="C338"/>
      <c r="E338" s="5"/>
      <c r="F338" s="5"/>
    </row>
    <row r="339" spans="2:6" s="9" customFormat="1" x14ac:dyDescent="0.25">
      <c r="B339"/>
      <c r="C339"/>
      <c r="E339" s="5"/>
      <c r="F339" s="5"/>
    </row>
    <row r="340" spans="2:6" s="9" customFormat="1" x14ac:dyDescent="0.25">
      <c r="B340"/>
      <c r="C340"/>
      <c r="E340" s="5"/>
      <c r="F340" s="5"/>
    </row>
    <row r="341" spans="2:6" s="9" customFormat="1" x14ac:dyDescent="0.25">
      <c r="B341"/>
      <c r="C341"/>
      <c r="E341" s="5"/>
      <c r="F341" s="5"/>
    </row>
    <row r="342" spans="2:6" s="9" customFormat="1" x14ac:dyDescent="0.25">
      <c r="B342"/>
      <c r="C342"/>
      <c r="E342" s="5"/>
      <c r="F342" s="5"/>
    </row>
    <row r="343" spans="2:6" s="9" customFormat="1" x14ac:dyDescent="0.25">
      <c r="B343"/>
      <c r="C343"/>
      <c r="E343" s="5"/>
      <c r="F343" s="5"/>
    </row>
    <row r="344" spans="2:6" s="9" customFormat="1" x14ac:dyDescent="0.25">
      <c r="B344"/>
      <c r="C344"/>
      <c r="E344" s="5"/>
      <c r="F344" s="5"/>
    </row>
    <row r="345" spans="2:6" s="9" customFormat="1" x14ac:dyDescent="0.25">
      <c r="B345"/>
      <c r="C345"/>
      <c r="E345" s="5"/>
      <c r="F345" s="5"/>
    </row>
    <row r="346" spans="2:6" s="9" customFormat="1" x14ac:dyDescent="0.25">
      <c r="B346"/>
      <c r="C346"/>
      <c r="E346" s="5"/>
      <c r="F346" s="5"/>
    </row>
    <row r="347" spans="2:6" s="9" customFormat="1" x14ac:dyDescent="0.25">
      <c r="B347"/>
      <c r="C347"/>
      <c r="E347" s="5"/>
      <c r="F347" s="5"/>
    </row>
    <row r="348" spans="2:6" s="9" customFormat="1" x14ac:dyDescent="0.25">
      <c r="B348"/>
      <c r="C348"/>
      <c r="E348" s="5"/>
      <c r="F348" s="5"/>
    </row>
    <row r="349" spans="2:6" s="9" customFormat="1" x14ac:dyDescent="0.25">
      <c r="B349"/>
      <c r="C349"/>
      <c r="E349" s="5"/>
      <c r="F349" s="5"/>
    </row>
    <row r="350" spans="2:6" s="9" customFormat="1" x14ac:dyDescent="0.25">
      <c r="B350"/>
      <c r="C350"/>
      <c r="E350" s="5"/>
      <c r="F350" s="5"/>
    </row>
    <row r="351" spans="2:6" s="9" customFormat="1" x14ac:dyDescent="0.25">
      <c r="B351"/>
      <c r="C351"/>
      <c r="E351" s="5"/>
      <c r="F351" s="5"/>
    </row>
    <row r="352" spans="2:6" s="9" customFormat="1" x14ac:dyDescent="0.25">
      <c r="B352"/>
      <c r="C352"/>
      <c r="E352" s="5"/>
      <c r="F352" s="5"/>
    </row>
    <row r="353" spans="2:6" s="9" customFormat="1" x14ac:dyDescent="0.25">
      <c r="B353"/>
      <c r="C353"/>
      <c r="E353" s="5"/>
      <c r="F353" s="5"/>
    </row>
    <row r="354" spans="2:6" s="9" customFormat="1" x14ac:dyDescent="0.25">
      <c r="B354"/>
      <c r="C354"/>
      <c r="E354" s="5"/>
      <c r="F354" s="5"/>
    </row>
    <row r="355" spans="2:6" s="9" customFormat="1" x14ac:dyDescent="0.25">
      <c r="B355"/>
      <c r="C355"/>
      <c r="E355" s="5"/>
      <c r="F355" s="5"/>
    </row>
    <row r="356" spans="2:6" s="9" customFormat="1" x14ac:dyDescent="0.25">
      <c r="B356"/>
      <c r="C356"/>
      <c r="E356" s="5"/>
      <c r="F356" s="5"/>
    </row>
    <row r="357" spans="2:6" s="9" customFormat="1" x14ac:dyDescent="0.25">
      <c r="B357"/>
      <c r="C357"/>
      <c r="E357" s="5"/>
      <c r="F357" s="5"/>
    </row>
    <row r="358" spans="2:6" s="9" customFormat="1" x14ac:dyDescent="0.25">
      <c r="B358"/>
      <c r="C358"/>
      <c r="E358" s="5"/>
      <c r="F358" s="5"/>
    </row>
    <row r="359" spans="2:6" s="9" customFormat="1" x14ac:dyDescent="0.25">
      <c r="B359"/>
      <c r="C359"/>
      <c r="E359" s="5"/>
      <c r="F359" s="5"/>
    </row>
    <row r="360" spans="2:6" s="9" customFormat="1" x14ac:dyDescent="0.25">
      <c r="B360"/>
      <c r="C360"/>
      <c r="E360" s="5"/>
      <c r="F360" s="5"/>
    </row>
    <row r="361" spans="2:6" s="9" customFormat="1" x14ac:dyDescent="0.25">
      <c r="B361"/>
      <c r="C361"/>
      <c r="E361" s="5"/>
      <c r="F361" s="5"/>
    </row>
    <row r="362" spans="2:6" s="9" customFormat="1" x14ac:dyDescent="0.25">
      <c r="B362"/>
      <c r="C362"/>
      <c r="E362" s="5"/>
      <c r="F362" s="5"/>
    </row>
    <row r="363" spans="2:6" s="9" customFormat="1" x14ac:dyDescent="0.25">
      <c r="B363"/>
      <c r="C363"/>
      <c r="E363" s="5"/>
      <c r="F363" s="5"/>
    </row>
    <row r="364" spans="2:6" s="9" customFormat="1" x14ac:dyDescent="0.25">
      <c r="B364"/>
      <c r="C364"/>
      <c r="E364" s="5"/>
      <c r="F364" s="5"/>
    </row>
    <row r="365" spans="2:6" s="9" customFormat="1" x14ac:dyDescent="0.25">
      <c r="B365"/>
      <c r="C365"/>
      <c r="E365" s="5"/>
      <c r="F365" s="5"/>
    </row>
    <row r="366" spans="2:6" s="9" customFormat="1" x14ac:dyDescent="0.25">
      <c r="B366"/>
      <c r="C366"/>
      <c r="E366" s="5"/>
      <c r="F366" s="5"/>
    </row>
    <row r="367" spans="2:6" s="9" customFormat="1" x14ac:dyDescent="0.25">
      <c r="B367"/>
      <c r="C367"/>
      <c r="E367" s="5"/>
      <c r="F367" s="5"/>
    </row>
    <row r="368" spans="2:6" s="9" customFormat="1" x14ac:dyDescent="0.25">
      <c r="B368"/>
      <c r="C368"/>
      <c r="E368" s="5"/>
      <c r="F368" s="5"/>
    </row>
    <row r="369" spans="2:6" s="9" customFormat="1" x14ac:dyDescent="0.25">
      <c r="B369"/>
      <c r="C369"/>
      <c r="E369" s="5"/>
      <c r="F369" s="5"/>
    </row>
    <row r="370" spans="2:6" s="9" customFormat="1" x14ac:dyDescent="0.25">
      <c r="B370"/>
      <c r="C370"/>
      <c r="E370" s="5"/>
      <c r="F370" s="5"/>
    </row>
    <row r="371" spans="2:6" s="9" customFormat="1" x14ac:dyDescent="0.25">
      <c r="B371"/>
      <c r="C371"/>
      <c r="E371" s="5"/>
      <c r="F371" s="5"/>
    </row>
    <row r="372" spans="2:6" s="9" customFormat="1" x14ac:dyDescent="0.25">
      <c r="B372"/>
      <c r="C372"/>
      <c r="E372" s="5"/>
      <c r="F372" s="5"/>
    </row>
    <row r="373" spans="2:6" s="9" customFormat="1" x14ac:dyDescent="0.25">
      <c r="B373"/>
      <c r="C373"/>
      <c r="E373" s="5"/>
      <c r="F373" s="5"/>
    </row>
    <row r="374" spans="2:6" s="9" customFormat="1" x14ac:dyDescent="0.25">
      <c r="B374"/>
      <c r="C374"/>
      <c r="E374" s="5"/>
      <c r="F374" s="5"/>
    </row>
    <row r="375" spans="2:6" s="9" customFormat="1" x14ac:dyDescent="0.25">
      <c r="B375"/>
      <c r="C375"/>
      <c r="E375" s="5"/>
      <c r="F375" s="5"/>
    </row>
    <row r="376" spans="2:6" s="9" customFormat="1" x14ac:dyDescent="0.25">
      <c r="B376"/>
      <c r="C376"/>
      <c r="E376" s="5"/>
      <c r="F376" s="5"/>
    </row>
    <row r="377" spans="2:6" s="9" customFormat="1" x14ac:dyDescent="0.25">
      <c r="B377"/>
      <c r="C377"/>
      <c r="E377" s="5"/>
      <c r="F377" s="5"/>
    </row>
    <row r="378" spans="2:6" s="9" customFormat="1" x14ac:dyDescent="0.25">
      <c r="B378"/>
      <c r="C378"/>
      <c r="E378" s="5"/>
      <c r="F378" s="5"/>
    </row>
    <row r="379" spans="2:6" s="9" customFormat="1" x14ac:dyDescent="0.25">
      <c r="B379"/>
      <c r="C379"/>
      <c r="E379" s="5"/>
      <c r="F379" s="5"/>
    </row>
    <row r="380" spans="2:6" s="9" customFormat="1" x14ac:dyDescent="0.25">
      <c r="B380"/>
      <c r="C380"/>
      <c r="E380" s="5"/>
      <c r="F380" s="5"/>
    </row>
    <row r="381" spans="2:6" s="9" customFormat="1" x14ac:dyDescent="0.25">
      <c r="B381"/>
      <c r="C381"/>
      <c r="E381" s="5"/>
      <c r="F381" s="5"/>
    </row>
    <row r="382" spans="2:6" s="9" customFormat="1" x14ac:dyDescent="0.25">
      <c r="B382"/>
      <c r="C382"/>
      <c r="E382" s="5"/>
      <c r="F382" s="5"/>
    </row>
    <row r="383" spans="2:6" s="9" customFormat="1" x14ac:dyDescent="0.25">
      <c r="B383"/>
      <c r="C383"/>
      <c r="E383" s="5"/>
      <c r="F383" s="5"/>
    </row>
    <row r="384" spans="2:6" s="9" customFormat="1" x14ac:dyDescent="0.25">
      <c r="B384"/>
      <c r="C384"/>
      <c r="E384" s="5"/>
      <c r="F384" s="5"/>
    </row>
    <row r="385" spans="2:6" s="9" customFormat="1" x14ac:dyDescent="0.25">
      <c r="B385"/>
      <c r="C385"/>
      <c r="E385" s="5"/>
      <c r="F385" s="5"/>
    </row>
    <row r="386" spans="2:6" s="9" customFormat="1" x14ac:dyDescent="0.25">
      <c r="B386"/>
      <c r="C386"/>
      <c r="E386" s="5"/>
      <c r="F386" s="5"/>
    </row>
    <row r="387" spans="2:6" s="9" customFormat="1" x14ac:dyDescent="0.25">
      <c r="B387"/>
      <c r="C387"/>
      <c r="E387" s="5"/>
      <c r="F387" s="5"/>
    </row>
    <row r="388" spans="2:6" s="9" customFormat="1" x14ac:dyDescent="0.25">
      <c r="B388"/>
      <c r="C388"/>
      <c r="E388" s="5"/>
      <c r="F388" s="5"/>
    </row>
    <row r="389" spans="2:6" s="9" customFormat="1" x14ac:dyDescent="0.25">
      <c r="B389"/>
      <c r="C389"/>
      <c r="E389" s="5"/>
      <c r="F389" s="5"/>
    </row>
    <row r="390" spans="2:6" s="9" customFormat="1" x14ac:dyDescent="0.25">
      <c r="B390"/>
      <c r="C390"/>
      <c r="E390" s="5"/>
      <c r="F390" s="5"/>
    </row>
    <row r="391" spans="2:6" s="9" customFormat="1" x14ac:dyDescent="0.25">
      <c r="B391"/>
      <c r="C391"/>
      <c r="E391" s="5"/>
      <c r="F391" s="5"/>
    </row>
    <row r="392" spans="2:6" s="9" customFormat="1" x14ac:dyDescent="0.25">
      <c r="B392"/>
      <c r="C392"/>
      <c r="E392" s="5"/>
      <c r="F392" s="5"/>
    </row>
    <row r="393" spans="2:6" s="9" customFormat="1" x14ac:dyDescent="0.25">
      <c r="B393"/>
      <c r="C393"/>
      <c r="E393" s="5"/>
      <c r="F393" s="5"/>
    </row>
    <row r="394" spans="2:6" s="9" customFormat="1" x14ac:dyDescent="0.25">
      <c r="B394"/>
      <c r="C394"/>
      <c r="E394" s="5"/>
      <c r="F394" s="5"/>
    </row>
    <row r="395" spans="2:6" s="9" customFormat="1" x14ac:dyDescent="0.25">
      <c r="B395"/>
      <c r="C395"/>
      <c r="E395" s="5"/>
      <c r="F395" s="5"/>
    </row>
    <row r="396" spans="2:6" s="9" customFormat="1" x14ac:dyDescent="0.25">
      <c r="B396"/>
      <c r="C396"/>
      <c r="E396" s="5"/>
      <c r="F396" s="5"/>
    </row>
    <row r="397" spans="2:6" s="9" customFormat="1" x14ac:dyDescent="0.25">
      <c r="B397"/>
      <c r="C397"/>
      <c r="E397" s="5"/>
      <c r="F397" s="5"/>
    </row>
    <row r="398" spans="2:6" s="9" customFormat="1" x14ac:dyDescent="0.25">
      <c r="B398"/>
      <c r="C398"/>
      <c r="E398" s="5"/>
      <c r="F398" s="5"/>
    </row>
    <row r="399" spans="2:6" s="9" customFormat="1" x14ac:dyDescent="0.25">
      <c r="B399"/>
      <c r="C399"/>
      <c r="E399" s="5"/>
      <c r="F399" s="5"/>
    </row>
    <row r="400" spans="2:6" s="9" customFormat="1" x14ac:dyDescent="0.25">
      <c r="B400"/>
      <c r="C400"/>
      <c r="E400" s="5"/>
      <c r="F400" s="5"/>
    </row>
    <row r="401" spans="2:6" s="9" customFormat="1" x14ac:dyDescent="0.25">
      <c r="B401"/>
      <c r="C401"/>
      <c r="E401" s="5"/>
      <c r="F401" s="5"/>
    </row>
    <row r="402" spans="2:6" s="9" customFormat="1" x14ac:dyDescent="0.25">
      <c r="B402"/>
      <c r="C402"/>
      <c r="E402" s="5"/>
      <c r="F402" s="5"/>
    </row>
    <row r="403" spans="2:6" s="9" customFormat="1" x14ac:dyDescent="0.25">
      <c r="B403"/>
      <c r="C403"/>
      <c r="E403" s="5"/>
      <c r="F403" s="5"/>
    </row>
    <row r="404" spans="2:6" s="9" customFormat="1" x14ac:dyDescent="0.25">
      <c r="B404"/>
      <c r="C404"/>
      <c r="E404" s="5"/>
      <c r="F404" s="5"/>
    </row>
    <row r="405" spans="2:6" s="9" customFormat="1" x14ac:dyDescent="0.25">
      <c r="B405"/>
      <c r="C405"/>
      <c r="E405" s="5"/>
      <c r="F405" s="5"/>
    </row>
    <row r="406" spans="2:6" s="9" customFormat="1" x14ac:dyDescent="0.25">
      <c r="B406"/>
      <c r="C406"/>
      <c r="E406" s="5"/>
      <c r="F406" s="5"/>
    </row>
    <row r="407" spans="2:6" s="9" customFormat="1" x14ac:dyDescent="0.25">
      <c r="B407"/>
      <c r="C407"/>
      <c r="E407" s="5"/>
      <c r="F407" s="5"/>
    </row>
    <row r="408" spans="2:6" s="9" customFormat="1" x14ac:dyDescent="0.25">
      <c r="B408"/>
      <c r="C408"/>
      <c r="E408" s="5"/>
      <c r="F408" s="5"/>
    </row>
    <row r="409" spans="2:6" s="9" customFormat="1" x14ac:dyDescent="0.25">
      <c r="B409"/>
      <c r="C409"/>
      <c r="E409" s="5"/>
      <c r="F409" s="5"/>
    </row>
    <row r="410" spans="2:6" s="9" customFormat="1" x14ac:dyDescent="0.25">
      <c r="B410"/>
      <c r="C410"/>
      <c r="E410" s="5"/>
      <c r="F410" s="5"/>
    </row>
    <row r="411" spans="2:6" s="9" customFormat="1" x14ac:dyDescent="0.25">
      <c r="B411"/>
      <c r="C411"/>
      <c r="E411" s="5"/>
      <c r="F411" s="5"/>
    </row>
    <row r="412" spans="2:6" s="9" customFormat="1" x14ac:dyDescent="0.25">
      <c r="B412"/>
      <c r="C412"/>
      <c r="E412" s="5"/>
      <c r="F412" s="5"/>
    </row>
    <row r="413" spans="2:6" s="9" customFormat="1" x14ac:dyDescent="0.25">
      <c r="B413"/>
      <c r="C413"/>
      <c r="E413" s="5"/>
      <c r="F413" s="5"/>
    </row>
    <row r="414" spans="2:6" s="9" customFormat="1" x14ac:dyDescent="0.25">
      <c r="B414"/>
      <c r="C414"/>
      <c r="E414" s="5"/>
      <c r="F414" s="5"/>
    </row>
    <row r="415" spans="2:6" s="9" customFormat="1" x14ac:dyDescent="0.25">
      <c r="B415"/>
      <c r="C415"/>
      <c r="E415" s="5"/>
      <c r="F415" s="5"/>
    </row>
    <row r="416" spans="2:6" s="9" customFormat="1" x14ac:dyDescent="0.25">
      <c r="B416"/>
      <c r="C416"/>
      <c r="E416" s="5"/>
      <c r="F416" s="5"/>
    </row>
    <row r="417" spans="2:6" s="9" customFormat="1" x14ac:dyDescent="0.25">
      <c r="B417"/>
      <c r="C417"/>
      <c r="E417" s="5"/>
      <c r="F417" s="5"/>
    </row>
    <row r="418" spans="2:6" s="9" customFormat="1" x14ac:dyDescent="0.25">
      <c r="B418"/>
      <c r="C418"/>
      <c r="E418" s="5"/>
      <c r="F418" s="5"/>
    </row>
    <row r="419" spans="2:6" s="9" customFormat="1" x14ac:dyDescent="0.25">
      <c r="B419"/>
      <c r="C419"/>
      <c r="E419" s="5"/>
      <c r="F419" s="5"/>
    </row>
    <row r="420" spans="2:6" s="9" customFormat="1" x14ac:dyDescent="0.25">
      <c r="B420"/>
      <c r="C420"/>
      <c r="E420" s="5"/>
      <c r="F420" s="5"/>
    </row>
    <row r="421" spans="2:6" s="9" customFormat="1" x14ac:dyDescent="0.25">
      <c r="B421"/>
      <c r="C421"/>
      <c r="E421" s="5"/>
      <c r="F421" s="5"/>
    </row>
    <row r="422" spans="2:6" s="9" customFormat="1" x14ac:dyDescent="0.25">
      <c r="B422"/>
      <c r="C422"/>
      <c r="E422" s="5"/>
      <c r="F422" s="5"/>
    </row>
    <row r="423" spans="2:6" s="9" customFormat="1" x14ac:dyDescent="0.25">
      <c r="B423"/>
      <c r="C423"/>
      <c r="E423" s="5"/>
      <c r="F423" s="5"/>
    </row>
    <row r="424" spans="2:6" s="9" customFormat="1" x14ac:dyDescent="0.25">
      <c r="B424"/>
      <c r="C424"/>
      <c r="E424" s="5"/>
      <c r="F424" s="5"/>
    </row>
    <row r="425" spans="2:6" s="9" customFormat="1" x14ac:dyDescent="0.25">
      <c r="B425"/>
      <c r="C425"/>
      <c r="E425" s="5"/>
      <c r="F425" s="5"/>
    </row>
    <row r="426" spans="2:6" s="9" customFormat="1" x14ac:dyDescent="0.25">
      <c r="B426"/>
      <c r="C426"/>
      <c r="E426" s="5"/>
      <c r="F426" s="5"/>
    </row>
    <row r="427" spans="2:6" s="9" customFormat="1" x14ac:dyDescent="0.25">
      <c r="B427"/>
      <c r="C427"/>
      <c r="E427" s="5"/>
      <c r="F427" s="5"/>
    </row>
    <row r="428" spans="2:6" s="9" customFormat="1" x14ac:dyDescent="0.25">
      <c r="B428"/>
      <c r="C428"/>
      <c r="E428" s="5"/>
      <c r="F428" s="5"/>
    </row>
    <row r="429" spans="2:6" s="9" customFormat="1" x14ac:dyDescent="0.25">
      <c r="B429"/>
      <c r="C429"/>
      <c r="E429" s="5"/>
      <c r="F429" s="5"/>
    </row>
    <row r="430" spans="2:6" s="9" customFormat="1" x14ac:dyDescent="0.25">
      <c r="B430"/>
      <c r="C430"/>
      <c r="E430" s="5"/>
      <c r="F430" s="5"/>
    </row>
    <row r="431" spans="2:6" s="9" customFormat="1" x14ac:dyDescent="0.25">
      <c r="B431"/>
      <c r="C431"/>
      <c r="E431" s="5"/>
      <c r="F431" s="5"/>
    </row>
    <row r="432" spans="2:6" s="9" customFormat="1" x14ac:dyDescent="0.25">
      <c r="B432"/>
      <c r="C432"/>
      <c r="E432" s="5"/>
      <c r="F432" s="5"/>
    </row>
    <row r="433" spans="2:6" s="9" customFormat="1" x14ac:dyDescent="0.25">
      <c r="B433"/>
      <c r="C433"/>
      <c r="E433" s="5"/>
      <c r="F433" s="5"/>
    </row>
    <row r="434" spans="2:6" s="9" customFormat="1" x14ac:dyDescent="0.25">
      <c r="B434"/>
      <c r="C434"/>
      <c r="E434" s="5"/>
      <c r="F434" s="5"/>
    </row>
    <row r="435" spans="2:6" s="9" customFormat="1" x14ac:dyDescent="0.25">
      <c r="B435"/>
      <c r="C435"/>
      <c r="E435" s="5"/>
      <c r="F435" s="5"/>
    </row>
    <row r="436" spans="2:6" s="9" customFormat="1" x14ac:dyDescent="0.25">
      <c r="B436"/>
      <c r="C436"/>
      <c r="E436" s="5"/>
      <c r="F436" s="5"/>
    </row>
    <row r="437" spans="2:6" s="9" customFormat="1" x14ac:dyDescent="0.25">
      <c r="B437"/>
      <c r="C437"/>
      <c r="E437" s="5"/>
      <c r="F437" s="5"/>
    </row>
    <row r="438" spans="2:6" s="9" customFormat="1" x14ac:dyDescent="0.25">
      <c r="B438"/>
      <c r="C438"/>
      <c r="E438" s="5"/>
      <c r="F438" s="5"/>
    </row>
    <row r="439" spans="2:6" s="9" customFormat="1" x14ac:dyDescent="0.25">
      <c r="B439"/>
      <c r="C439"/>
      <c r="E439" s="5"/>
      <c r="F439" s="5"/>
    </row>
    <row r="440" spans="2:6" s="9" customFormat="1" x14ac:dyDescent="0.25">
      <c r="B440"/>
      <c r="C440"/>
      <c r="E440" s="5"/>
      <c r="F440" s="5"/>
    </row>
    <row r="441" spans="2:6" s="9" customFormat="1" x14ac:dyDescent="0.25">
      <c r="B441"/>
      <c r="C441"/>
      <c r="E441" s="5"/>
      <c r="F441" s="5"/>
    </row>
    <row r="442" spans="2:6" s="9" customFormat="1" x14ac:dyDescent="0.25">
      <c r="B442"/>
      <c r="C442"/>
      <c r="E442" s="5"/>
      <c r="F442" s="5"/>
    </row>
    <row r="443" spans="2:6" s="9" customFormat="1" x14ac:dyDescent="0.25">
      <c r="B443"/>
      <c r="C443"/>
      <c r="E443" s="5"/>
      <c r="F443" s="5"/>
    </row>
    <row r="444" spans="2:6" s="9" customFormat="1" x14ac:dyDescent="0.25">
      <c r="B444"/>
      <c r="C444"/>
      <c r="E444" s="5"/>
      <c r="F444" s="5"/>
    </row>
    <row r="445" spans="2:6" s="9" customFormat="1" x14ac:dyDescent="0.25">
      <c r="B445"/>
      <c r="C445"/>
      <c r="E445" s="5"/>
      <c r="F445" s="5"/>
    </row>
    <row r="446" spans="2:6" s="9" customFormat="1" x14ac:dyDescent="0.25">
      <c r="B446"/>
      <c r="C446"/>
      <c r="E446" s="5"/>
      <c r="F446" s="5"/>
    </row>
    <row r="447" spans="2:6" s="9" customFormat="1" x14ac:dyDescent="0.25">
      <c r="B447"/>
      <c r="C447"/>
      <c r="E447" s="5"/>
      <c r="F447" s="5"/>
    </row>
    <row r="448" spans="2:6" s="9" customFormat="1" x14ac:dyDescent="0.25">
      <c r="B448"/>
      <c r="C448"/>
      <c r="E448" s="5"/>
      <c r="F448" s="5"/>
    </row>
    <row r="449" spans="2:6" s="9" customFormat="1" x14ac:dyDescent="0.25">
      <c r="B449"/>
      <c r="C449"/>
      <c r="E449" s="5"/>
      <c r="F449" s="5"/>
    </row>
    <row r="450" spans="2:6" s="9" customFormat="1" x14ac:dyDescent="0.25">
      <c r="B450"/>
      <c r="C450"/>
      <c r="E450" s="5"/>
      <c r="F450" s="5"/>
    </row>
    <row r="451" spans="2:6" s="9" customFormat="1" x14ac:dyDescent="0.25">
      <c r="B451"/>
      <c r="C451"/>
      <c r="E451" s="5"/>
      <c r="F451" s="5"/>
    </row>
    <row r="452" spans="2:6" s="9" customFormat="1" x14ac:dyDescent="0.25">
      <c r="B452"/>
      <c r="C452"/>
      <c r="E452" s="5"/>
      <c r="F452" s="5"/>
    </row>
    <row r="453" spans="2:6" s="9" customFormat="1" x14ac:dyDescent="0.25">
      <c r="B453"/>
      <c r="C453"/>
      <c r="E453" s="5"/>
      <c r="F453" s="5"/>
    </row>
    <row r="454" spans="2:6" s="9" customFormat="1" x14ac:dyDescent="0.25">
      <c r="B454"/>
      <c r="C454"/>
      <c r="E454" s="5"/>
      <c r="F454" s="5"/>
    </row>
    <row r="455" spans="2:6" s="9" customFormat="1" x14ac:dyDescent="0.25">
      <c r="B455"/>
      <c r="C455"/>
      <c r="E455" s="5"/>
      <c r="F455" s="5"/>
    </row>
    <row r="456" spans="2:6" s="9" customFormat="1" x14ac:dyDescent="0.25">
      <c r="B456"/>
      <c r="C456"/>
      <c r="E456" s="5"/>
      <c r="F456" s="5"/>
    </row>
    <row r="457" spans="2:6" s="9" customFormat="1" x14ac:dyDescent="0.25">
      <c r="B457"/>
      <c r="C457"/>
      <c r="E457" s="5"/>
      <c r="F457" s="5"/>
    </row>
    <row r="458" spans="2:6" s="9" customFormat="1" x14ac:dyDescent="0.25">
      <c r="B458"/>
      <c r="C458"/>
      <c r="E458" s="5"/>
      <c r="F458" s="5"/>
    </row>
    <row r="459" spans="2:6" s="9" customFormat="1" x14ac:dyDescent="0.25">
      <c r="B459"/>
      <c r="C459"/>
      <c r="E459" s="5"/>
      <c r="F459" s="5"/>
    </row>
    <row r="460" spans="2:6" s="9" customFormat="1" x14ac:dyDescent="0.25">
      <c r="B460"/>
      <c r="C460"/>
      <c r="E460" s="5"/>
      <c r="F460" s="5"/>
    </row>
    <row r="461" spans="2:6" s="9" customFormat="1" x14ac:dyDescent="0.25">
      <c r="B461"/>
      <c r="C461"/>
      <c r="E461" s="5"/>
      <c r="F461" s="5"/>
    </row>
    <row r="462" spans="2:6" s="9" customFormat="1" x14ac:dyDescent="0.25">
      <c r="B462"/>
      <c r="C462"/>
      <c r="E462" s="5"/>
      <c r="F462" s="5"/>
    </row>
    <row r="463" spans="2:6" s="9" customFormat="1" x14ac:dyDescent="0.25">
      <c r="B463"/>
      <c r="C463"/>
      <c r="E463" s="5"/>
      <c r="F463" s="5"/>
    </row>
    <row r="464" spans="2:6" s="9" customFormat="1" x14ac:dyDescent="0.25">
      <c r="B464"/>
      <c r="C464"/>
      <c r="E464" s="5"/>
      <c r="F464" s="5"/>
    </row>
    <row r="465" spans="2:6" s="9" customFormat="1" x14ac:dyDescent="0.25">
      <c r="B465"/>
      <c r="C465"/>
      <c r="E465" s="5"/>
      <c r="F465" s="5"/>
    </row>
    <row r="466" spans="2:6" s="9" customFormat="1" x14ac:dyDescent="0.25">
      <c r="B466"/>
      <c r="C466"/>
      <c r="E466" s="5"/>
      <c r="F466" s="5"/>
    </row>
    <row r="467" spans="2:6" s="9" customFormat="1" x14ac:dyDescent="0.25">
      <c r="B467"/>
      <c r="C467"/>
      <c r="E467" s="5"/>
      <c r="F467" s="5"/>
    </row>
    <row r="468" spans="2:6" s="9" customFormat="1" x14ac:dyDescent="0.25">
      <c r="B468"/>
      <c r="C468"/>
      <c r="E468" s="5"/>
      <c r="F468" s="5"/>
    </row>
    <row r="469" spans="2:6" s="9" customFormat="1" x14ac:dyDescent="0.25">
      <c r="B469"/>
      <c r="C469"/>
      <c r="E469" s="5"/>
      <c r="F469" s="5"/>
    </row>
    <row r="470" spans="2:6" s="9" customFormat="1" x14ac:dyDescent="0.25">
      <c r="B470"/>
      <c r="C470"/>
      <c r="E470" s="5"/>
      <c r="F470" s="5"/>
    </row>
    <row r="471" spans="2:6" s="9" customFormat="1" x14ac:dyDescent="0.25">
      <c r="B471"/>
      <c r="C471"/>
      <c r="E471" s="5"/>
      <c r="F471" s="5"/>
    </row>
    <row r="472" spans="2:6" s="9" customFormat="1" x14ac:dyDescent="0.25">
      <c r="B472"/>
      <c r="C472"/>
      <c r="E472" s="5"/>
      <c r="F472" s="5"/>
    </row>
    <row r="473" spans="2:6" s="9" customFormat="1" x14ac:dyDescent="0.25">
      <c r="B473"/>
      <c r="C473"/>
      <c r="E473" s="5"/>
      <c r="F473" s="5"/>
    </row>
    <row r="474" spans="2:6" s="9" customFormat="1" x14ac:dyDescent="0.25">
      <c r="B474"/>
      <c r="C474"/>
      <c r="E474" s="5"/>
      <c r="F474" s="5"/>
    </row>
    <row r="475" spans="2:6" s="9" customFormat="1" x14ac:dyDescent="0.25">
      <c r="B475"/>
      <c r="C475"/>
      <c r="E475" s="5"/>
      <c r="F475" s="5"/>
    </row>
    <row r="476" spans="2:6" s="9" customFormat="1" x14ac:dyDescent="0.25">
      <c r="B476"/>
      <c r="C476"/>
      <c r="E476" s="5"/>
      <c r="F476" s="5"/>
    </row>
    <row r="477" spans="2:6" s="9" customFormat="1" x14ac:dyDescent="0.25">
      <c r="B477"/>
      <c r="C477"/>
      <c r="E477" s="5"/>
      <c r="F477" s="5"/>
    </row>
    <row r="478" spans="2:6" s="9" customFormat="1" x14ac:dyDescent="0.25">
      <c r="B478"/>
      <c r="C478"/>
      <c r="E478" s="5"/>
      <c r="F478" s="5"/>
    </row>
    <row r="479" spans="2:6" s="9" customFormat="1" x14ac:dyDescent="0.25">
      <c r="B479"/>
      <c r="C479"/>
      <c r="E479" s="5"/>
      <c r="F479" s="5"/>
    </row>
    <row r="480" spans="2:6" s="9" customFormat="1" x14ac:dyDescent="0.25">
      <c r="B480"/>
      <c r="C480"/>
      <c r="E480" s="5"/>
      <c r="F480" s="5"/>
    </row>
    <row r="481" spans="2:6" s="9" customFormat="1" x14ac:dyDescent="0.25">
      <c r="B481"/>
      <c r="C481"/>
      <c r="E481" s="5"/>
      <c r="F481" s="5"/>
    </row>
    <row r="482" spans="2:6" s="9" customFormat="1" x14ac:dyDescent="0.25">
      <c r="B482"/>
      <c r="C482"/>
      <c r="E482" s="5"/>
      <c r="F482" s="5"/>
    </row>
    <row r="483" spans="2:6" s="9" customFormat="1" x14ac:dyDescent="0.25">
      <c r="B483"/>
      <c r="C483"/>
      <c r="E483" s="5"/>
      <c r="F483" s="5"/>
    </row>
    <row r="484" spans="2:6" s="9" customFormat="1" x14ac:dyDescent="0.25">
      <c r="B484"/>
      <c r="C484"/>
      <c r="E484" s="5"/>
      <c r="F484" s="5"/>
    </row>
    <row r="485" spans="2:6" s="9" customFormat="1" x14ac:dyDescent="0.25">
      <c r="B485"/>
      <c r="C485"/>
      <c r="E485" s="5"/>
      <c r="F485" s="5"/>
    </row>
    <row r="486" spans="2:6" s="9" customFormat="1" x14ac:dyDescent="0.25">
      <c r="B486"/>
      <c r="C486"/>
      <c r="E486" s="5"/>
      <c r="F486" s="5"/>
    </row>
    <row r="487" spans="2:6" s="9" customFormat="1" x14ac:dyDescent="0.25">
      <c r="B487"/>
      <c r="C487"/>
      <c r="E487" s="5"/>
      <c r="F487" s="5"/>
    </row>
    <row r="488" spans="2:6" s="9" customFormat="1" x14ac:dyDescent="0.25">
      <c r="B488"/>
      <c r="C488"/>
      <c r="E488" s="5"/>
      <c r="F488" s="5"/>
    </row>
    <row r="489" spans="2:6" s="9" customFormat="1" x14ac:dyDescent="0.25">
      <c r="B489"/>
      <c r="C489"/>
      <c r="E489" s="5"/>
      <c r="F489" s="5"/>
    </row>
    <row r="490" spans="2:6" s="9" customFormat="1" x14ac:dyDescent="0.25">
      <c r="B490"/>
      <c r="C490"/>
      <c r="E490" s="5"/>
      <c r="F490" s="5"/>
    </row>
    <row r="491" spans="2:6" s="9" customFormat="1" x14ac:dyDescent="0.25">
      <c r="B491"/>
      <c r="C491"/>
      <c r="E491" s="5"/>
      <c r="F491" s="5"/>
    </row>
    <row r="492" spans="2:6" s="9" customFormat="1" x14ac:dyDescent="0.25">
      <c r="B492"/>
      <c r="C492"/>
      <c r="E492" s="5"/>
      <c r="F492" s="5"/>
    </row>
    <row r="493" spans="2:6" s="9" customFormat="1" x14ac:dyDescent="0.25">
      <c r="B493"/>
      <c r="C493"/>
      <c r="E493" s="5"/>
      <c r="F493" s="5"/>
    </row>
    <row r="494" spans="2:6" s="9" customFormat="1" x14ac:dyDescent="0.25">
      <c r="B494"/>
      <c r="C494"/>
      <c r="E494" s="5"/>
      <c r="F494" s="5"/>
    </row>
    <row r="495" spans="2:6" s="9" customFormat="1" x14ac:dyDescent="0.25">
      <c r="B495"/>
      <c r="C495"/>
      <c r="E495" s="5"/>
      <c r="F495" s="5"/>
    </row>
    <row r="496" spans="2:6" s="9" customFormat="1" x14ac:dyDescent="0.25">
      <c r="B496"/>
      <c r="C496"/>
      <c r="E496" s="5"/>
      <c r="F496" s="5"/>
    </row>
    <row r="497" spans="2:6" s="9" customFormat="1" x14ac:dyDescent="0.25">
      <c r="B497"/>
      <c r="C497"/>
      <c r="E497" s="5"/>
      <c r="F497" s="5"/>
    </row>
    <row r="498" spans="2:6" s="9" customFormat="1" x14ac:dyDescent="0.25">
      <c r="B498"/>
      <c r="C498"/>
      <c r="E498" s="5"/>
      <c r="F498" s="5"/>
    </row>
    <row r="499" spans="2:6" s="9" customFormat="1" x14ac:dyDescent="0.25">
      <c r="B499"/>
      <c r="C499"/>
      <c r="E499" s="5"/>
      <c r="F499" s="5"/>
    </row>
    <row r="500" spans="2:6" s="9" customFormat="1" x14ac:dyDescent="0.25">
      <c r="B500"/>
      <c r="C500"/>
      <c r="E500" s="5"/>
      <c r="F500" s="5"/>
    </row>
    <row r="501" spans="2:6" s="9" customFormat="1" x14ac:dyDescent="0.25">
      <c r="B501"/>
      <c r="C501"/>
      <c r="E501" s="5"/>
      <c r="F501" s="5"/>
    </row>
    <row r="502" spans="2:6" s="9" customFormat="1" x14ac:dyDescent="0.25">
      <c r="B502"/>
      <c r="C502"/>
      <c r="E502" s="5"/>
      <c r="F502" s="5"/>
    </row>
    <row r="503" spans="2:6" s="9" customFormat="1" x14ac:dyDescent="0.25">
      <c r="B503"/>
      <c r="C503"/>
      <c r="E503" s="5"/>
      <c r="F503" s="5"/>
    </row>
    <row r="504" spans="2:6" s="9" customFormat="1" x14ac:dyDescent="0.25">
      <c r="B504"/>
      <c r="C504"/>
      <c r="E504" s="5"/>
      <c r="F504" s="5"/>
    </row>
    <row r="505" spans="2:6" s="9" customFormat="1" x14ac:dyDescent="0.25">
      <c r="B505"/>
      <c r="C505"/>
      <c r="E505" s="5"/>
      <c r="F505" s="5"/>
    </row>
    <row r="506" spans="2:6" s="9" customFormat="1" x14ac:dyDescent="0.25">
      <c r="B506"/>
      <c r="C506"/>
      <c r="E506" s="5"/>
      <c r="F506" s="5"/>
    </row>
    <row r="507" spans="2:6" s="9" customFormat="1" x14ac:dyDescent="0.25">
      <c r="B507"/>
      <c r="C507"/>
      <c r="E507" s="5"/>
      <c r="F507" s="5"/>
    </row>
    <row r="508" spans="2:6" s="9" customFormat="1" x14ac:dyDescent="0.25">
      <c r="B508"/>
      <c r="C508"/>
      <c r="E508" s="5"/>
      <c r="F508" s="5"/>
    </row>
    <row r="509" spans="2:6" s="9" customFormat="1" x14ac:dyDescent="0.25">
      <c r="B509"/>
      <c r="C509"/>
      <c r="E509" s="5"/>
      <c r="F509" s="5"/>
    </row>
    <row r="510" spans="2:6" s="9" customFormat="1" x14ac:dyDescent="0.25">
      <c r="B510"/>
      <c r="C510"/>
      <c r="E510" s="5"/>
      <c r="F510" s="5"/>
    </row>
    <row r="511" spans="2:6" s="9" customFormat="1" x14ac:dyDescent="0.25">
      <c r="B511"/>
      <c r="C511"/>
      <c r="E511" s="5"/>
      <c r="F511" s="5"/>
    </row>
    <row r="512" spans="2:6" s="9" customFormat="1" x14ac:dyDescent="0.25">
      <c r="B512"/>
      <c r="C512"/>
      <c r="E512" s="5"/>
      <c r="F512" s="5"/>
    </row>
    <row r="513" spans="2:6" s="9" customFormat="1" x14ac:dyDescent="0.25">
      <c r="B513"/>
      <c r="C513"/>
      <c r="E513" s="5"/>
      <c r="F513" s="5"/>
    </row>
    <row r="514" spans="2:6" s="9" customFormat="1" x14ac:dyDescent="0.25">
      <c r="B514"/>
      <c r="C514"/>
      <c r="E514" s="5"/>
      <c r="F514" s="5"/>
    </row>
    <row r="515" spans="2:6" s="9" customFormat="1" x14ac:dyDescent="0.25">
      <c r="B515" s="10"/>
      <c r="C515" s="5"/>
      <c r="E515" s="5"/>
      <c r="F515" s="5"/>
    </row>
  </sheetData>
  <sheetProtection pivotTables="0"/>
  <mergeCells count="1">
    <mergeCell ref="B2:D4"/>
  </mergeCells>
  <conditionalFormatting sqref="B5:D6 B205:D1048576 B2 B12:B204 D35:D204">
    <cfRule type="cellIs" dxfId="447" priority="1" operator="equal">
      <formula>"(blank)"</formula>
    </cfRule>
  </conditionalFormatting>
  <printOptions horizontalCentered="1"/>
  <pageMargins left="0.70866141732283472" right="0.70866141732283472" top="0.74803149606299213" bottom="0.74803149606299213" header="0.31496062992125984" footer="0.31496062992125984"/>
  <pageSetup fitToHeight="0" orientation="portrait" r:id="rId2"/>
  <headerFooter>
    <oddFooter>&amp;C&amp;"Arial,Bold"&amp;A
Page &amp;"Arial,Regular"&amp;P/&amp;N&amp;RStamp/Sign</oddFooter>
  </headerFooter>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00B0F0"/>
    <pageSetUpPr fitToPage="1"/>
  </sheetPr>
  <dimension ref="B3:N1005"/>
  <sheetViews>
    <sheetView showZeros="0" view="pageBreakPreview" zoomScale="90" zoomScaleNormal="100" zoomScaleSheetLayoutView="90" workbookViewId="0">
      <pane ySplit="8" topLeftCell="A9" activePane="bottomLeft" state="frozen"/>
      <selection activeCell="K22" sqref="K22"/>
      <selection pane="bottomLeft" activeCell="N20" sqref="N20"/>
    </sheetView>
  </sheetViews>
  <sheetFormatPr defaultColWidth="9.109375" defaultRowHeight="13.2" x14ac:dyDescent="0.25"/>
  <cols>
    <col min="1" max="1" width="4.33203125" style="5" customWidth="1"/>
    <col min="2" max="2" width="5.6640625" style="10" customWidth="1"/>
    <col min="3" max="3" width="8.6640625" style="11" customWidth="1"/>
    <col min="4" max="4" width="40.6640625" style="9" customWidth="1"/>
    <col min="5" max="5" width="9.6640625" style="10" customWidth="1"/>
    <col min="6" max="6" width="6.6640625" style="10" customWidth="1"/>
    <col min="7" max="8" width="15.6640625" style="5" customWidth="1"/>
    <col min="9" max="10" width="0.88671875" style="5" customWidth="1"/>
    <col min="11" max="16384" width="9.109375" style="5"/>
  </cols>
  <sheetData>
    <row r="3" spans="2:14" x14ac:dyDescent="0.25">
      <c r="C3" s="150" t="str">
        <f>'2. BQ Normal'!D2</f>
        <v>SUPPLY, INSTALLATION, TESTING AND COMMISSIONING OF STREET LIGHTINGS AT SG LANGAT DAM</v>
      </c>
      <c r="D3" s="150"/>
      <c r="E3" s="150"/>
      <c r="F3" s="150"/>
      <c r="G3" s="150"/>
      <c r="H3" s="150"/>
    </row>
    <row r="4" spans="2:14" x14ac:dyDescent="0.25">
      <c r="C4" s="150"/>
      <c r="D4" s="150"/>
      <c r="E4" s="150"/>
      <c r="F4" s="150"/>
      <c r="G4" s="150"/>
      <c r="H4" s="150"/>
    </row>
    <row r="5" spans="2:14" ht="13.8" x14ac:dyDescent="0.25">
      <c r="C5" s="150"/>
      <c r="D5" s="150"/>
      <c r="E5" s="150"/>
      <c r="F5" s="150"/>
      <c r="G5" s="150"/>
      <c r="H5" s="150"/>
      <c r="L5" s="55"/>
      <c r="M5" s="55"/>
      <c r="N5" s="55"/>
    </row>
    <row r="6" spans="2:14" x14ac:dyDescent="0.25">
      <c r="C6" s="150"/>
      <c r="D6" s="150"/>
      <c r="E6" s="150"/>
      <c r="F6" s="150"/>
      <c r="G6" s="150"/>
      <c r="H6" s="150"/>
      <c r="N6" s="5" t="s">
        <v>136</v>
      </c>
    </row>
    <row r="7" spans="2:14" ht="13.8" x14ac:dyDescent="0.25">
      <c r="C7" s="57"/>
      <c r="D7" s="56"/>
      <c r="E7" s="151" t="s">
        <v>130</v>
      </c>
      <c r="F7" s="151"/>
      <c r="G7" s="151"/>
      <c r="H7" s="151"/>
    </row>
    <row r="8" spans="2:14" s="46" customFormat="1" ht="13.8" x14ac:dyDescent="0.25">
      <c r="B8" s="113" t="s">
        <v>10</v>
      </c>
      <c r="C8" s="113" t="s">
        <v>7</v>
      </c>
      <c r="D8" s="113" t="s">
        <v>0</v>
      </c>
      <c r="E8" s="113" t="s">
        <v>1</v>
      </c>
      <c r="F8" s="46" t="s">
        <v>13</v>
      </c>
      <c r="G8" s="46" t="s">
        <v>14</v>
      </c>
      <c r="H8" s="114" t="s">
        <v>15</v>
      </c>
    </row>
    <row r="9" spans="2:14" ht="13.8" x14ac:dyDescent="0.25">
      <c r="B9">
        <v>102</v>
      </c>
      <c r="C9" s="58" t="s">
        <v>8</v>
      </c>
      <c r="D9" s="50" t="s">
        <v>130</v>
      </c>
      <c r="E9" s="53" t="s">
        <v>8</v>
      </c>
      <c r="F9" s="156"/>
      <c r="G9" s="54">
        <v>0</v>
      </c>
      <c r="H9" s="54">
        <v>0</v>
      </c>
    </row>
    <row r="10" spans="2:14" ht="13.8" x14ac:dyDescent="0.25">
      <c r="B10"/>
      <c r="C10"/>
      <c r="D10"/>
      <c r="E10"/>
      <c r="F10" s="156"/>
      <c r="G10" s="54"/>
      <c r="H10" s="54"/>
    </row>
    <row r="11" spans="2:14" ht="69" x14ac:dyDescent="0.25">
      <c r="B11">
        <v>103</v>
      </c>
      <c r="C11" s="58" t="s">
        <v>8</v>
      </c>
      <c r="D11" s="51" t="s">
        <v>253</v>
      </c>
      <c r="E11" s="53" t="s">
        <v>8</v>
      </c>
      <c r="F11" s="156"/>
      <c r="G11" s="54">
        <v>0</v>
      </c>
      <c r="H11" s="54">
        <v>0</v>
      </c>
    </row>
    <row r="12" spans="2:14" ht="13.8" x14ac:dyDescent="0.25">
      <c r="B12"/>
      <c r="C12"/>
      <c r="D12"/>
      <c r="E12"/>
      <c r="F12" s="156"/>
      <c r="G12" s="54"/>
      <c r="H12" s="54"/>
    </row>
    <row r="13" spans="2:14" ht="69" x14ac:dyDescent="0.25">
      <c r="B13">
        <v>104</v>
      </c>
      <c r="C13" s="58" t="s">
        <v>133</v>
      </c>
      <c r="D13" s="51" t="s">
        <v>260</v>
      </c>
      <c r="E13" s="53" t="s">
        <v>19</v>
      </c>
      <c r="F13" s="156"/>
      <c r="G13" s="54"/>
      <c r="H13" s="54">
        <v>15000</v>
      </c>
    </row>
    <row r="14" spans="2:14" ht="13.8" x14ac:dyDescent="0.25">
      <c r="B14"/>
      <c r="C14"/>
      <c r="D14"/>
      <c r="E14"/>
      <c r="F14" s="156"/>
      <c r="G14" s="54"/>
      <c r="H14" s="54"/>
    </row>
    <row r="15" spans="2:14" x14ac:dyDescent="0.25">
      <c r="B15"/>
      <c r="C15"/>
      <c r="D15"/>
      <c r="E15"/>
      <c r="F15"/>
      <c r="G15"/>
      <c r="H15"/>
    </row>
    <row r="16" spans="2:14" x14ac:dyDescent="0.25">
      <c r="B16"/>
      <c r="C16"/>
      <c r="D16"/>
      <c r="E16"/>
      <c r="F16"/>
      <c r="G16"/>
      <c r="H16"/>
    </row>
    <row r="17" spans="2:8" x14ac:dyDescent="0.25">
      <c r="B17"/>
      <c r="C17"/>
      <c r="D17"/>
      <c r="E17"/>
      <c r="F17"/>
      <c r="G17"/>
      <c r="H17"/>
    </row>
    <row r="18" spans="2:8" x14ac:dyDescent="0.25">
      <c r="B18"/>
      <c r="C18"/>
      <c r="D18"/>
      <c r="E18"/>
      <c r="F18"/>
      <c r="G18"/>
      <c r="H18"/>
    </row>
    <row r="19" spans="2:8" x14ac:dyDescent="0.25">
      <c r="B19"/>
      <c r="C19"/>
      <c r="D19"/>
      <c r="E19"/>
      <c r="F19"/>
      <c r="G19"/>
      <c r="H19"/>
    </row>
    <row r="20" spans="2:8" x14ac:dyDescent="0.25">
      <c r="B20"/>
      <c r="C20"/>
      <c r="D20"/>
      <c r="E20"/>
      <c r="F20"/>
      <c r="G20"/>
      <c r="H20"/>
    </row>
    <row r="21" spans="2:8" x14ac:dyDescent="0.25">
      <c r="B21"/>
      <c r="C21"/>
      <c r="D21"/>
      <c r="E21"/>
      <c r="F21"/>
      <c r="G21"/>
      <c r="H21"/>
    </row>
    <row r="22" spans="2:8" x14ac:dyDescent="0.25">
      <c r="B22"/>
      <c r="C22"/>
      <c r="D22"/>
      <c r="E22"/>
      <c r="F22"/>
      <c r="G22"/>
      <c r="H22"/>
    </row>
    <row r="23" spans="2:8" x14ac:dyDescent="0.25">
      <c r="B23"/>
      <c r="C23"/>
      <c r="D23"/>
      <c r="E23"/>
      <c r="F23"/>
      <c r="G23"/>
      <c r="H23"/>
    </row>
    <row r="24" spans="2:8" x14ac:dyDescent="0.25">
      <c r="B24"/>
      <c r="C24"/>
      <c r="D24"/>
      <c r="E24"/>
      <c r="F24"/>
      <c r="G24"/>
      <c r="H24"/>
    </row>
    <row r="25" spans="2:8" x14ac:dyDescent="0.25">
      <c r="B25"/>
      <c r="C25"/>
      <c r="D25"/>
      <c r="E25"/>
      <c r="F25"/>
      <c r="G25"/>
      <c r="H25"/>
    </row>
    <row r="26" spans="2:8" x14ac:dyDescent="0.25">
      <c r="B26"/>
      <c r="C26"/>
      <c r="D26"/>
      <c r="E26"/>
      <c r="F26"/>
      <c r="G26"/>
      <c r="H26"/>
    </row>
    <row r="27" spans="2:8" x14ac:dyDescent="0.25">
      <c r="B27"/>
      <c r="C27"/>
      <c r="D27"/>
      <c r="E27"/>
      <c r="F27"/>
      <c r="G27"/>
      <c r="H27"/>
    </row>
    <row r="28" spans="2:8" x14ac:dyDescent="0.25">
      <c r="B28"/>
      <c r="C28"/>
      <c r="D28"/>
      <c r="E28"/>
      <c r="F28"/>
      <c r="G28"/>
      <c r="H28"/>
    </row>
    <row r="29" spans="2:8" x14ac:dyDescent="0.25">
      <c r="B29"/>
      <c r="C29"/>
      <c r="D29"/>
      <c r="E29"/>
      <c r="F29"/>
      <c r="G29"/>
      <c r="H29"/>
    </row>
    <row r="30" spans="2:8" x14ac:dyDescent="0.25">
      <c r="B30"/>
      <c r="C30"/>
      <c r="D30"/>
      <c r="E30"/>
      <c r="F30"/>
      <c r="G30"/>
      <c r="H30"/>
    </row>
    <row r="31" spans="2:8" x14ac:dyDescent="0.25">
      <c r="B31"/>
      <c r="C31"/>
      <c r="D31"/>
      <c r="E31"/>
      <c r="F31"/>
      <c r="G31"/>
      <c r="H31"/>
    </row>
    <row r="32" spans="2:8" x14ac:dyDescent="0.25">
      <c r="B32"/>
      <c r="C32"/>
      <c r="D32"/>
      <c r="E32"/>
      <c r="F32"/>
      <c r="G32"/>
      <c r="H32"/>
    </row>
    <row r="33" spans="2:8" x14ac:dyDescent="0.25">
      <c r="B33"/>
      <c r="C33"/>
      <c r="D33"/>
      <c r="E33"/>
      <c r="F33"/>
      <c r="G33"/>
      <c r="H33"/>
    </row>
    <row r="34" spans="2:8" x14ac:dyDescent="0.25">
      <c r="B34"/>
      <c r="C34"/>
      <c r="D34"/>
      <c r="E34"/>
      <c r="F34"/>
      <c r="G34"/>
      <c r="H34"/>
    </row>
    <row r="35" spans="2:8" x14ac:dyDescent="0.25">
      <c r="B35"/>
      <c r="C35"/>
      <c r="D35"/>
      <c r="E35"/>
      <c r="F35"/>
      <c r="G35"/>
      <c r="H35"/>
    </row>
    <row r="36" spans="2:8" x14ac:dyDescent="0.25">
      <c r="B36"/>
      <c r="C36"/>
      <c r="D36"/>
      <c r="E36"/>
      <c r="F36"/>
      <c r="G36"/>
      <c r="H36"/>
    </row>
    <row r="37" spans="2:8" x14ac:dyDescent="0.25">
      <c r="B37"/>
      <c r="C37"/>
      <c r="D37"/>
      <c r="E37"/>
      <c r="F37"/>
      <c r="G37"/>
      <c r="H37"/>
    </row>
    <row r="38" spans="2:8" x14ac:dyDescent="0.25">
      <c r="B38"/>
      <c r="C38"/>
      <c r="D38"/>
      <c r="E38"/>
      <c r="F38"/>
      <c r="G38"/>
      <c r="H38"/>
    </row>
    <row r="39" spans="2:8" x14ac:dyDescent="0.25">
      <c r="B39"/>
      <c r="C39"/>
      <c r="D39"/>
      <c r="E39"/>
      <c r="F39"/>
      <c r="G39"/>
      <c r="H39"/>
    </row>
    <row r="40" spans="2:8" x14ac:dyDescent="0.25">
      <c r="B40"/>
      <c r="C40"/>
      <c r="D40"/>
      <c r="E40"/>
      <c r="F40"/>
      <c r="G40"/>
      <c r="H40"/>
    </row>
    <row r="41" spans="2:8" x14ac:dyDescent="0.25">
      <c r="B41"/>
      <c r="C41"/>
      <c r="D41"/>
      <c r="E41"/>
      <c r="F41"/>
      <c r="G41"/>
      <c r="H41"/>
    </row>
    <row r="42" spans="2:8" x14ac:dyDescent="0.25">
      <c r="B42"/>
      <c r="C42"/>
      <c r="D42"/>
      <c r="E42"/>
      <c r="F42"/>
      <c r="G42"/>
      <c r="H42"/>
    </row>
    <row r="43" spans="2:8" x14ac:dyDescent="0.25">
      <c r="B43"/>
      <c r="C43"/>
      <c r="D43"/>
      <c r="E43"/>
      <c r="F43"/>
      <c r="G43"/>
      <c r="H43"/>
    </row>
    <row r="44" spans="2:8" x14ac:dyDescent="0.25">
      <c r="B44"/>
      <c r="C44"/>
      <c r="D44"/>
      <c r="E44"/>
      <c r="F44"/>
      <c r="G44"/>
      <c r="H44"/>
    </row>
    <row r="45" spans="2:8" x14ac:dyDescent="0.25">
      <c r="B45"/>
      <c r="C45"/>
      <c r="D45"/>
      <c r="E45"/>
      <c r="F45"/>
      <c r="G45"/>
      <c r="H45"/>
    </row>
    <row r="46" spans="2:8" x14ac:dyDescent="0.25">
      <c r="B46"/>
      <c r="C46"/>
      <c r="D46"/>
      <c r="E46"/>
      <c r="F46"/>
      <c r="G46"/>
      <c r="H46"/>
    </row>
    <row r="47" spans="2:8" x14ac:dyDescent="0.25">
      <c r="B47"/>
      <c r="C47"/>
      <c r="D47"/>
      <c r="E47"/>
      <c r="F47"/>
      <c r="G47"/>
      <c r="H47"/>
    </row>
    <row r="48" spans="2:8" x14ac:dyDescent="0.25">
      <c r="B48"/>
      <c r="C48"/>
      <c r="D48"/>
      <c r="E48"/>
      <c r="F48"/>
      <c r="G48"/>
      <c r="H48"/>
    </row>
    <row r="49" spans="2:8" x14ac:dyDescent="0.25">
      <c r="B49"/>
      <c r="C49"/>
      <c r="D49"/>
      <c r="E49"/>
      <c r="F49"/>
      <c r="G49"/>
      <c r="H49"/>
    </row>
    <row r="50" spans="2:8" x14ac:dyDescent="0.25">
      <c r="B50"/>
      <c r="C50"/>
      <c r="D50"/>
      <c r="E50"/>
      <c r="F50"/>
      <c r="G50"/>
      <c r="H50"/>
    </row>
    <row r="51" spans="2:8" x14ac:dyDescent="0.25">
      <c r="B51"/>
      <c r="C51"/>
      <c r="D51"/>
      <c r="E51"/>
      <c r="F51"/>
      <c r="G51"/>
      <c r="H51"/>
    </row>
    <row r="52" spans="2:8" x14ac:dyDescent="0.25">
      <c r="B52"/>
      <c r="C52"/>
      <c r="D52"/>
      <c r="E52"/>
      <c r="F52"/>
      <c r="G52"/>
      <c r="H52"/>
    </row>
    <row r="53" spans="2:8" x14ac:dyDescent="0.25">
      <c r="B53"/>
      <c r="C53"/>
      <c r="D53"/>
      <c r="E53"/>
      <c r="F53"/>
      <c r="G53"/>
      <c r="H53"/>
    </row>
    <row r="54" spans="2:8" x14ac:dyDescent="0.25">
      <c r="B54"/>
      <c r="C54"/>
      <c r="D54"/>
      <c r="E54"/>
      <c r="F54"/>
      <c r="G54"/>
      <c r="H54"/>
    </row>
    <row r="55" spans="2:8" x14ac:dyDescent="0.25">
      <c r="B55"/>
      <c r="C55"/>
      <c r="D55"/>
      <c r="E55"/>
      <c r="F55"/>
      <c r="G55"/>
      <c r="H55"/>
    </row>
    <row r="56" spans="2:8" x14ac:dyDescent="0.25">
      <c r="B56"/>
      <c r="C56"/>
      <c r="D56"/>
      <c r="E56"/>
      <c r="F56"/>
      <c r="G56"/>
      <c r="H56"/>
    </row>
    <row r="57" spans="2:8" x14ac:dyDescent="0.25">
      <c r="B57"/>
      <c r="C57"/>
      <c r="D57"/>
      <c r="E57"/>
      <c r="F57"/>
      <c r="G57"/>
      <c r="H57"/>
    </row>
    <row r="58" spans="2:8" x14ac:dyDescent="0.25">
      <c r="B58"/>
      <c r="C58"/>
      <c r="D58"/>
      <c r="E58"/>
      <c r="F58"/>
      <c r="G58"/>
      <c r="H58"/>
    </row>
    <row r="59" spans="2:8" x14ac:dyDescent="0.25">
      <c r="B59"/>
      <c r="C59"/>
      <c r="D59"/>
      <c r="E59"/>
      <c r="F59"/>
      <c r="G59"/>
      <c r="H59"/>
    </row>
    <row r="60" spans="2:8" x14ac:dyDescent="0.25">
      <c r="B60"/>
      <c r="C60"/>
      <c r="D60"/>
      <c r="E60"/>
      <c r="F60"/>
      <c r="G60"/>
      <c r="H60"/>
    </row>
    <row r="61" spans="2:8" x14ac:dyDescent="0.25">
      <c r="B61"/>
      <c r="C61"/>
      <c r="D61"/>
      <c r="E61"/>
      <c r="F61"/>
      <c r="G61"/>
      <c r="H61"/>
    </row>
    <row r="62" spans="2:8" x14ac:dyDescent="0.25">
      <c r="B62"/>
      <c r="C62"/>
      <c r="D62"/>
      <c r="E62"/>
      <c r="F62"/>
      <c r="G62"/>
      <c r="H62"/>
    </row>
    <row r="63" spans="2:8" x14ac:dyDescent="0.25">
      <c r="B63"/>
      <c r="C63"/>
      <c r="D63"/>
      <c r="E63"/>
      <c r="F63"/>
      <c r="G63"/>
      <c r="H63"/>
    </row>
    <row r="64" spans="2:8" x14ac:dyDescent="0.25">
      <c r="B64"/>
      <c r="C64"/>
      <c r="D64"/>
      <c r="E64"/>
      <c r="F64"/>
      <c r="G64"/>
      <c r="H64"/>
    </row>
    <row r="65" spans="2:8" x14ac:dyDescent="0.25">
      <c r="B65"/>
      <c r="C65"/>
      <c r="D65"/>
      <c r="E65"/>
      <c r="F65"/>
      <c r="G65"/>
      <c r="H65"/>
    </row>
    <row r="66" spans="2:8" x14ac:dyDescent="0.25">
      <c r="B66"/>
      <c r="C66"/>
      <c r="D66"/>
      <c r="E66"/>
      <c r="F66"/>
      <c r="G66"/>
      <c r="H66"/>
    </row>
    <row r="67" spans="2:8" x14ac:dyDescent="0.25">
      <c r="B67"/>
      <c r="C67"/>
      <c r="D67"/>
      <c r="E67"/>
      <c r="F67"/>
      <c r="G67"/>
      <c r="H67"/>
    </row>
    <row r="68" spans="2:8" x14ac:dyDescent="0.25">
      <c r="B68"/>
      <c r="C68"/>
      <c r="D68"/>
      <c r="E68"/>
      <c r="F68"/>
      <c r="G68"/>
      <c r="H68"/>
    </row>
    <row r="69" spans="2:8" x14ac:dyDescent="0.25">
      <c r="B69"/>
      <c r="C69"/>
      <c r="D69"/>
      <c r="E69"/>
      <c r="F69"/>
      <c r="G69"/>
      <c r="H69"/>
    </row>
    <row r="70" spans="2:8" x14ac:dyDescent="0.25">
      <c r="B70"/>
      <c r="C70"/>
      <c r="D70"/>
      <c r="E70"/>
      <c r="F70"/>
      <c r="G70"/>
      <c r="H70"/>
    </row>
    <row r="71" spans="2:8" x14ac:dyDescent="0.25">
      <c r="B71"/>
      <c r="C71"/>
      <c r="D71"/>
      <c r="E71"/>
      <c r="F71"/>
      <c r="G71"/>
      <c r="H71"/>
    </row>
    <row r="72" spans="2:8" x14ac:dyDescent="0.25">
      <c r="B72"/>
      <c r="C72"/>
      <c r="D72"/>
      <c r="E72"/>
      <c r="F72"/>
      <c r="G72"/>
      <c r="H72"/>
    </row>
    <row r="73" spans="2:8" x14ac:dyDescent="0.25">
      <c r="B73"/>
      <c r="C73"/>
      <c r="D73"/>
      <c r="E73"/>
      <c r="F73"/>
      <c r="G73"/>
      <c r="H73"/>
    </row>
    <row r="74" spans="2:8" x14ac:dyDescent="0.25">
      <c r="B74"/>
      <c r="C74"/>
      <c r="D74"/>
      <c r="E74"/>
      <c r="F74"/>
      <c r="G74"/>
      <c r="H74"/>
    </row>
    <row r="75" spans="2:8" x14ac:dyDescent="0.25">
      <c r="B75"/>
      <c r="C75"/>
      <c r="D75"/>
      <c r="E75"/>
      <c r="F75"/>
      <c r="G75"/>
      <c r="H75"/>
    </row>
    <row r="76" spans="2:8" x14ac:dyDescent="0.25">
      <c r="B76"/>
      <c r="C76"/>
      <c r="D76"/>
      <c r="E76"/>
      <c r="F76"/>
      <c r="G76"/>
      <c r="H76"/>
    </row>
    <row r="77" spans="2:8" x14ac:dyDescent="0.25">
      <c r="B77"/>
      <c r="C77"/>
      <c r="D77"/>
      <c r="E77"/>
      <c r="F77"/>
      <c r="G77"/>
      <c r="H77"/>
    </row>
    <row r="78" spans="2:8" x14ac:dyDescent="0.25">
      <c r="B78"/>
      <c r="C78"/>
      <c r="D78"/>
      <c r="E78"/>
      <c r="F78"/>
      <c r="G78"/>
      <c r="H78"/>
    </row>
    <row r="79" spans="2:8" x14ac:dyDescent="0.25">
      <c r="B79"/>
      <c r="C79"/>
      <c r="D79"/>
      <c r="E79"/>
      <c r="F79"/>
      <c r="G79"/>
      <c r="H79"/>
    </row>
    <row r="80" spans="2:8" x14ac:dyDescent="0.25">
      <c r="B80"/>
      <c r="C80"/>
      <c r="D80"/>
      <c r="E80"/>
      <c r="F80"/>
      <c r="G80"/>
      <c r="H80"/>
    </row>
    <row r="81" spans="2:8" x14ac:dyDescent="0.25">
      <c r="B81"/>
      <c r="C81"/>
      <c r="D81"/>
      <c r="E81"/>
      <c r="F81"/>
      <c r="G81"/>
      <c r="H81"/>
    </row>
    <row r="82" spans="2:8" x14ac:dyDescent="0.25">
      <c r="B82"/>
      <c r="C82"/>
      <c r="D82"/>
      <c r="E82"/>
      <c r="F82"/>
      <c r="G82"/>
      <c r="H82"/>
    </row>
    <row r="83" spans="2:8" x14ac:dyDescent="0.25">
      <c r="B83"/>
      <c r="C83"/>
      <c r="D83"/>
      <c r="E83"/>
      <c r="F83"/>
      <c r="G83"/>
      <c r="H83"/>
    </row>
    <row r="84" spans="2:8" x14ac:dyDescent="0.25">
      <c r="B84"/>
      <c r="C84"/>
      <c r="D84"/>
      <c r="E84"/>
      <c r="F84"/>
      <c r="G84"/>
      <c r="H84"/>
    </row>
    <row r="85" spans="2:8" x14ac:dyDescent="0.25">
      <c r="B85"/>
      <c r="C85"/>
      <c r="D85"/>
      <c r="E85"/>
      <c r="F85"/>
      <c r="G85"/>
      <c r="H85"/>
    </row>
    <row r="86" spans="2:8" x14ac:dyDescent="0.25">
      <c r="B86"/>
      <c r="C86"/>
      <c r="D86"/>
      <c r="E86"/>
      <c r="F86"/>
      <c r="G86"/>
      <c r="H86"/>
    </row>
    <row r="87" spans="2:8" x14ac:dyDescent="0.25">
      <c r="B87"/>
      <c r="C87"/>
      <c r="D87"/>
      <c r="E87"/>
      <c r="F87"/>
      <c r="G87"/>
      <c r="H87"/>
    </row>
    <row r="88" spans="2:8" x14ac:dyDescent="0.25">
      <c r="B88"/>
      <c r="C88"/>
      <c r="D88"/>
      <c r="E88"/>
      <c r="F88"/>
      <c r="G88"/>
      <c r="H88"/>
    </row>
    <row r="89" spans="2:8" x14ac:dyDescent="0.25">
      <c r="B89"/>
      <c r="C89"/>
      <c r="D89"/>
      <c r="E89"/>
      <c r="F89"/>
      <c r="G89"/>
      <c r="H89"/>
    </row>
    <row r="90" spans="2:8" x14ac:dyDescent="0.25">
      <c r="B90"/>
      <c r="C90"/>
      <c r="D90"/>
      <c r="E90"/>
      <c r="F90"/>
      <c r="G90"/>
      <c r="H90"/>
    </row>
    <row r="91" spans="2:8" x14ac:dyDescent="0.25">
      <c r="B91"/>
      <c r="C91"/>
      <c r="D91"/>
      <c r="E91"/>
      <c r="F91"/>
      <c r="G91"/>
      <c r="H91"/>
    </row>
    <row r="92" spans="2:8" x14ac:dyDescent="0.25">
      <c r="B92"/>
      <c r="C92"/>
      <c r="D92"/>
      <c r="E92"/>
      <c r="F92"/>
      <c r="G92"/>
      <c r="H92"/>
    </row>
    <row r="93" spans="2:8" x14ac:dyDescent="0.25">
      <c r="B93"/>
      <c r="C93"/>
      <c r="D93"/>
      <c r="E93"/>
      <c r="F93"/>
      <c r="G93"/>
      <c r="H93"/>
    </row>
    <row r="94" spans="2:8" x14ac:dyDescent="0.25">
      <c r="B94"/>
      <c r="C94"/>
      <c r="D94"/>
      <c r="E94"/>
      <c r="F94"/>
      <c r="G94"/>
      <c r="H94"/>
    </row>
    <row r="95" spans="2:8" x14ac:dyDescent="0.25">
      <c r="B95"/>
      <c r="C95"/>
      <c r="D95"/>
      <c r="E95"/>
      <c r="F95"/>
      <c r="G95"/>
      <c r="H95"/>
    </row>
    <row r="96" spans="2:8" x14ac:dyDescent="0.25">
      <c r="B96"/>
      <c r="C96"/>
      <c r="D96"/>
      <c r="E96"/>
      <c r="F96"/>
      <c r="G96"/>
      <c r="H96"/>
    </row>
    <row r="97" spans="2:8" x14ac:dyDescent="0.25">
      <c r="B97"/>
      <c r="C97"/>
      <c r="D97"/>
      <c r="E97"/>
      <c r="F97"/>
      <c r="G97"/>
      <c r="H97"/>
    </row>
    <row r="98" spans="2:8" x14ac:dyDescent="0.25">
      <c r="B98"/>
      <c r="C98"/>
      <c r="D98"/>
      <c r="E98"/>
      <c r="F98"/>
      <c r="G98"/>
      <c r="H98"/>
    </row>
    <row r="99" spans="2:8" x14ac:dyDescent="0.25">
      <c r="B99"/>
      <c r="C99"/>
      <c r="D99"/>
      <c r="E99"/>
      <c r="F99"/>
      <c r="G99"/>
      <c r="H99"/>
    </row>
    <row r="100" spans="2:8" x14ac:dyDescent="0.25">
      <c r="B100"/>
      <c r="C100"/>
      <c r="D100"/>
      <c r="E100"/>
      <c r="F100"/>
      <c r="G100"/>
      <c r="H100"/>
    </row>
    <row r="101" spans="2:8" x14ac:dyDescent="0.25">
      <c r="B101"/>
      <c r="C101"/>
      <c r="D101"/>
      <c r="E101"/>
      <c r="F101"/>
      <c r="G101"/>
      <c r="H101"/>
    </row>
    <row r="102" spans="2:8" x14ac:dyDescent="0.25">
      <c r="B102"/>
      <c r="C102"/>
      <c r="D102"/>
      <c r="E102"/>
      <c r="F102"/>
      <c r="G102"/>
      <c r="H102"/>
    </row>
    <row r="103" spans="2:8" x14ac:dyDescent="0.25">
      <c r="B103"/>
      <c r="C103"/>
      <c r="D103"/>
      <c r="E103"/>
      <c r="F103"/>
      <c r="G103"/>
      <c r="H103"/>
    </row>
    <row r="104" spans="2:8" x14ac:dyDescent="0.25">
      <c r="B104"/>
      <c r="C104"/>
      <c r="D104"/>
      <c r="E104"/>
      <c r="F104"/>
      <c r="G104"/>
      <c r="H104"/>
    </row>
    <row r="105" spans="2:8" x14ac:dyDescent="0.25">
      <c r="B105"/>
      <c r="C105"/>
      <c r="D105"/>
      <c r="E105"/>
      <c r="F105"/>
      <c r="G105"/>
      <c r="H105"/>
    </row>
    <row r="106" spans="2:8" x14ac:dyDescent="0.25">
      <c r="B106"/>
      <c r="C106"/>
      <c r="D106"/>
      <c r="E106"/>
      <c r="F106"/>
      <c r="G106"/>
      <c r="H106"/>
    </row>
    <row r="107" spans="2:8" x14ac:dyDescent="0.25">
      <c r="B107"/>
      <c r="C107"/>
      <c r="D107"/>
      <c r="E107"/>
      <c r="F107"/>
      <c r="G107"/>
      <c r="H107"/>
    </row>
    <row r="108" spans="2:8" x14ac:dyDescent="0.25">
      <c r="B108"/>
      <c r="C108"/>
      <c r="D108"/>
      <c r="E108"/>
      <c r="F108"/>
      <c r="G108"/>
      <c r="H108"/>
    </row>
    <row r="109" spans="2:8" x14ac:dyDescent="0.25">
      <c r="B109"/>
      <c r="C109"/>
      <c r="D109"/>
      <c r="E109"/>
      <c r="F109"/>
      <c r="G109"/>
      <c r="H109"/>
    </row>
    <row r="110" spans="2:8" x14ac:dyDescent="0.25">
      <c r="B110"/>
      <c r="C110"/>
      <c r="D110"/>
      <c r="E110"/>
      <c r="F110"/>
      <c r="G110"/>
      <c r="H110"/>
    </row>
    <row r="111" spans="2:8" x14ac:dyDescent="0.25">
      <c r="B111"/>
      <c r="C111"/>
      <c r="D111"/>
      <c r="E111"/>
      <c r="F111"/>
      <c r="G111"/>
      <c r="H111"/>
    </row>
    <row r="112" spans="2:8" x14ac:dyDescent="0.25">
      <c r="B112"/>
      <c r="C112"/>
      <c r="D112"/>
      <c r="E112"/>
      <c r="F112"/>
      <c r="G112"/>
      <c r="H112"/>
    </row>
    <row r="113" spans="2:8" x14ac:dyDescent="0.25">
      <c r="B113"/>
      <c r="C113"/>
      <c r="D113"/>
      <c r="E113"/>
      <c r="F113"/>
      <c r="G113"/>
      <c r="H113"/>
    </row>
    <row r="114" spans="2:8" x14ac:dyDescent="0.25">
      <c r="B114"/>
      <c r="C114"/>
      <c r="D114"/>
      <c r="E114"/>
      <c r="F114"/>
      <c r="G114"/>
      <c r="H114"/>
    </row>
    <row r="115" spans="2:8" x14ac:dyDescent="0.25">
      <c r="B115"/>
      <c r="C115"/>
      <c r="D115"/>
      <c r="E115"/>
      <c r="F115"/>
      <c r="G115"/>
      <c r="H115"/>
    </row>
    <row r="116" spans="2:8" x14ac:dyDescent="0.25">
      <c r="B116"/>
      <c r="C116"/>
      <c r="D116"/>
      <c r="E116"/>
      <c r="F116"/>
      <c r="G116"/>
      <c r="H116"/>
    </row>
    <row r="117" spans="2:8" x14ac:dyDescent="0.25">
      <c r="B117"/>
      <c r="C117"/>
      <c r="D117"/>
      <c r="E117"/>
      <c r="F117"/>
      <c r="G117"/>
      <c r="H117"/>
    </row>
    <row r="118" spans="2:8" x14ac:dyDescent="0.25">
      <c r="B118"/>
      <c r="C118"/>
      <c r="D118"/>
      <c r="E118"/>
      <c r="F118"/>
      <c r="G118"/>
      <c r="H118"/>
    </row>
    <row r="119" spans="2:8" x14ac:dyDescent="0.25">
      <c r="B119"/>
      <c r="C119"/>
      <c r="D119"/>
      <c r="E119"/>
      <c r="F119"/>
      <c r="G119"/>
      <c r="H119"/>
    </row>
    <row r="120" spans="2:8" x14ac:dyDescent="0.25">
      <c r="B120"/>
      <c r="C120"/>
      <c r="D120"/>
      <c r="E120"/>
      <c r="F120"/>
      <c r="G120"/>
      <c r="H120"/>
    </row>
    <row r="121" spans="2:8" x14ac:dyDescent="0.25">
      <c r="B121"/>
      <c r="C121"/>
      <c r="D121"/>
      <c r="E121"/>
      <c r="F121"/>
      <c r="G121"/>
      <c r="H121"/>
    </row>
    <row r="122" spans="2:8" x14ac:dyDescent="0.25">
      <c r="B122"/>
      <c r="C122"/>
      <c r="D122"/>
      <c r="E122"/>
      <c r="F122"/>
      <c r="G122"/>
      <c r="H122"/>
    </row>
    <row r="123" spans="2:8" x14ac:dyDescent="0.25">
      <c r="B123"/>
      <c r="C123"/>
      <c r="D123"/>
      <c r="E123"/>
      <c r="F123"/>
      <c r="G123"/>
      <c r="H123"/>
    </row>
    <row r="124" spans="2:8" x14ac:dyDescent="0.25">
      <c r="B124"/>
      <c r="C124"/>
      <c r="D124"/>
      <c r="E124"/>
      <c r="F124"/>
      <c r="G124"/>
      <c r="H124"/>
    </row>
    <row r="125" spans="2:8" x14ac:dyDescent="0.25">
      <c r="B125"/>
      <c r="C125"/>
      <c r="D125"/>
      <c r="E125"/>
      <c r="F125"/>
      <c r="G125"/>
      <c r="H125"/>
    </row>
    <row r="126" spans="2:8" x14ac:dyDescent="0.25">
      <c r="B126"/>
      <c r="C126"/>
      <c r="D126"/>
      <c r="E126"/>
      <c r="F126"/>
      <c r="G126"/>
      <c r="H126"/>
    </row>
    <row r="127" spans="2:8" x14ac:dyDescent="0.25">
      <c r="B127"/>
      <c r="C127"/>
      <c r="D127"/>
      <c r="E127"/>
      <c r="F127"/>
      <c r="G127"/>
      <c r="H127"/>
    </row>
    <row r="128" spans="2:8" x14ac:dyDescent="0.25">
      <c r="B128"/>
      <c r="C128"/>
      <c r="D128"/>
      <c r="E128"/>
      <c r="F128"/>
      <c r="G128"/>
      <c r="H128"/>
    </row>
    <row r="129" spans="2:8" x14ac:dyDescent="0.25">
      <c r="B129"/>
      <c r="C129"/>
      <c r="D129"/>
      <c r="E129"/>
      <c r="F129"/>
      <c r="G129"/>
      <c r="H129"/>
    </row>
    <row r="130" spans="2:8" x14ac:dyDescent="0.25">
      <c r="B130"/>
      <c r="C130"/>
      <c r="D130"/>
      <c r="E130"/>
      <c r="F130"/>
      <c r="G130"/>
      <c r="H130"/>
    </row>
    <row r="131" spans="2:8" x14ac:dyDescent="0.25">
      <c r="B131"/>
      <c r="C131"/>
      <c r="D131"/>
      <c r="E131"/>
      <c r="F131"/>
      <c r="G131"/>
      <c r="H131"/>
    </row>
    <row r="132" spans="2:8" x14ac:dyDescent="0.25">
      <c r="B132"/>
      <c r="C132"/>
      <c r="D132"/>
      <c r="E132"/>
      <c r="F132"/>
      <c r="G132"/>
      <c r="H132"/>
    </row>
    <row r="133" spans="2:8" x14ac:dyDescent="0.25">
      <c r="B133"/>
      <c r="C133"/>
      <c r="D133"/>
      <c r="E133"/>
      <c r="F133"/>
      <c r="G133"/>
      <c r="H133"/>
    </row>
    <row r="134" spans="2:8" x14ac:dyDescent="0.25">
      <c r="B134"/>
      <c r="C134"/>
      <c r="D134"/>
      <c r="E134"/>
      <c r="F134"/>
      <c r="G134"/>
      <c r="H134"/>
    </row>
    <row r="135" spans="2:8" x14ac:dyDescent="0.25">
      <c r="B135"/>
      <c r="C135"/>
      <c r="D135"/>
      <c r="E135"/>
      <c r="F135"/>
      <c r="G135"/>
      <c r="H135"/>
    </row>
    <row r="136" spans="2:8" x14ac:dyDescent="0.25">
      <c r="B136"/>
      <c r="C136"/>
      <c r="D136"/>
      <c r="E136"/>
      <c r="F136"/>
      <c r="G136"/>
      <c r="H136"/>
    </row>
    <row r="137" spans="2:8" x14ac:dyDescent="0.25">
      <c r="B137"/>
      <c r="C137"/>
      <c r="D137"/>
      <c r="E137"/>
      <c r="F137"/>
      <c r="G137"/>
      <c r="H137"/>
    </row>
    <row r="138" spans="2:8" x14ac:dyDescent="0.25">
      <c r="B138"/>
      <c r="C138"/>
      <c r="D138"/>
      <c r="E138"/>
      <c r="F138"/>
      <c r="G138"/>
      <c r="H138"/>
    </row>
    <row r="139" spans="2:8" x14ac:dyDescent="0.25">
      <c r="B139"/>
      <c r="C139"/>
      <c r="D139"/>
      <c r="E139"/>
      <c r="F139"/>
      <c r="G139"/>
      <c r="H139"/>
    </row>
    <row r="140" spans="2:8" x14ac:dyDescent="0.25">
      <c r="B140"/>
      <c r="C140"/>
      <c r="D140"/>
      <c r="E140"/>
      <c r="F140"/>
      <c r="G140"/>
      <c r="H140"/>
    </row>
    <row r="141" spans="2:8" x14ac:dyDescent="0.25">
      <c r="B141"/>
      <c r="C141"/>
      <c r="D141"/>
      <c r="E141"/>
      <c r="F141"/>
      <c r="G141"/>
      <c r="H141"/>
    </row>
    <row r="142" spans="2:8" x14ac:dyDescent="0.25">
      <c r="B142"/>
      <c r="C142"/>
      <c r="D142"/>
      <c r="E142"/>
      <c r="F142"/>
      <c r="G142"/>
      <c r="H142"/>
    </row>
    <row r="143" spans="2:8" x14ac:dyDescent="0.25">
      <c r="B143"/>
      <c r="C143"/>
      <c r="D143"/>
      <c r="E143"/>
      <c r="F143"/>
      <c r="G143"/>
      <c r="H143"/>
    </row>
    <row r="144" spans="2:8" x14ac:dyDescent="0.25">
      <c r="B144"/>
      <c r="C144"/>
      <c r="D144"/>
      <c r="E144"/>
      <c r="F144"/>
      <c r="G144"/>
      <c r="H144"/>
    </row>
    <row r="145" spans="2:8" x14ac:dyDescent="0.25">
      <c r="B145"/>
      <c r="C145"/>
      <c r="D145"/>
      <c r="E145"/>
      <c r="F145"/>
      <c r="G145"/>
      <c r="H145"/>
    </row>
    <row r="146" spans="2:8" x14ac:dyDescent="0.25">
      <c r="B146"/>
      <c r="C146"/>
      <c r="D146"/>
      <c r="E146"/>
      <c r="F146"/>
      <c r="G146"/>
      <c r="H146"/>
    </row>
    <row r="147" spans="2:8" x14ac:dyDescent="0.25">
      <c r="B147"/>
      <c r="C147"/>
      <c r="D147"/>
      <c r="E147"/>
      <c r="F147"/>
      <c r="G147"/>
      <c r="H147"/>
    </row>
    <row r="148" spans="2:8" x14ac:dyDescent="0.25">
      <c r="B148"/>
      <c r="C148"/>
      <c r="D148"/>
      <c r="E148"/>
      <c r="F148"/>
      <c r="G148"/>
      <c r="H148"/>
    </row>
    <row r="149" spans="2:8" x14ac:dyDescent="0.25">
      <c r="B149"/>
      <c r="C149"/>
      <c r="D149"/>
      <c r="E149"/>
      <c r="F149"/>
      <c r="G149"/>
      <c r="H149"/>
    </row>
    <row r="150" spans="2:8" x14ac:dyDescent="0.25">
      <c r="B150"/>
      <c r="C150"/>
      <c r="D150"/>
      <c r="E150"/>
      <c r="F150"/>
      <c r="G150"/>
      <c r="H150"/>
    </row>
    <row r="151" spans="2:8" x14ac:dyDescent="0.25">
      <c r="B151"/>
      <c r="C151"/>
      <c r="D151"/>
      <c r="E151"/>
      <c r="F151"/>
      <c r="G151"/>
      <c r="H151"/>
    </row>
    <row r="152" spans="2:8" x14ac:dyDescent="0.25">
      <c r="B152"/>
      <c r="C152"/>
      <c r="D152"/>
      <c r="E152"/>
      <c r="F152"/>
      <c r="G152"/>
      <c r="H152"/>
    </row>
    <row r="153" spans="2:8" x14ac:dyDescent="0.25">
      <c r="B153"/>
      <c r="C153"/>
      <c r="D153"/>
      <c r="E153"/>
      <c r="F153"/>
      <c r="G153"/>
      <c r="H153"/>
    </row>
    <row r="154" spans="2:8" x14ac:dyDescent="0.25">
      <c r="B154"/>
      <c r="C154"/>
      <c r="D154"/>
      <c r="E154"/>
      <c r="F154"/>
      <c r="G154"/>
      <c r="H154"/>
    </row>
    <row r="155" spans="2:8" x14ac:dyDescent="0.25">
      <c r="B155"/>
      <c r="C155"/>
      <c r="D155"/>
      <c r="E155"/>
      <c r="F155"/>
      <c r="G155"/>
      <c r="H155"/>
    </row>
    <row r="156" spans="2:8" x14ac:dyDescent="0.25">
      <c r="B156"/>
      <c r="C156"/>
      <c r="D156"/>
      <c r="E156"/>
      <c r="F156"/>
      <c r="G156"/>
      <c r="H156"/>
    </row>
    <row r="157" spans="2:8" x14ac:dyDescent="0.25">
      <c r="B157"/>
      <c r="C157"/>
      <c r="D157"/>
      <c r="E157"/>
      <c r="F157"/>
      <c r="G157"/>
      <c r="H157"/>
    </row>
    <row r="158" spans="2:8" x14ac:dyDescent="0.25">
      <c r="B158"/>
      <c r="C158"/>
      <c r="D158"/>
      <c r="E158"/>
      <c r="F158"/>
      <c r="G158"/>
      <c r="H158"/>
    </row>
    <row r="159" spans="2:8" x14ac:dyDescent="0.25">
      <c r="B159"/>
      <c r="C159"/>
      <c r="D159"/>
      <c r="E159"/>
      <c r="F159"/>
      <c r="G159"/>
      <c r="H159"/>
    </row>
    <row r="160" spans="2:8" x14ac:dyDescent="0.25">
      <c r="B160"/>
      <c r="C160"/>
      <c r="D160"/>
      <c r="E160"/>
      <c r="F160"/>
      <c r="G160"/>
      <c r="H160"/>
    </row>
    <row r="161" spans="2:8" x14ac:dyDescent="0.25">
      <c r="B161"/>
      <c r="C161"/>
      <c r="D161"/>
      <c r="E161"/>
      <c r="F161"/>
      <c r="G161"/>
      <c r="H161"/>
    </row>
    <row r="162" spans="2:8" x14ac:dyDescent="0.25">
      <c r="B162"/>
      <c r="C162"/>
      <c r="D162"/>
      <c r="E162"/>
      <c r="F162"/>
      <c r="G162"/>
      <c r="H162"/>
    </row>
    <row r="163" spans="2:8" x14ac:dyDescent="0.25">
      <c r="B163"/>
      <c r="C163"/>
      <c r="D163"/>
      <c r="E163"/>
      <c r="F163"/>
      <c r="G163"/>
      <c r="H163"/>
    </row>
    <row r="164" spans="2:8" x14ac:dyDescent="0.25">
      <c r="B164"/>
      <c r="C164"/>
      <c r="D164"/>
      <c r="E164"/>
      <c r="F164"/>
      <c r="G164"/>
      <c r="H164"/>
    </row>
    <row r="165" spans="2:8" x14ac:dyDescent="0.25">
      <c r="B165"/>
      <c r="C165"/>
      <c r="D165"/>
      <c r="E165"/>
      <c r="F165"/>
      <c r="G165"/>
      <c r="H165"/>
    </row>
    <row r="166" spans="2:8" x14ac:dyDescent="0.25">
      <c r="B166"/>
      <c r="C166"/>
      <c r="D166"/>
      <c r="E166"/>
      <c r="F166"/>
      <c r="G166"/>
      <c r="H166"/>
    </row>
    <row r="167" spans="2:8" x14ac:dyDescent="0.25">
      <c r="B167"/>
      <c r="C167"/>
      <c r="D167"/>
      <c r="E167"/>
      <c r="F167"/>
      <c r="G167"/>
      <c r="H167"/>
    </row>
    <row r="168" spans="2:8" x14ac:dyDescent="0.25">
      <c r="B168"/>
      <c r="C168"/>
      <c r="D168"/>
      <c r="E168"/>
      <c r="F168"/>
      <c r="G168"/>
      <c r="H168"/>
    </row>
    <row r="169" spans="2:8" x14ac:dyDescent="0.25">
      <c r="B169"/>
      <c r="C169"/>
      <c r="D169"/>
      <c r="E169"/>
      <c r="F169"/>
      <c r="G169"/>
      <c r="H169"/>
    </row>
    <row r="170" spans="2:8" x14ac:dyDescent="0.25">
      <c r="B170"/>
      <c r="C170"/>
      <c r="D170"/>
      <c r="E170"/>
      <c r="F170"/>
      <c r="G170"/>
      <c r="H170"/>
    </row>
    <row r="171" spans="2:8" x14ac:dyDescent="0.25">
      <c r="B171"/>
      <c r="C171"/>
      <c r="D171"/>
      <c r="E171"/>
      <c r="F171"/>
      <c r="G171"/>
      <c r="H171"/>
    </row>
    <row r="172" spans="2:8" x14ac:dyDescent="0.25">
      <c r="B172"/>
      <c r="C172"/>
      <c r="D172"/>
      <c r="E172"/>
      <c r="F172"/>
      <c r="G172"/>
      <c r="H172"/>
    </row>
    <row r="173" spans="2:8" x14ac:dyDescent="0.25">
      <c r="B173"/>
      <c r="C173"/>
      <c r="D173"/>
      <c r="E173"/>
      <c r="F173"/>
      <c r="G173"/>
      <c r="H173"/>
    </row>
    <row r="174" spans="2:8" x14ac:dyDescent="0.25">
      <c r="B174"/>
      <c r="C174"/>
      <c r="D174"/>
      <c r="E174"/>
      <c r="F174"/>
      <c r="G174"/>
      <c r="H174"/>
    </row>
    <row r="175" spans="2:8" x14ac:dyDescent="0.25">
      <c r="B175"/>
      <c r="C175"/>
      <c r="D175"/>
      <c r="E175"/>
      <c r="F175"/>
      <c r="G175"/>
      <c r="H175"/>
    </row>
    <row r="176" spans="2:8" x14ac:dyDescent="0.25">
      <c r="B176"/>
      <c r="C176"/>
      <c r="D176"/>
      <c r="E176"/>
      <c r="F176"/>
      <c r="G176"/>
      <c r="H176"/>
    </row>
    <row r="177" spans="2:8" x14ac:dyDescent="0.25">
      <c r="B177"/>
      <c r="C177"/>
      <c r="D177"/>
      <c r="E177"/>
      <c r="F177"/>
      <c r="G177"/>
      <c r="H177"/>
    </row>
    <row r="178" spans="2:8" x14ac:dyDescent="0.25">
      <c r="B178"/>
      <c r="C178"/>
      <c r="D178"/>
      <c r="E178"/>
      <c r="F178"/>
      <c r="G178"/>
      <c r="H178"/>
    </row>
    <row r="179" spans="2:8" x14ac:dyDescent="0.25">
      <c r="B179"/>
      <c r="C179"/>
      <c r="D179"/>
      <c r="E179"/>
      <c r="F179"/>
      <c r="G179"/>
      <c r="H179"/>
    </row>
    <row r="180" spans="2:8" x14ac:dyDescent="0.25">
      <c r="B180"/>
      <c r="C180"/>
      <c r="D180"/>
      <c r="E180"/>
      <c r="F180"/>
      <c r="G180"/>
      <c r="H180"/>
    </row>
    <row r="181" spans="2:8" x14ac:dyDescent="0.25">
      <c r="B181"/>
      <c r="C181"/>
      <c r="D181"/>
      <c r="E181"/>
      <c r="F181"/>
      <c r="G181"/>
      <c r="H181"/>
    </row>
    <row r="182" spans="2:8" x14ac:dyDescent="0.25">
      <c r="B182"/>
      <c r="C182"/>
      <c r="D182"/>
      <c r="E182"/>
      <c r="F182"/>
      <c r="G182"/>
      <c r="H182"/>
    </row>
    <row r="183" spans="2:8" x14ac:dyDescent="0.25">
      <c r="B183"/>
      <c r="C183"/>
      <c r="D183"/>
      <c r="E183"/>
      <c r="F183"/>
      <c r="G183"/>
      <c r="H183"/>
    </row>
    <row r="184" spans="2:8" x14ac:dyDescent="0.25">
      <c r="B184"/>
      <c r="C184"/>
      <c r="D184"/>
      <c r="E184"/>
      <c r="F184"/>
      <c r="G184"/>
      <c r="H184"/>
    </row>
    <row r="185" spans="2:8" x14ac:dyDescent="0.25">
      <c r="B185"/>
      <c r="C185"/>
      <c r="D185"/>
      <c r="E185"/>
      <c r="F185"/>
      <c r="G185"/>
      <c r="H185"/>
    </row>
    <row r="186" spans="2:8" x14ac:dyDescent="0.25">
      <c r="B186"/>
      <c r="C186"/>
      <c r="D186"/>
      <c r="E186"/>
      <c r="F186"/>
      <c r="G186"/>
      <c r="H186"/>
    </row>
    <row r="187" spans="2:8" x14ac:dyDescent="0.25">
      <c r="B187"/>
      <c r="C187"/>
      <c r="D187"/>
      <c r="E187"/>
      <c r="F187"/>
      <c r="G187"/>
      <c r="H187"/>
    </row>
    <row r="188" spans="2:8" x14ac:dyDescent="0.25">
      <c r="B188"/>
      <c r="C188"/>
      <c r="D188"/>
      <c r="E188"/>
      <c r="F188"/>
      <c r="G188"/>
      <c r="H188"/>
    </row>
    <row r="189" spans="2:8" x14ac:dyDescent="0.25">
      <c r="B189"/>
      <c r="C189"/>
      <c r="D189"/>
      <c r="E189"/>
      <c r="F189"/>
      <c r="G189"/>
      <c r="H189"/>
    </row>
    <row r="190" spans="2:8" x14ac:dyDescent="0.25">
      <c r="B190"/>
      <c r="C190"/>
      <c r="D190"/>
      <c r="E190"/>
      <c r="F190"/>
      <c r="G190"/>
      <c r="H190"/>
    </row>
    <row r="191" spans="2:8" x14ac:dyDescent="0.25">
      <c r="B191"/>
      <c r="C191"/>
      <c r="D191"/>
      <c r="E191"/>
      <c r="F191"/>
      <c r="G191"/>
      <c r="H191"/>
    </row>
    <row r="192" spans="2:8" x14ac:dyDescent="0.25">
      <c r="B192"/>
      <c r="C192"/>
      <c r="D192"/>
      <c r="E192"/>
      <c r="F192"/>
      <c r="G192"/>
      <c r="H192"/>
    </row>
    <row r="193" spans="2:8" x14ac:dyDescent="0.25">
      <c r="B193"/>
      <c r="C193"/>
      <c r="D193"/>
      <c r="E193"/>
      <c r="F193"/>
      <c r="G193"/>
      <c r="H193"/>
    </row>
    <row r="194" spans="2:8" x14ac:dyDescent="0.25">
      <c r="B194"/>
      <c r="C194"/>
      <c r="D194"/>
      <c r="E194"/>
      <c r="F194"/>
      <c r="G194"/>
      <c r="H194"/>
    </row>
    <row r="195" spans="2:8" x14ac:dyDescent="0.25">
      <c r="B195"/>
      <c r="C195"/>
      <c r="D195"/>
      <c r="E195"/>
      <c r="F195"/>
      <c r="G195"/>
      <c r="H195"/>
    </row>
    <row r="196" spans="2:8" x14ac:dyDescent="0.25">
      <c r="B196"/>
      <c r="C196"/>
      <c r="D196"/>
      <c r="E196"/>
      <c r="F196"/>
      <c r="G196"/>
      <c r="H196"/>
    </row>
    <row r="197" spans="2:8" x14ac:dyDescent="0.25">
      <c r="B197"/>
      <c r="C197"/>
      <c r="D197"/>
      <c r="E197"/>
      <c r="F197"/>
      <c r="G197"/>
      <c r="H197"/>
    </row>
    <row r="198" spans="2:8" x14ac:dyDescent="0.25">
      <c r="B198"/>
      <c r="C198"/>
      <c r="D198"/>
      <c r="E198"/>
      <c r="F198"/>
      <c r="G198"/>
      <c r="H198"/>
    </row>
    <row r="199" spans="2:8" x14ac:dyDescent="0.25">
      <c r="B199"/>
      <c r="C199"/>
      <c r="D199"/>
      <c r="E199"/>
      <c r="F199"/>
      <c r="G199"/>
      <c r="H199"/>
    </row>
    <row r="200" spans="2:8" x14ac:dyDescent="0.25">
      <c r="B200"/>
      <c r="C200"/>
      <c r="D200"/>
      <c r="E200"/>
      <c r="F200"/>
      <c r="G200"/>
      <c r="H200"/>
    </row>
    <row r="201" spans="2:8" x14ac:dyDescent="0.25">
      <c r="B201"/>
      <c r="C201"/>
      <c r="D201"/>
      <c r="E201"/>
      <c r="F201"/>
      <c r="G201"/>
      <c r="H201"/>
    </row>
    <row r="202" spans="2:8" x14ac:dyDescent="0.25">
      <c r="B202"/>
      <c r="C202"/>
      <c r="D202"/>
      <c r="E202"/>
      <c r="F202"/>
      <c r="G202"/>
      <c r="H202"/>
    </row>
    <row r="203" spans="2:8" x14ac:dyDescent="0.25">
      <c r="B203"/>
      <c r="C203"/>
      <c r="D203"/>
      <c r="E203"/>
      <c r="F203"/>
      <c r="G203"/>
      <c r="H203"/>
    </row>
    <row r="204" spans="2:8" x14ac:dyDescent="0.25">
      <c r="B204"/>
      <c r="C204"/>
      <c r="D204"/>
      <c r="E204"/>
      <c r="F204"/>
      <c r="G204"/>
      <c r="H204"/>
    </row>
    <row r="205" spans="2:8" x14ac:dyDescent="0.25">
      <c r="B205"/>
      <c r="C205"/>
      <c r="D205"/>
      <c r="E205"/>
      <c r="F205"/>
      <c r="G205"/>
      <c r="H205"/>
    </row>
    <row r="206" spans="2:8" x14ac:dyDescent="0.25">
      <c r="B206"/>
      <c r="C206"/>
      <c r="D206"/>
      <c r="E206"/>
      <c r="F206"/>
      <c r="G206"/>
      <c r="H206"/>
    </row>
    <row r="207" spans="2:8" x14ac:dyDescent="0.25">
      <c r="B207"/>
      <c r="C207"/>
      <c r="D207"/>
      <c r="E207"/>
      <c r="F207"/>
      <c r="G207"/>
      <c r="H207"/>
    </row>
    <row r="208" spans="2:8" x14ac:dyDescent="0.25">
      <c r="B208"/>
      <c r="C208"/>
      <c r="D208"/>
      <c r="E208"/>
      <c r="F208"/>
      <c r="G208"/>
      <c r="H208"/>
    </row>
    <row r="209" spans="2:8" x14ac:dyDescent="0.25">
      <c r="B209"/>
      <c r="C209"/>
      <c r="D209"/>
      <c r="E209"/>
      <c r="F209"/>
      <c r="G209"/>
      <c r="H209"/>
    </row>
    <row r="210" spans="2:8" x14ac:dyDescent="0.25">
      <c r="B210"/>
      <c r="C210"/>
      <c r="D210"/>
      <c r="E210"/>
      <c r="F210"/>
      <c r="G210"/>
      <c r="H210"/>
    </row>
    <row r="211" spans="2:8" x14ac:dyDescent="0.25">
      <c r="B211"/>
      <c r="C211"/>
      <c r="D211"/>
      <c r="E211"/>
      <c r="F211"/>
      <c r="G211"/>
      <c r="H211"/>
    </row>
    <row r="212" spans="2:8" x14ac:dyDescent="0.25">
      <c r="B212"/>
      <c r="C212"/>
      <c r="D212"/>
      <c r="E212"/>
      <c r="F212"/>
      <c r="G212"/>
      <c r="H212"/>
    </row>
    <row r="213" spans="2:8" x14ac:dyDescent="0.25">
      <c r="B213"/>
      <c r="C213"/>
      <c r="D213"/>
      <c r="E213"/>
      <c r="F213"/>
      <c r="G213"/>
      <c r="H213"/>
    </row>
    <row r="214" spans="2:8" x14ac:dyDescent="0.25">
      <c r="B214"/>
      <c r="C214"/>
      <c r="D214"/>
      <c r="E214"/>
      <c r="F214"/>
      <c r="G214"/>
      <c r="H214"/>
    </row>
    <row r="215" spans="2:8" x14ac:dyDescent="0.25">
      <c r="B215"/>
      <c r="C215"/>
      <c r="D215"/>
      <c r="E215"/>
      <c r="F215"/>
      <c r="G215"/>
      <c r="H215"/>
    </row>
    <row r="216" spans="2:8" x14ac:dyDescent="0.25">
      <c r="B216"/>
      <c r="C216"/>
      <c r="D216"/>
      <c r="E216"/>
      <c r="F216"/>
      <c r="G216"/>
      <c r="H216"/>
    </row>
    <row r="217" spans="2:8" x14ac:dyDescent="0.25">
      <c r="B217"/>
      <c r="C217"/>
      <c r="D217"/>
      <c r="E217"/>
      <c r="F217"/>
      <c r="G217"/>
      <c r="H217"/>
    </row>
    <row r="218" spans="2:8" x14ac:dyDescent="0.25">
      <c r="B218"/>
      <c r="C218"/>
      <c r="D218"/>
      <c r="E218"/>
      <c r="F218"/>
      <c r="G218"/>
      <c r="H218"/>
    </row>
    <row r="219" spans="2:8" x14ac:dyDescent="0.25">
      <c r="B219"/>
      <c r="C219"/>
      <c r="D219"/>
      <c r="E219"/>
      <c r="F219"/>
      <c r="G219"/>
      <c r="H219"/>
    </row>
    <row r="220" spans="2:8" x14ac:dyDescent="0.25">
      <c r="B220"/>
      <c r="C220"/>
      <c r="D220"/>
      <c r="E220"/>
      <c r="F220"/>
      <c r="G220"/>
      <c r="H220"/>
    </row>
    <row r="221" spans="2:8" x14ac:dyDescent="0.25">
      <c r="B221"/>
      <c r="C221"/>
      <c r="D221"/>
      <c r="E221"/>
      <c r="F221"/>
      <c r="G221"/>
      <c r="H221"/>
    </row>
    <row r="222" spans="2:8" x14ac:dyDescent="0.25">
      <c r="B222"/>
      <c r="C222"/>
      <c r="D222"/>
      <c r="E222"/>
      <c r="F222"/>
      <c r="G222"/>
      <c r="H222"/>
    </row>
    <row r="223" spans="2:8" x14ac:dyDescent="0.25">
      <c r="B223"/>
      <c r="C223"/>
      <c r="D223"/>
      <c r="E223"/>
      <c r="F223"/>
      <c r="G223"/>
      <c r="H223"/>
    </row>
    <row r="224" spans="2:8" x14ac:dyDescent="0.25">
      <c r="B224"/>
      <c r="C224"/>
      <c r="D224"/>
      <c r="E224"/>
      <c r="F224"/>
      <c r="G224"/>
      <c r="H224"/>
    </row>
    <row r="225" spans="2:8" x14ac:dyDescent="0.25">
      <c r="B225"/>
      <c r="C225"/>
      <c r="D225"/>
      <c r="E225"/>
      <c r="F225"/>
      <c r="G225"/>
      <c r="H225"/>
    </row>
    <row r="226" spans="2:8" x14ac:dyDescent="0.25">
      <c r="B226"/>
      <c r="C226"/>
      <c r="D226"/>
      <c r="E226"/>
      <c r="F226"/>
      <c r="G226"/>
      <c r="H226"/>
    </row>
    <row r="227" spans="2:8" x14ac:dyDescent="0.25">
      <c r="B227"/>
      <c r="C227"/>
      <c r="D227"/>
      <c r="E227"/>
      <c r="F227"/>
      <c r="G227"/>
      <c r="H227"/>
    </row>
    <row r="228" spans="2:8" x14ac:dyDescent="0.25">
      <c r="B228"/>
      <c r="C228"/>
      <c r="D228"/>
      <c r="E228"/>
      <c r="F228"/>
      <c r="G228"/>
      <c r="H228"/>
    </row>
    <row r="229" spans="2:8" x14ac:dyDescent="0.25">
      <c r="B229"/>
      <c r="C229"/>
      <c r="D229"/>
      <c r="E229"/>
      <c r="F229"/>
      <c r="G229"/>
      <c r="H229"/>
    </row>
    <row r="230" spans="2:8" x14ac:dyDescent="0.25">
      <c r="B230"/>
      <c r="C230"/>
      <c r="D230"/>
      <c r="E230"/>
      <c r="F230"/>
      <c r="G230"/>
      <c r="H230"/>
    </row>
    <row r="231" spans="2:8" x14ac:dyDescent="0.25">
      <c r="B231"/>
      <c r="C231"/>
      <c r="D231"/>
      <c r="E231"/>
      <c r="F231"/>
      <c r="G231"/>
      <c r="H231"/>
    </row>
    <row r="232" spans="2:8" x14ac:dyDescent="0.25">
      <c r="B232"/>
      <c r="C232"/>
      <c r="D232"/>
      <c r="E232"/>
      <c r="F232"/>
      <c r="G232"/>
      <c r="H232"/>
    </row>
    <row r="233" spans="2:8" x14ac:dyDescent="0.25">
      <c r="B233"/>
      <c r="C233"/>
      <c r="D233"/>
      <c r="E233"/>
      <c r="F233"/>
      <c r="G233"/>
      <c r="H233"/>
    </row>
    <row r="234" spans="2:8" x14ac:dyDescent="0.25">
      <c r="B234"/>
      <c r="C234"/>
      <c r="D234"/>
      <c r="E234"/>
      <c r="F234"/>
      <c r="G234"/>
      <c r="H234"/>
    </row>
    <row r="235" spans="2:8" x14ac:dyDescent="0.25">
      <c r="B235"/>
      <c r="C235"/>
      <c r="D235"/>
      <c r="E235"/>
      <c r="F235"/>
      <c r="G235"/>
      <c r="H235"/>
    </row>
    <row r="236" spans="2:8" x14ac:dyDescent="0.25">
      <c r="B236"/>
      <c r="C236"/>
      <c r="D236"/>
      <c r="E236"/>
      <c r="F236"/>
      <c r="G236"/>
      <c r="H236"/>
    </row>
    <row r="237" spans="2:8" x14ac:dyDescent="0.25">
      <c r="B237"/>
      <c r="C237"/>
      <c r="D237"/>
      <c r="E237"/>
      <c r="F237"/>
      <c r="G237"/>
      <c r="H237"/>
    </row>
    <row r="238" spans="2:8" x14ac:dyDescent="0.25">
      <c r="B238"/>
      <c r="C238"/>
      <c r="D238"/>
      <c r="E238"/>
      <c r="F238"/>
      <c r="G238"/>
      <c r="H238"/>
    </row>
    <row r="239" spans="2:8" x14ac:dyDescent="0.25">
      <c r="B239"/>
      <c r="C239"/>
      <c r="D239"/>
      <c r="E239"/>
      <c r="F239"/>
      <c r="G239"/>
      <c r="H239"/>
    </row>
    <row r="240" spans="2:8" x14ac:dyDescent="0.25">
      <c r="B240"/>
      <c r="C240"/>
      <c r="D240"/>
      <c r="E240"/>
      <c r="F240"/>
      <c r="G240"/>
      <c r="H240"/>
    </row>
    <row r="241" spans="2:8" x14ac:dyDescent="0.25">
      <c r="B241"/>
      <c r="C241"/>
      <c r="D241"/>
      <c r="E241"/>
      <c r="F241"/>
      <c r="G241"/>
      <c r="H241"/>
    </row>
    <row r="242" spans="2:8" x14ac:dyDescent="0.25">
      <c r="B242"/>
      <c r="C242"/>
      <c r="D242"/>
      <c r="E242"/>
      <c r="F242"/>
      <c r="G242"/>
      <c r="H242"/>
    </row>
    <row r="243" spans="2:8" x14ac:dyDescent="0.25">
      <c r="B243"/>
      <c r="C243"/>
      <c r="D243"/>
      <c r="E243"/>
      <c r="F243"/>
      <c r="G243"/>
      <c r="H243"/>
    </row>
    <row r="244" spans="2:8" x14ac:dyDescent="0.25">
      <c r="B244"/>
      <c r="C244"/>
      <c r="D244"/>
      <c r="E244"/>
      <c r="F244"/>
      <c r="G244"/>
      <c r="H244"/>
    </row>
    <row r="245" spans="2:8" x14ac:dyDescent="0.25">
      <c r="B245"/>
      <c r="C245"/>
      <c r="D245"/>
      <c r="E245"/>
      <c r="F245"/>
      <c r="G245"/>
      <c r="H245"/>
    </row>
    <row r="246" spans="2:8" x14ac:dyDescent="0.25">
      <c r="B246"/>
      <c r="C246"/>
      <c r="D246"/>
      <c r="E246"/>
      <c r="F246"/>
      <c r="G246"/>
      <c r="H246"/>
    </row>
    <row r="247" spans="2:8" x14ac:dyDescent="0.25">
      <c r="B247"/>
      <c r="C247"/>
      <c r="D247"/>
      <c r="E247"/>
      <c r="F247"/>
      <c r="G247"/>
      <c r="H247"/>
    </row>
    <row r="248" spans="2:8" x14ac:dyDescent="0.25">
      <c r="B248"/>
      <c r="C248"/>
      <c r="D248"/>
      <c r="E248"/>
      <c r="F248"/>
      <c r="G248"/>
      <c r="H248"/>
    </row>
    <row r="249" spans="2:8" x14ac:dyDescent="0.25">
      <c r="B249"/>
      <c r="C249"/>
      <c r="D249"/>
      <c r="E249"/>
      <c r="F249"/>
      <c r="G249"/>
      <c r="H249"/>
    </row>
    <row r="250" spans="2:8" x14ac:dyDescent="0.25">
      <c r="B250"/>
      <c r="C250"/>
      <c r="D250"/>
      <c r="E250"/>
      <c r="F250"/>
      <c r="G250"/>
      <c r="H250"/>
    </row>
    <row r="251" spans="2:8" x14ac:dyDescent="0.25">
      <c r="B251"/>
      <c r="C251"/>
      <c r="D251"/>
      <c r="E251"/>
      <c r="F251"/>
      <c r="G251"/>
      <c r="H251"/>
    </row>
    <row r="252" spans="2:8" x14ac:dyDescent="0.25">
      <c r="B252"/>
      <c r="C252"/>
      <c r="D252"/>
      <c r="E252"/>
      <c r="F252"/>
      <c r="G252"/>
      <c r="H252"/>
    </row>
    <row r="253" spans="2:8" x14ac:dyDescent="0.25">
      <c r="B253"/>
      <c r="C253"/>
      <c r="D253"/>
      <c r="E253"/>
      <c r="F253"/>
      <c r="G253"/>
      <c r="H253"/>
    </row>
    <row r="254" spans="2:8" x14ac:dyDescent="0.25">
      <c r="B254"/>
      <c r="C254"/>
      <c r="D254"/>
      <c r="E254"/>
      <c r="F254"/>
      <c r="G254"/>
      <c r="H254"/>
    </row>
    <row r="255" spans="2:8" x14ac:dyDescent="0.25">
      <c r="B255"/>
      <c r="C255"/>
      <c r="D255"/>
      <c r="E255"/>
      <c r="F255"/>
      <c r="G255"/>
      <c r="H255"/>
    </row>
    <row r="256" spans="2:8" x14ac:dyDescent="0.25">
      <c r="B256"/>
      <c r="C256"/>
      <c r="D256"/>
      <c r="E256"/>
      <c r="F256"/>
      <c r="G256"/>
      <c r="H256"/>
    </row>
    <row r="257" spans="2:8" x14ac:dyDescent="0.25">
      <c r="B257"/>
      <c r="C257"/>
      <c r="D257"/>
      <c r="E257"/>
      <c r="F257"/>
      <c r="G257"/>
      <c r="H257"/>
    </row>
    <row r="258" spans="2:8" x14ac:dyDescent="0.25">
      <c r="B258"/>
      <c r="C258"/>
      <c r="D258"/>
      <c r="E258"/>
      <c r="F258"/>
      <c r="G258"/>
      <c r="H258"/>
    </row>
    <row r="259" spans="2:8" x14ac:dyDescent="0.25">
      <c r="B259"/>
      <c r="C259"/>
      <c r="D259"/>
      <c r="E259"/>
      <c r="F259"/>
      <c r="G259"/>
      <c r="H259"/>
    </row>
    <row r="260" spans="2:8" x14ac:dyDescent="0.25">
      <c r="B260"/>
      <c r="C260"/>
      <c r="D260"/>
      <c r="E260"/>
      <c r="F260"/>
      <c r="G260"/>
      <c r="H260"/>
    </row>
    <row r="261" spans="2:8" x14ac:dyDescent="0.25">
      <c r="B261"/>
      <c r="C261"/>
      <c r="D261"/>
      <c r="E261"/>
      <c r="F261"/>
      <c r="G261"/>
      <c r="H261"/>
    </row>
    <row r="262" spans="2:8" x14ac:dyDescent="0.25">
      <c r="B262"/>
      <c r="C262"/>
      <c r="D262"/>
      <c r="E262"/>
      <c r="F262"/>
      <c r="G262"/>
      <c r="H262"/>
    </row>
    <row r="263" spans="2:8" x14ac:dyDescent="0.25">
      <c r="B263"/>
      <c r="C263"/>
      <c r="D263"/>
      <c r="E263"/>
      <c r="F263"/>
      <c r="G263"/>
      <c r="H263"/>
    </row>
    <row r="264" spans="2:8" x14ac:dyDescent="0.25">
      <c r="B264"/>
      <c r="C264"/>
      <c r="D264"/>
      <c r="E264"/>
      <c r="F264"/>
      <c r="G264"/>
      <c r="H264"/>
    </row>
    <row r="265" spans="2:8" x14ac:dyDescent="0.25">
      <c r="B265"/>
      <c r="C265"/>
      <c r="D265"/>
      <c r="E265"/>
      <c r="F265"/>
      <c r="G265"/>
      <c r="H265"/>
    </row>
    <row r="266" spans="2:8" x14ac:dyDescent="0.25">
      <c r="B266"/>
      <c r="C266"/>
      <c r="D266"/>
      <c r="E266"/>
      <c r="F266"/>
      <c r="G266"/>
      <c r="H266"/>
    </row>
    <row r="267" spans="2:8" x14ac:dyDescent="0.25">
      <c r="B267"/>
      <c r="C267"/>
      <c r="D267"/>
      <c r="E267"/>
      <c r="F267"/>
      <c r="G267"/>
      <c r="H267"/>
    </row>
    <row r="268" spans="2:8" x14ac:dyDescent="0.25">
      <c r="B268"/>
      <c r="C268"/>
      <c r="D268"/>
      <c r="E268"/>
      <c r="F268"/>
      <c r="G268"/>
      <c r="H268"/>
    </row>
    <row r="269" spans="2:8" x14ac:dyDescent="0.25">
      <c r="B269"/>
      <c r="C269"/>
      <c r="D269"/>
      <c r="E269"/>
      <c r="F269"/>
      <c r="G269"/>
      <c r="H269"/>
    </row>
    <row r="270" spans="2:8" x14ac:dyDescent="0.25">
      <c r="B270"/>
      <c r="C270"/>
      <c r="D270"/>
      <c r="E270"/>
      <c r="F270"/>
      <c r="G270"/>
      <c r="H270"/>
    </row>
    <row r="271" spans="2:8" x14ac:dyDescent="0.25">
      <c r="B271"/>
      <c r="C271"/>
      <c r="D271"/>
      <c r="E271"/>
      <c r="F271"/>
      <c r="G271"/>
      <c r="H271"/>
    </row>
    <row r="272" spans="2:8" x14ac:dyDescent="0.25">
      <c r="B272"/>
      <c r="C272"/>
      <c r="D272"/>
      <c r="E272"/>
      <c r="F272"/>
      <c r="G272"/>
      <c r="H272"/>
    </row>
    <row r="273" spans="2:8" x14ac:dyDescent="0.25">
      <c r="B273"/>
      <c r="C273"/>
      <c r="D273"/>
      <c r="E273"/>
      <c r="F273"/>
      <c r="G273"/>
      <c r="H273"/>
    </row>
    <row r="274" spans="2:8" x14ac:dyDescent="0.25">
      <c r="B274"/>
      <c r="C274"/>
      <c r="D274"/>
      <c r="E274"/>
      <c r="F274"/>
      <c r="G274"/>
      <c r="H274"/>
    </row>
    <row r="275" spans="2:8" x14ac:dyDescent="0.25">
      <c r="B275"/>
      <c r="C275"/>
      <c r="D275"/>
      <c r="E275"/>
      <c r="F275"/>
      <c r="G275"/>
      <c r="H275"/>
    </row>
    <row r="276" spans="2:8" x14ac:dyDescent="0.25">
      <c r="B276"/>
      <c r="C276"/>
      <c r="D276"/>
      <c r="E276"/>
      <c r="F276"/>
      <c r="G276"/>
      <c r="H276"/>
    </row>
    <row r="277" spans="2:8" x14ac:dyDescent="0.25">
      <c r="B277"/>
      <c r="C277"/>
      <c r="D277"/>
      <c r="E277"/>
      <c r="F277"/>
      <c r="G277"/>
      <c r="H277"/>
    </row>
    <row r="278" spans="2:8" x14ac:dyDescent="0.25">
      <c r="B278"/>
      <c r="C278"/>
      <c r="D278"/>
      <c r="E278"/>
      <c r="F278"/>
      <c r="G278"/>
      <c r="H278"/>
    </row>
    <row r="279" spans="2:8" x14ac:dyDescent="0.25">
      <c r="B279"/>
      <c r="C279"/>
      <c r="D279"/>
      <c r="E279"/>
      <c r="F279"/>
      <c r="G279"/>
      <c r="H279"/>
    </row>
    <row r="280" spans="2:8" x14ac:dyDescent="0.25">
      <c r="B280"/>
      <c r="C280"/>
      <c r="D280"/>
      <c r="E280"/>
      <c r="F280"/>
      <c r="G280"/>
      <c r="H280"/>
    </row>
    <row r="281" spans="2:8" x14ac:dyDescent="0.25">
      <c r="B281"/>
      <c r="C281"/>
      <c r="D281"/>
      <c r="E281"/>
      <c r="F281"/>
      <c r="G281"/>
      <c r="H281"/>
    </row>
    <row r="282" spans="2:8" x14ac:dyDescent="0.25">
      <c r="B282"/>
      <c r="C282"/>
      <c r="D282"/>
      <c r="E282"/>
      <c r="F282"/>
      <c r="G282"/>
      <c r="H282"/>
    </row>
    <row r="283" spans="2:8" x14ac:dyDescent="0.25">
      <c r="B283"/>
      <c r="C283"/>
      <c r="D283"/>
      <c r="E283"/>
      <c r="F283"/>
      <c r="G283"/>
      <c r="H283"/>
    </row>
    <row r="284" spans="2:8" x14ac:dyDescent="0.25">
      <c r="B284"/>
      <c r="C284"/>
      <c r="D284"/>
      <c r="E284"/>
      <c r="F284"/>
      <c r="G284"/>
      <c r="H284"/>
    </row>
    <row r="285" spans="2:8" x14ac:dyDescent="0.25">
      <c r="B285"/>
      <c r="C285"/>
      <c r="D285"/>
      <c r="E285"/>
      <c r="F285"/>
      <c r="G285"/>
      <c r="H285"/>
    </row>
    <row r="286" spans="2:8" x14ac:dyDescent="0.25">
      <c r="B286"/>
      <c r="C286"/>
      <c r="D286"/>
      <c r="E286"/>
      <c r="F286"/>
      <c r="G286"/>
      <c r="H286"/>
    </row>
    <row r="287" spans="2:8" x14ac:dyDescent="0.25">
      <c r="B287"/>
      <c r="C287"/>
      <c r="D287"/>
      <c r="E287"/>
      <c r="F287"/>
      <c r="G287"/>
      <c r="H287"/>
    </row>
    <row r="288" spans="2:8" x14ac:dyDescent="0.25">
      <c r="B288"/>
      <c r="C288"/>
      <c r="D288"/>
      <c r="E288"/>
      <c r="F288"/>
      <c r="G288"/>
      <c r="H288"/>
    </row>
    <row r="289" spans="2:8" x14ac:dyDescent="0.25">
      <c r="B289"/>
      <c r="C289"/>
      <c r="D289"/>
      <c r="E289"/>
      <c r="F289"/>
      <c r="G289"/>
      <c r="H289"/>
    </row>
    <row r="290" spans="2:8" x14ac:dyDescent="0.25">
      <c r="B290"/>
      <c r="C290"/>
      <c r="D290"/>
      <c r="E290"/>
      <c r="F290"/>
      <c r="G290"/>
      <c r="H290"/>
    </row>
    <row r="291" spans="2:8" x14ac:dyDescent="0.25">
      <c r="B291"/>
      <c r="C291"/>
      <c r="D291"/>
      <c r="E291"/>
      <c r="F291"/>
      <c r="G291"/>
      <c r="H291"/>
    </row>
    <row r="292" spans="2:8" x14ac:dyDescent="0.25">
      <c r="B292"/>
      <c r="C292"/>
      <c r="D292"/>
      <c r="E292"/>
      <c r="F292"/>
      <c r="G292"/>
      <c r="H292"/>
    </row>
    <row r="293" spans="2:8" x14ac:dyDescent="0.25">
      <c r="B293"/>
      <c r="C293"/>
      <c r="D293"/>
      <c r="E293"/>
      <c r="F293"/>
      <c r="G293"/>
      <c r="H293"/>
    </row>
    <row r="294" spans="2:8" x14ac:dyDescent="0.25">
      <c r="B294"/>
      <c r="C294"/>
      <c r="D294"/>
      <c r="E294"/>
      <c r="F294"/>
      <c r="G294"/>
      <c r="H294"/>
    </row>
    <row r="295" spans="2:8" x14ac:dyDescent="0.25">
      <c r="B295"/>
      <c r="C295"/>
      <c r="D295"/>
      <c r="E295"/>
      <c r="F295"/>
      <c r="G295"/>
      <c r="H295"/>
    </row>
    <row r="296" spans="2:8" x14ac:dyDescent="0.25">
      <c r="B296"/>
      <c r="C296"/>
      <c r="D296"/>
      <c r="E296"/>
      <c r="F296"/>
      <c r="G296"/>
      <c r="H296"/>
    </row>
    <row r="297" spans="2:8" x14ac:dyDescent="0.25">
      <c r="B297"/>
      <c r="C297"/>
      <c r="D297"/>
      <c r="E297"/>
      <c r="F297"/>
      <c r="G297"/>
      <c r="H297"/>
    </row>
    <row r="298" spans="2:8" x14ac:dyDescent="0.25">
      <c r="B298"/>
      <c r="C298"/>
      <c r="D298"/>
      <c r="E298"/>
      <c r="F298"/>
      <c r="G298"/>
      <c r="H298"/>
    </row>
    <row r="299" spans="2:8" x14ac:dyDescent="0.25">
      <c r="B299"/>
      <c r="C299"/>
      <c r="D299"/>
      <c r="E299"/>
      <c r="F299"/>
      <c r="G299"/>
      <c r="H299"/>
    </row>
    <row r="300" spans="2:8" x14ac:dyDescent="0.25">
      <c r="B300"/>
      <c r="C300"/>
      <c r="D300"/>
      <c r="E300"/>
      <c r="F300"/>
      <c r="G300"/>
      <c r="H300"/>
    </row>
    <row r="301" spans="2:8" x14ac:dyDescent="0.25">
      <c r="B301"/>
      <c r="C301"/>
      <c r="D301"/>
      <c r="E301"/>
      <c r="F301"/>
      <c r="G301"/>
      <c r="H301"/>
    </row>
    <row r="302" spans="2:8" x14ac:dyDescent="0.25">
      <c r="B302"/>
      <c r="C302"/>
      <c r="D302"/>
      <c r="E302"/>
      <c r="F302"/>
      <c r="G302"/>
      <c r="H302"/>
    </row>
    <row r="303" spans="2:8" x14ac:dyDescent="0.25">
      <c r="B303"/>
      <c r="C303"/>
      <c r="D303"/>
      <c r="E303"/>
      <c r="F303"/>
      <c r="G303"/>
      <c r="H303"/>
    </row>
    <row r="304" spans="2:8" x14ac:dyDescent="0.25">
      <c r="B304"/>
      <c r="C304"/>
      <c r="D304"/>
      <c r="E304"/>
      <c r="F304"/>
      <c r="G304"/>
      <c r="H304"/>
    </row>
    <row r="305" spans="2:8" x14ac:dyDescent="0.25">
      <c r="B305"/>
      <c r="C305"/>
      <c r="D305"/>
      <c r="E305"/>
      <c r="F305"/>
      <c r="G305"/>
      <c r="H305"/>
    </row>
    <row r="306" spans="2:8" x14ac:dyDescent="0.25">
      <c r="B306"/>
      <c r="C306"/>
      <c r="D306"/>
      <c r="E306"/>
      <c r="F306"/>
      <c r="G306"/>
      <c r="H306"/>
    </row>
    <row r="307" spans="2:8" x14ac:dyDescent="0.25">
      <c r="B307"/>
      <c r="C307"/>
      <c r="D307"/>
      <c r="E307"/>
      <c r="F307"/>
      <c r="G307"/>
      <c r="H307"/>
    </row>
    <row r="308" spans="2:8" x14ac:dyDescent="0.25">
      <c r="B308"/>
      <c r="C308"/>
      <c r="D308"/>
      <c r="E308"/>
      <c r="F308"/>
      <c r="G308"/>
      <c r="H308"/>
    </row>
    <row r="309" spans="2:8" x14ac:dyDescent="0.25">
      <c r="B309"/>
      <c r="C309"/>
      <c r="D309"/>
      <c r="E309"/>
      <c r="F309"/>
      <c r="G309"/>
      <c r="H309"/>
    </row>
    <row r="310" spans="2:8" x14ac:dyDescent="0.25">
      <c r="B310"/>
      <c r="C310"/>
      <c r="D310"/>
      <c r="E310"/>
      <c r="F310"/>
      <c r="G310"/>
      <c r="H310"/>
    </row>
    <row r="311" spans="2:8" x14ac:dyDescent="0.25">
      <c r="B311"/>
      <c r="C311"/>
      <c r="D311"/>
      <c r="E311"/>
      <c r="F311"/>
      <c r="G311"/>
      <c r="H311"/>
    </row>
    <row r="312" spans="2:8" x14ac:dyDescent="0.25">
      <c r="B312"/>
      <c r="C312"/>
      <c r="D312"/>
      <c r="E312"/>
      <c r="F312"/>
      <c r="G312"/>
      <c r="H312"/>
    </row>
    <row r="313" spans="2:8" x14ac:dyDescent="0.25">
      <c r="B313"/>
      <c r="C313"/>
      <c r="D313"/>
      <c r="E313"/>
      <c r="F313"/>
      <c r="G313"/>
      <c r="H313"/>
    </row>
    <row r="314" spans="2:8" x14ac:dyDescent="0.25">
      <c r="B314"/>
      <c r="C314"/>
      <c r="D314"/>
      <c r="E314"/>
      <c r="F314"/>
      <c r="G314"/>
      <c r="H314"/>
    </row>
    <row r="315" spans="2:8" x14ac:dyDescent="0.25">
      <c r="B315"/>
      <c r="C315"/>
      <c r="D315"/>
      <c r="E315"/>
      <c r="F315"/>
      <c r="G315"/>
      <c r="H315"/>
    </row>
    <row r="316" spans="2:8" x14ac:dyDescent="0.25">
      <c r="B316"/>
      <c r="C316"/>
      <c r="D316"/>
      <c r="E316"/>
      <c r="F316"/>
      <c r="G316"/>
      <c r="H316"/>
    </row>
    <row r="317" spans="2:8" x14ac:dyDescent="0.25">
      <c r="B317"/>
      <c r="C317"/>
      <c r="D317"/>
      <c r="E317"/>
      <c r="F317"/>
      <c r="G317"/>
      <c r="H317"/>
    </row>
    <row r="318" spans="2:8" x14ac:dyDescent="0.25">
      <c r="B318"/>
      <c r="C318"/>
      <c r="D318"/>
      <c r="E318"/>
      <c r="F318"/>
      <c r="G318"/>
      <c r="H318"/>
    </row>
    <row r="319" spans="2:8" x14ac:dyDescent="0.25">
      <c r="B319"/>
      <c r="C319"/>
      <c r="D319"/>
      <c r="E319"/>
      <c r="F319"/>
      <c r="G319"/>
      <c r="H319"/>
    </row>
    <row r="320" spans="2:8" x14ac:dyDescent="0.25">
      <c r="B320"/>
      <c r="C320"/>
      <c r="D320"/>
      <c r="E320"/>
      <c r="F320"/>
      <c r="G320"/>
      <c r="H320"/>
    </row>
    <row r="321" spans="2:8" x14ac:dyDescent="0.25">
      <c r="B321"/>
      <c r="C321"/>
      <c r="D321"/>
      <c r="E321"/>
      <c r="F321"/>
      <c r="G321"/>
      <c r="H321"/>
    </row>
    <row r="322" spans="2:8" x14ac:dyDescent="0.25">
      <c r="B322"/>
      <c r="C322"/>
      <c r="D322"/>
      <c r="E322"/>
      <c r="F322"/>
      <c r="G322"/>
      <c r="H322"/>
    </row>
    <row r="323" spans="2:8" x14ac:dyDescent="0.25">
      <c r="B323"/>
      <c r="C323"/>
      <c r="D323"/>
      <c r="E323"/>
      <c r="F323"/>
      <c r="G323"/>
      <c r="H323"/>
    </row>
    <row r="324" spans="2:8" x14ac:dyDescent="0.25">
      <c r="B324"/>
      <c r="C324"/>
      <c r="D324"/>
      <c r="E324"/>
      <c r="F324"/>
      <c r="G324"/>
      <c r="H324"/>
    </row>
    <row r="325" spans="2:8" x14ac:dyDescent="0.25">
      <c r="B325"/>
      <c r="C325"/>
      <c r="D325"/>
      <c r="E325"/>
      <c r="F325"/>
      <c r="G325"/>
      <c r="H325"/>
    </row>
    <row r="326" spans="2:8" x14ac:dyDescent="0.25">
      <c r="B326"/>
      <c r="C326"/>
      <c r="D326"/>
      <c r="E326"/>
      <c r="F326"/>
      <c r="G326"/>
      <c r="H326"/>
    </row>
    <row r="327" spans="2:8" x14ac:dyDescent="0.25">
      <c r="B327"/>
      <c r="C327"/>
      <c r="D327"/>
      <c r="E327"/>
      <c r="F327"/>
      <c r="G327"/>
      <c r="H327"/>
    </row>
    <row r="328" spans="2:8" x14ac:dyDescent="0.25">
      <c r="B328"/>
      <c r="C328"/>
      <c r="D328"/>
      <c r="E328"/>
      <c r="F328"/>
      <c r="G328"/>
      <c r="H328"/>
    </row>
    <row r="329" spans="2:8" x14ac:dyDescent="0.25">
      <c r="B329"/>
      <c r="C329"/>
      <c r="D329"/>
      <c r="E329"/>
      <c r="F329"/>
      <c r="G329"/>
      <c r="H329"/>
    </row>
    <row r="330" spans="2:8" x14ac:dyDescent="0.25">
      <c r="B330"/>
      <c r="C330"/>
      <c r="D330"/>
      <c r="E330"/>
      <c r="F330"/>
      <c r="G330"/>
      <c r="H330"/>
    </row>
    <row r="331" spans="2:8" x14ac:dyDescent="0.25">
      <c r="B331"/>
      <c r="C331"/>
      <c r="D331"/>
      <c r="E331"/>
      <c r="F331"/>
      <c r="G331"/>
      <c r="H331"/>
    </row>
    <row r="332" spans="2:8" x14ac:dyDescent="0.25">
      <c r="B332"/>
      <c r="C332"/>
      <c r="D332"/>
      <c r="E332"/>
      <c r="F332"/>
      <c r="G332"/>
      <c r="H332"/>
    </row>
    <row r="333" spans="2:8" x14ac:dyDescent="0.25">
      <c r="B333"/>
      <c r="C333"/>
      <c r="D333"/>
      <c r="E333"/>
      <c r="F333"/>
      <c r="G333"/>
      <c r="H333"/>
    </row>
    <row r="334" spans="2:8" x14ac:dyDescent="0.25">
      <c r="B334"/>
      <c r="C334"/>
      <c r="D334"/>
      <c r="E334"/>
      <c r="F334"/>
      <c r="G334"/>
      <c r="H334"/>
    </row>
    <row r="335" spans="2:8" x14ac:dyDescent="0.25">
      <c r="B335"/>
      <c r="C335"/>
      <c r="D335"/>
      <c r="E335"/>
      <c r="F335"/>
      <c r="G335"/>
      <c r="H335"/>
    </row>
    <row r="336" spans="2:8" x14ac:dyDescent="0.25">
      <c r="B336"/>
      <c r="C336"/>
      <c r="D336"/>
      <c r="E336"/>
      <c r="F336"/>
      <c r="G336"/>
      <c r="H336"/>
    </row>
    <row r="337" spans="2:8" x14ac:dyDescent="0.25">
      <c r="B337"/>
      <c r="C337"/>
      <c r="D337"/>
      <c r="E337"/>
      <c r="F337"/>
      <c r="G337"/>
      <c r="H337"/>
    </row>
    <row r="338" spans="2:8" x14ac:dyDescent="0.25">
      <c r="B338"/>
      <c r="C338"/>
      <c r="D338"/>
      <c r="E338"/>
      <c r="F338"/>
      <c r="G338"/>
      <c r="H338"/>
    </row>
    <row r="339" spans="2:8" x14ac:dyDescent="0.25">
      <c r="B339"/>
      <c r="C339"/>
      <c r="D339"/>
      <c r="E339"/>
      <c r="F339"/>
      <c r="G339"/>
      <c r="H339"/>
    </row>
    <row r="340" spans="2:8" x14ac:dyDescent="0.25">
      <c r="B340"/>
      <c r="C340"/>
      <c r="D340"/>
      <c r="E340"/>
      <c r="F340"/>
      <c r="G340"/>
      <c r="H340"/>
    </row>
    <row r="341" spans="2:8" x14ac:dyDescent="0.25">
      <c r="B341"/>
      <c r="C341"/>
      <c r="D341"/>
      <c r="E341"/>
      <c r="F341"/>
      <c r="G341"/>
      <c r="H341"/>
    </row>
    <row r="342" spans="2:8" x14ac:dyDescent="0.25">
      <c r="B342"/>
      <c r="C342"/>
      <c r="D342"/>
      <c r="E342"/>
      <c r="F342"/>
      <c r="G342"/>
      <c r="H342"/>
    </row>
    <row r="343" spans="2:8" x14ac:dyDescent="0.25">
      <c r="B343"/>
      <c r="C343"/>
      <c r="D343"/>
      <c r="E343"/>
      <c r="F343"/>
      <c r="G343"/>
      <c r="H343"/>
    </row>
    <row r="344" spans="2:8" x14ac:dyDescent="0.25">
      <c r="B344"/>
      <c r="C344"/>
      <c r="D344"/>
      <c r="E344"/>
      <c r="F344"/>
      <c r="G344"/>
      <c r="H344"/>
    </row>
    <row r="345" spans="2:8" x14ac:dyDescent="0.25">
      <c r="B345"/>
      <c r="C345"/>
      <c r="D345"/>
      <c r="E345"/>
      <c r="F345"/>
      <c r="G345"/>
      <c r="H345"/>
    </row>
    <row r="346" spans="2:8" x14ac:dyDescent="0.25">
      <c r="B346"/>
      <c r="C346"/>
      <c r="D346"/>
      <c r="E346"/>
      <c r="F346"/>
      <c r="G346"/>
      <c r="H346"/>
    </row>
    <row r="347" spans="2:8" x14ac:dyDescent="0.25">
      <c r="B347"/>
      <c r="C347"/>
      <c r="D347"/>
      <c r="E347"/>
      <c r="F347"/>
      <c r="G347"/>
      <c r="H347"/>
    </row>
    <row r="348" spans="2:8" x14ac:dyDescent="0.25">
      <c r="B348"/>
      <c r="C348"/>
      <c r="D348"/>
      <c r="E348"/>
      <c r="F348"/>
      <c r="G348"/>
      <c r="H348"/>
    </row>
    <row r="349" spans="2:8" x14ac:dyDescent="0.25">
      <c r="B349"/>
      <c r="C349"/>
      <c r="D349"/>
      <c r="E349"/>
      <c r="F349"/>
      <c r="G349"/>
      <c r="H349"/>
    </row>
    <row r="350" spans="2:8" x14ac:dyDescent="0.25">
      <c r="B350"/>
      <c r="C350"/>
      <c r="D350"/>
      <c r="E350"/>
      <c r="F350"/>
      <c r="G350"/>
      <c r="H350"/>
    </row>
    <row r="351" spans="2:8" x14ac:dyDescent="0.25">
      <c r="B351"/>
      <c r="C351"/>
      <c r="D351"/>
      <c r="E351"/>
      <c r="F351"/>
      <c r="G351"/>
      <c r="H351"/>
    </row>
    <row r="352" spans="2:8" x14ac:dyDescent="0.25">
      <c r="B352"/>
      <c r="C352"/>
      <c r="D352"/>
      <c r="E352"/>
      <c r="F352"/>
      <c r="G352"/>
      <c r="H352"/>
    </row>
    <row r="353" spans="2:8" x14ac:dyDescent="0.25">
      <c r="B353"/>
      <c r="C353"/>
      <c r="D353"/>
      <c r="E353"/>
      <c r="F353"/>
      <c r="G353"/>
      <c r="H353"/>
    </row>
    <row r="354" spans="2:8" x14ac:dyDescent="0.25">
      <c r="B354"/>
      <c r="C354"/>
      <c r="D354"/>
      <c r="E354"/>
      <c r="F354"/>
      <c r="G354"/>
      <c r="H354"/>
    </row>
    <row r="355" spans="2:8" x14ac:dyDescent="0.25">
      <c r="B355"/>
      <c r="C355"/>
      <c r="D355"/>
      <c r="E355"/>
      <c r="F355"/>
      <c r="G355"/>
      <c r="H355"/>
    </row>
    <row r="356" spans="2:8" x14ac:dyDescent="0.25">
      <c r="B356"/>
      <c r="C356"/>
      <c r="D356"/>
      <c r="E356"/>
      <c r="F356"/>
      <c r="G356"/>
      <c r="H356"/>
    </row>
    <row r="357" spans="2:8" x14ac:dyDescent="0.25">
      <c r="B357"/>
      <c r="C357"/>
      <c r="D357"/>
      <c r="E357"/>
      <c r="F357"/>
      <c r="G357"/>
      <c r="H357"/>
    </row>
    <row r="358" spans="2:8" x14ac:dyDescent="0.25">
      <c r="B358"/>
      <c r="C358"/>
      <c r="D358"/>
      <c r="E358"/>
      <c r="F358"/>
      <c r="G358"/>
      <c r="H358"/>
    </row>
    <row r="359" spans="2:8" x14ac:dyDescent="0.25">
      <c r="B359"/>
      <c r="C359"/>
      <c r="D359"/>
      <c r="E359"/>
      <c r="F359"/>
      <c r="G359"/>
      <c r="H359"/>
    </row>
    <row r="360" spans="2:8" x14ac:dyDescent="0.25">
      <c r="B360"/>
      <c r="C360"/>
      <c r="D360"/>
      <c r="E360"/>
      <c r="F360"/>
      <c r="G360"/>
      <c r="H360"/>
    </row>
    <row r="361" spans="2:8" x14ac:dyDescent="0.25">
      <c r="B361"/>
      <c r="C361"/>
      <c r="D361"/>
      <c r="E361"/>
      <c r="F361"/>
      <c r="G361"/>
      <c r="H361"/>
    </row>
    <row r="362" spans="2:8" x14ac:dyDescent="0.25">
      <c r="B362"/>
      <c r="C362"/>
      <c r="D362"/>
      <c r="E362"/>
      <c r="F362"/>
      <c r="G362"/>
      <c r="H362"/>
    </row>
    <row r="363" spans="2:8" x14ac:dyDescent="0.25">
      <c r="B363"/>
      <c r="C363"/>
      <c r="D363"/>
      <c r="E363"/>
      <c r="F363"/>
      <c r="G363"/>
      <c r="H363"/>
    </row>
    <row r="364" spans="2:8" x14ac:dyDescent="0.25">
      <c r="B364"/>
      <c r="C364"/>
      <c r="D364"/>
      <c r="E364"/>
      <c r="F364"/>
      <c r="G364"/>
      <c r="H364"/>
    </row>
    <row r="365" spans="2:8" x14ac:dyDescent="0.25">
      <c r="B365"/>
      <c r="C365"/>
      <c r="D365"/>
      <c r="E365"/>
      <c r="F365"/>
      <c r="G365"/>
      <c r="H365"/>
    </row>
    <row r="366" spans="2:8" x14ac:dyDescent="0.25">
      <c r="B366"/>
      <c r="C366"/>
      <c r="D366"/>
      <c r="E366"/>
      <c r="F366"/>
      <c r="G366"/>
      <c r="H366"/>
    </row>
    <row r="367" spans="2:8" x14ac:dyDescent="0.25">
      <c r="B367"/>
      <c r="C367"/>
      <c r="D367"/>
      <c r="E367"/>
      <c r="F367"/>
      <c r="G367"/>
      <c r="H367"/>
    </row>
    <row r="368" spans="2:8" x14ac:dyDescent="0.25">
      <c r="B368"/>
      <c r="C368"/>
      <c r="D368"/>
      <c r="E368"/>
      <c r="F368"/>
      <c r="G368"/>
      <c r="H368"/>
    </row>
    <row r="369" spans="2:8" x14ac:dyDescent="0.25">
      <c r="B369"/>
      <c r="C369"/>
      <c r="D369"/>
      <c r="E369"/>
      <c r="F369"/>
      <c r="G369"/>
      <c r="H369"/>
    </row>
    <row r="370" spans="2:8" x14ac:dyDescent="0.25">
      <c r="B370"/>
      <c r="C370"/>
      <c r="D370"/>
      <c r="E370"/>
      <c r="F370"/>
      <c r="G370"/>
      <c r="H370"/>
    </row>
    <row r="371" spans="2:8" x14ac:dyDescent="0.25">
      <c r="B371"/>
      <c r="C371"/>
      <c r="D371"/>
      <c r="E371"/>
      <c r="F371"/>
      <c r="G371"/>
      <c r="H371"/>
    </row>
    <row r="372" spans="2:8" x14ac:dyDescent="0.25">
      <c r="B372"/>
      <c r="C372"/>
      <c r="D372"/>
      <c r="E372"/>
      <c r="F372"/>
      <c r="G372"/>
      <c r="H372"/>
    </row>
    <row r="373" spans="2:8" x14ac:dyDescent="0.25">
      <c r="B373"/>
      <c r="C373"/>
      <c r="D373"/>
      <c r="E373"/>
      <c r="F373"/>
      <c r="G373"/>
      <c r="H373"/>
    </row>
    <row r="374" spans="2:8" x14ac:dyDescent="0.25">
      <c r="B374"/>
      <c r="C374"/>
      <c r="D374"/>
      <c r="E374"/>
      <c r="F374"/>
      <c r="G374"/>
      <c r="H374"/>
    </row>
    <row r="375" spans="2:8" x14ac:dyDescent="0.25">
      <c r="B375"/>
      <c r="C375"/>
      <c r="D375"/>
      <c r="E375"/>
      <c r="F375"/>
      <c r="G375"/>
      <c r="H375"/>
    </row>
    <row r="376" spans="2:8" x14ac:dyDescent="0.25">
      <c r="B376"/>
      <c r="C376"/>
      <c r="D376"/>
      <c r="E376"/>
      <c r="F376"/>
      <c r="G376"/>
      <c r="H376"/>
    </row>
    <row r="377" spans="2:8" x14ac:dyDescent="0.25">
      <c r="B377"/>
      <c r="C377"/>
      <c r="D377"/>
      <c r="E377"/>
      <c r="F377"/>
      <c r="G377"/>
      <c r="H377"/>
    </row>
    <row r="378" spans="2:8" x14ac:dyDescent="0.25">
      <c r="B378"/>
      <c r="C378"/>
      <c r="D378"/>
      <c r="E378"/>
      <c r="F378"/>
      <c r="G378"/>
      <c r="H378"/>
    </row>
    <row r="379" spans="2:8" x14ac:dyDescent="0.25">
      <c r="B379"/>
      <c r="C379"/>
      <c r="D379"/>
      <c r="E379"/>
      <c r="F379"/>
      <c r="G379"/>
      <c r="H379"/>
    </row>
    <row r="380" spans="2:8" x14ac:dyDescent="0.25">
      <c r="B380"/>
      <c r="C380"/>
      <c r="D380"/>
      <c r="E380"/>
      <c r="F380"/>
      <c r="G380"/>
      <c r="H380"/>
    </row>
    <row r="381" spans="2:8" x14ac:dyDescent="0.25">
      <c r="B381"/>
      <c r="C381"/>
      <c r="D381"/>
      <c r="E381"/>
      <c r="F381"/>
      <c r="G381"/>
      <c r="H381"/>
    </row>
    <row r="382" spans="2:8" x14ac:dyDescent="0.25">
      <c r="B382"/>
      <c r="C382"/>
      <c r="D382"/>
      <c r="E382"/>
      <c r="F382"/>
      <c r="G382"/>
      <c r="H382"/>
    </row>
    <row r="383" spans="2:8" x14ac:dyDescent="0.25">
      <c r="B383"/>
      <c r="C383"/>
      <c r="D383"/>
      <c r="E383"/>
      <c r="F383"/>
      <c r="G383"/>
      <c r="H383"/>
    </row>
    <row r="384" spans="2:8" x14ac:dyDescent="0.25">
      <c r="B384"/>
      <c r="C384"/>
      <c r="D384"/>
      <c r="E384"/>
      <c r="F384"/>
      <c r="G384"/>
      <c r="H384"/>
    </row>
    <row r="385" spans="2:8" x14ac:dyDescent="0.25">
      <c r="B385"/>
      <c r="C385"/>
      <c r="D385"/>
      <c r="E385"/>
      <c r="F385"/>
      <c r="G385"/>
      <c r="H385"/>
    </row>
    <row r="386" spans="2:8" x14ac:dyDescent="0.25">
      <c r="B386"/>
      <c r="C386"/>
      <c r="D386"/>
      <c r="E386"/>
      <c r="F386"/>
      <c r="G386"/>
      <c r="H386"/>
    </row>
    <row r="387" spans="2:8" x14ac:dyDescent="0.25">
      <c r="B387"/>
      <c r="C387"/>
      <c r="D387"/>
      <c r="E387"/>
      <c r="F387"/>
      <c r="G387"/>
      <c r="H387"/>
    </row>
    <row r="388" spans="2:8" x14ac:dyDescent="0.25">
      <c r="B388"/>
      <c r="C388"/>
      <c r="D388"/>
      <c r="E388"/>
      <c r="F388"/>
      <c r="G388"/>
      <c r="H388"/>
    </row>
    <row r="389" spans="2:8" x14ac:dyDescent="0.25">
      <c r="B389"/>
      <c r="C389"/>
      <c r="D389"/>
      <c r="E389"/>
      <c r="F389"/>
      <c r="G389"/>
      <c r="H389"/>
    </row>
    <row r="390" spans="2:8" x14ac:dyDescent="0.25">
      <c r="B390"/>
      <c r="C390"/>
      <c r="D390"/>
      <c r="E390"/>
      <c r="F390"/>
      <c r="G390"/>
      <c r="H390"/>
    </row>
    <row r="391" spans="2:8" x14ac:dyDescent="0.25">
      <c r="B391"/>
      <c r="C391"/>
      <c r="D391"/>
      <c r="E391"/>
      <c r="F391"/>
      <c r="G391"/>
      <c r="H391"/>
    </row>
    <row r="392" spans="2:8" x14ac:dyDescent="0.25">
      <c r="B392"/>
      <c r="C392"/>
      <c r="D392"/>
      <c r="E392"/>
      <c r="F392"/>
      <c r="G392"/>
      <c r="H392"/>
    </row>
    <row r="393" spans="2:8" x14ac:dyDescent="0.25">
      <c r="B393"/>
      <c r="C393"/>
      <c r="D393"/>
      <c r="E393"/>
      <c r="F393"/>
      <c r="G393"/>
      <c r="H393"/>
    </row>
    <row r="394" spans="2:8" x14ac:dyDescent="0.25">
      <c r="B394"/>
      <c r="C394"/>
      <c r="D394"/>
      <c r="E394"/>
      <c r="F394"/>
      <c r="G394"/>
      <c r="H394"/>
    </row>
    <row r="395" spans="2:8" x14ac:dyDescent="0.25">
      <c r="B395"/>
      <c r="C395"/>
      <c r="D395"/>
      <c r="E395"/>
      <c r="F395"/>
      <c r="G395"/>
      <c r="H395"/>
    </row>
    <row r="396" spans="2:8" x14ac:dyDescent="0.25">
      <c r="B396"/>
      <c r="C396"/>
      <c r="D396"/>
      <c r="E396"/>
      <c r="F396"/>
      <c r="G396"/>
      <c r="H396"/>
    </row>
    <row r="397" spans="2:8" x14ac:dyDescent="0.25">
      <c r="B397"/>
      <c r="C397"/>
      <c r="D397"/>
      <c r="E397"/>
      <c r="F397"/>
      <c r="G397"/>
      <c r="H397"/>
    </row>
    <row r="398" spans="2:8" x14ac:dyDescent="0.25">
      <c r="B398"/>
      <c r="C398"/>
      <c r="D398"/>
      <c r="E398"/>
      <c r="F398"/>
      <c r="G398"/>
      <c r="H398"/>
    </row>
    <row r="399" spans="2:8" x14ac:dyDescent="0.25">
      <c r="B399"/>
      <c r="C399"/>
      <c r="D399"/>
      <c r="E399"/>
      <c r="F399"/>
      <c r="G399"/>
      <c r="H399"/>
    </row>
    <row r="400" spans="2:8" x14ac:dyDescent="0.25">
      <c r="B400"/>
      <c r="C400"/>
      <c r="D400"/>
      <c r="E400"/>
      <c r="F400"/>
      <c r="G400"/>
      <c r="H400"/>
    </row>
    <row r="401" spans="2:8" x14ac:dyDescent="0.25">
      <c r="B401"/>
      <c r="C401"/>
      <c r="D401"/>
      <c r="E401"/>
      <c r="F401"/>
      <c r="G401"/>
      <c r="H401"/>
    </row>
    <row r="402" spans="2:8" x14ac:dyDescent="0.25">
      <c r="B402"/>
      <c r="C402"/>
      <c r="D402"/>
      <c r="E402"/>
      <c r="F402"/>
      <c r="G402"/>
      <c r="H402"/>
    </row>
    <row r="403" spans="2:8" x14ac:dyDescent="0.25">
      <c r="B403"/>
      <c r="C403"/>
      <c r="D403"/>
      <c r="E403"/>
      <c r="F403"/>
      <c r="G403"/>
      <c r="H403"/>
    </row>
    <row r="404" spans="2:8" x14ac:dyDescent="0.25">
      <c r="B404"/>
      <c r="C404"/>
      <c r="D404"/>
      <c r="E404"/>
      <c r="F404"/>
      <c r="G404"/>
      <c r="H404"/>
    </row>
    <row r="405" spans="2:8" x14ac:dyDescent="0.25">
      <c r="B405"/>
      <c r="C405"/>
      <c r="D405"/>
      <c r="E405"/>
      <c r="F405"/>
      <c r="G405"/>
      <c r="H405"/>
    </row>
    <row r="406" spans="2:8" x14ac:dyDescent="0.25">
      <c r="B406"/>
      <c r="C406"/>
      <c r="D406"/>
      <c r="E406"/>
      <c r="F406"/>
      <c r="G406"/>
      <c r="H406"/>
    </row>
    <row r="407" spans="2:8" x14ac:dyDescent="0.25">
      <c r="B407"/>
      <c r="C407"/>
      <c r="D407"/>
      <c r="E407"/>
      <c r="F407"/>
      <c r="G407"/>
      <c r="H407"/>
    </row>
    <row r="408" spans="2:8" x14ac:dyDescent="0.25">
      <c r="B408"/>
      <c r="C408"/>
      <c r="D408"/>
      <c r="E408"/>
      <c r="F408"/>
      <c r="G408"/>
      <c r="H408"/>
    </row>
    <row r="409" spans="2:8" x14ac:dyDescent="0.25">
      <c r="B409"/>
      <c r="C409"/>
      <c r="D409"/>
      <c r="E409"/>
      <c r="F409"/>
      <c r="G409"/>
      <c r="H409"/>
    </row>
    <row r="410" spans="2:8" x14ac:dyDescent="0.25">
      <c r="B410"/>
      <c r="C410"/>
      <c r="D410"/>
      <c r="E410"/>
      <c r="F410"/>
      <c r="G410"/>
      <c r="H410"/>
    </row>
    <row r="411" spans="2:8" x14ac:dyDescent="0.25">
      <c r="B411"/>
      <c r="C411"/>
      <c r="D411"/>
      <c r="E411"/>
      <c r="F411"/>
      <c r="G411"/>
      <c r="H411"/>
    </row>
    <row r="412" spans="2:8" x14ac:dyDescent="0.25">
      <c r="B412"/>
      <c r="C412"/>
      <c r="D412"/>
      <c r="E412"/>
      <c r="F412"/>
      <c r="G412"/>
      <c r="H412"/>
    </row>
    <row r="413" spans="2:8" x14ac:dyDescent="0.25">
      <c r="B413"/>
      <c r="C413"/>
      <c r="D413"/>
      <c r="E413"/>
      <c r="F413"/>
      <c r="G413"/>
      <c r="H413"/>
    </row>
    <row r="414" spans="2:8" x14ac:dyDescent="0.25">
      <c r="B414"/>
      <c r="C414"/>
      <c r="D414"/>
      <c r="E414"/>
      <c r="F414"/>
      <c r="G414"/>
      <c r="H414"/>
    </row>
    <row r="415" spans="2:8" x14ac:dyDescent="0.25">
      <c r="B415"/>
      <c r="C415"/>
      <c r="D415"/>
      <c r="E415"/>
      <c r="F415"/>
      <c r="G415"/>
      <c r="H415"/>
    </row>
    <row r="416" spans="2:8" x14ac:dyDescent="0.25">
      <c r="B416"/>
      <c r="C416"/>
      <c r="D416"/>
      <c r="E416"/>
      <c r="F416"/>
      <c r="G416"/>
      <c r="H416"/>
    </row>
    <row r="417" spans="2:8" x14ac:dyDescent="0.25">
      <c r="B417"/>
      <c r="C417"/>
      <c r="D417"/>
      <c r="E417"/>
      <c r="F417"/>
      <c r="G417"/>
      <c r="H417"/>
    </row>
    <row r="418" spans="2:8" x14ac:dyDescent="0.25">
      <c r="B418"/>
      <c r="C418"/>
      <c r="D418"/>
      <c r="E418"/>
      <c r="F418"/>
      <c r="G418"/>
      <c r="H418"/>
    </row>
    <row r="419" spans="2:8" x14ac:dyDescent="0.25">
      <c r="B419"/>
      <c r="C419"/>
      <c r="D419"/>
      <c r="E419"/>
      <c r="F419"/>
      <c r="G419"/>
      <c r="H419"/>
    </row>
    <row r="420" spans="2:8" x14ac:dyDescent="0.25">
      <c r="B420"/>
      <c r="C420"/>
      <c r="D420"/>
      <c r="E420"/>
      <c r="F420"/>
      <c r="G420"/>
      <c r="H420"/>
    </row>
    <row r="421" spans="2:8" x14ac:dyDescent="0.25">
      <c r="B421"/>
      <c r="C421"/>
      <c r="D421"/>
      <c r="E421"/>
      <c r="F421"/>
      <c r="G421"/>
      <c r="H421"/>
    </row>
    <row r="422" spans="2:8" x14ac:dyDescent="0.25">
      <c r="B422"/>
      <c r="C422"/>
      <c r="D422"/>
      <c r="E422"/>
      <c r="F422"/>
      <c r="G422"/>
      <c r="H422"/>
    </row>
    <row r="423" spans="2:8" x14ac:dyDescent="0.25">
      <c r="B423"/>
      <c r="C423"/>
      <c r="D423"/>
      <c r="E423"/>
      <c r="F423"/>
      <c r="G423"/>
      <c r="H423"/>
    </row>
    <row r="424" spans="2:8" x14ac:dyDescent="0.25">
      <c r="B424"/>
      <c r="C424"/>
      <c r="D424"/>
      <c r="E424"/>
      <c r="F424"/>
      <c r="G424"/>
      <c r="H424"/>
    </row>
    <row r="425" spans="2:8" x14ac:dyDescent="0.25">
      <c r="B425"/>
      <c r="C425"/>
      <c r="D425"/>
      <c r="E425"/>
      <c r="F425"/>
      <c r="G425"/>
      <c r="H425"/>
    </row>
    <row r="426" spans="2:8" x14ac:dyDescent="0.25">
      <c r="B426"/>
      <c r="C426"/>
      <c r="D426"/>
      <c r="E426"/>
      <c r="F426"/>
      <c r="G426"/>
      <c r="H426"/>
    </row>
    <row r="427" spans="2:8" x14ac:dyDescent="0.25">
      <c r="B427"/>
      <c r="C427"/>
      <c r="D427"/>
      <c r="E427"/>
      <c r="F427"/>
      <c r="G427"/>
      <c r="H427"/>
    </row>
    <row r="428" spans="2:8" x14ac:dyDescent="0.25">
      <c r="B428"/>
      <c r="C428"/>
      <c r="D428"/>
      <c r="E428"/>
      <c r="F428"/>
      <c r="G428"/>
      <c r="H428"/>
    </row>
    <row r="429" spans="2:8" x14ac:dyDescent="0.25">
      <c r="B429"/>
      <c r="C429"/>
      <c r="D429"/>
      <c r="E429"/>
      <c r="F429"/>
      <c r="G429"/>
      <c r="H429"/>
    </row>
    <row r="430" spans="2:8" x14ac:dyDescent="0.25">
      <c r="B430"/>
      <c r="C430"/>
      <c r="D430"/>
      <c r="E430"/>
      <c r="F430"/>
      <c r="G430"/>
      <c r="H430"/>
    </row>
    <row r="431" spans="2:8" x14ac:dyDescent="0.25">
      <c r="B431"/>
      <c r="C431"/>
      <c r="D431"/>
      <c r="E431"/>
      <c r="F431"/>
      <c r="G431"/>
      <c r="H431"/>
    </row>
    <row r="432" spans="2:8" x14ac:dyDescent="0.25">
      <c r="B432"/>
      <c r="C432"/>
      <c r="D432"/>
      <c r="E432"/>
      <c r="F432"/>
      <c r="G432"/>
      <c r="H432"/>
    </row>
    <row r="433" spans="2:8" x14ac:dyDescent="0.25">
      <c r="B433"/>
      <c r="C433"/>
      <c r="D433"/>
      <c r="E433"/>
      <c r="F433"/>
      <c r="G433"/>
      <c r="H433"/>
    </row>
    <row r="434" spans="2:8" x14ac:dyDescent="0.25">
      <c r="B434"/>
      <c r="C434"/>
      <c r="D434"/>
      <c r="E434"/>
      <c r="F434"/>
      <c r="G434"/>
      <c r="H434"/>
    </row>
    <row r="435" spans="2:8" x14ac:dyDescent="0.25">
      <c r="B435"/>
      <c r="C435"/>
      <c r="D435"/>
      <c r="E435"/>
      <c r="F435"/>
      <c r="G435"/>
      <c r="H435"/>
    </row>
    <row r="436" spans="2:8" x14ac:dyDescent="0.25">
      <c r="B436"/>
      <c r="C436"/>
      <c r="D436"/>
      <c r="E436"/>
      <c r="F436"/>
      <c r="G436"/>
      <c r="H436"/>
    </row>
    <row r="437" spans="2:8" x14ac:dyDescent="0.25">
      <c r="B437"/>
      <c r="C437"/>
      <c r="D437"/>
      <c r="E437"/>
      <c r="F437"/>
      <c r="G437"/>
      <c r="H437"/>
    </row>
    <row r="438" spans="2:8" x14ac:dyDescent="0.25">
      <c r="B438"/>
      <c r="C438"/>
      <c r="D438"/>
      <c r="E438"/>
      <c r="F438"/>
      <c r="G438"/>
      <c r="H438"/>
    </row>
    <row r="439" spans="2:8" x14ac:dyDescent="0.25">
      <c r="B439"/>
      <c r="C439"/>
      <c r="D439"/>
      <c r="E439"/>
      <c r="F439"/>
      <c r="G439"/>
      <c r="H439"/>
    </row>
    <row r="440" spans="2:8" x14ac:dyDescent="0.25">
      <c r="B440"/>
      <c r="C440"/>
      <c r="D440"/>
      <c r="E440"/>
      <c r="F440"/>
      <c r="G440"/>
      <c r="H440"/>
    </row>
    <row r="441" spans="2:8" x14ac:dyDescent="0.25">
      <c r="B441"/>
      <c r="C441"/>
      <c r="D441"/>
      <c r="E441"/>
      <c r="F441"/>
      <c r="G441"/>
      <c r="H441"/>
    </row>
    <row r="442" spans="2:8" x14ac:dyDescent="0.25">
      <c r="B442"/>
      <c r="C442"/>
      <c r="D442"/>
      <c r="E442"/>
      <c r="F442"/>
      <c r="G442"/>
      <c r="H442"/>
    </row>
    <row r="443" spans="2:8" x14ac:dyDescent="0.25">
      <c r="B443"/>
      <c r="C443"/>
      <c r="D443"/>
      <c r="E443"/>
      <c r="F443"/>
      <c r="G443"/>
      <c r="H443"/>
    </row>
    <row r="444" spans="2:8" x14ac:dyDescent="0.25">
      <c r="B444"/>
      <c r="C444"/>
      <c r="D444"/>
      <c r="E444"/>
      <c r="F444"/>
      <c r="G444"/>
      <c r="H444"/>
    </row>
    <row r="445" spans="2:8" x14ac:dyDescent="0.25">
      <c r="B445"/>
      <c r="C445"/>
      <c r="D445"/>
      <c r="E445"/>
      <c r="F445"/>
      <c r="G445"/>
      <c r="H445"/>
    </row>
    <row r="446" spans="2:8" x14ac:dyDescent="0.25">
      <c r="B446"/>
      <c r="C446"/>
      <c r="D446"/>
      <c r="E446"/>
      <c r="F446"/>
      <c r="G446"/>
      <c r="H446"/>
    </row>
    <row r="447" spans="2:8" x14ac:dyDescent="0.25">
      <c r="B447"/>
      <c r="C447"/>
      <c r="D447"/>
      <c r="E447"/>
      <c r="F447"/>
      <c r="G447"/>
      <c r="H447"/>
    </row>
    <row r="448" spans="2:8" x14ac:dyDescent="0.25">
      <c r="B448"/>
      <c r="C448"/>
      <c r="D448"/>
      <c r="E448"/>
      <c r="F448"/>
      <c r="G448"/>
      <c r="H448"/>
    </row>
    <row r="449" spans="2:8" x14ac:dyDescent="0.25">
      <c r="B449"/>
      <c r="C449"/>
      <c r="D449"/>
      <c r="E449"/>
      <c r="F449"/>
      <c r="G449"/>
      <c r="H449"/>
    </row>
    <row r="450" spans="2:8" x14ac:dyDescent="0.25">
      <c r="B450"/>
      <c r="C450"/>
      <c r="D450"/>
      <c r="E450"/>
      <c r="F450"/>
      <c r="G450"/>
      <c r="H450"/>
    </row>
    <row r="451" spans="2:8" x14ac:dyDescent="0.25">
      <c r="B451"/>
      <c r="C451"/>
      <c r="D451"/>
      <c r="E451"/>
      <c r="F451"/>
      <c r="G451"/>
      <c r="H451"/>
    </row>
    <row r="452" spans="2:8" x14ac:dyDescent="0.25">
      <c r="B452"/>
      <c r="C452"/>
      <c r="D452"/>
      <c r="E452"/>
      <c r="F452"/>
      <c r="G452"/>
      <c r="H452"/>
    </row>
    <row r="453" spans="2:8" x14ac:dyDescent="0.25">
      <c r="B453"/>
      <c r="C453"/>
      <c r="D453"/>
      <c r="E453"/>
      <c r="F453"/>
      <c r="G453"/>
      <c r="H453"/>
    </row>
    <row r="454" spans="2:8" x14ac:dyDescent="0.25">
      <c r="B454"/>
      <c r="C454"/>
      <c r="D454"/>
      <c r="E454"/>
      <c r="F454"/>
      <c r="G454"/>
      <c r="H454"/>
    </row>
    <row r="455" spans="2:8" x14ac:dyDescent="0.25">
      <c r="B455"/>
      <c r="C455"/>
      <c r="D455"/>
      <c r="E455"/>
      <c r="F455"/>
      <c r="G455"/>
      <c r="H455"/>
    </row>
    <row r="456" spans="2:8" x14ac:dyDescent="0.25">
      <c r="B456"/>
      <c r="C456"/>
      <c r="D456"/>
      <c r="E456"/>
      <c r="F456"/>
      <c r="G456"/>
      <c r="H456"/>
    </row>
    <row r="457" spans="2:8" x14ac:dyDescent="0.25">
      <c r="B457"/>
      <c r="C457"/>
      <c r="D457"/>
      <c r="E457"/>
      <c r="F457"/>
      <c r="G457"/>
      <c r="H457"/>
    </row>
    <row r="458" spans="2:8" x14ac:dyDescent="0.25">
      <c r="B458"/>
      <c r="C458"/>
      <c r="D458"/>
      <c r="E458"/>
      <c r="F458"/>
      <c r="G458"/>
      <c r="H458"/>
    </row>
    <row r="459" spans="2:8" x14ac:dyDescent="0.25">
      <c r="B459"/>
      <c r="C459"/>
      <c r="D459"/>
      <c r="E459"/>
      <c r="F459"/>
      <c r="G459"/>
      <c r="H459"/>
    </row>
    <row r="460" spans="2:8" x14ac:dyDescent="0.25">
      <c r="B460"/>
      <c r="C460"/>
      <c r="D460"/>
      <c r="E460"/>
      <c r="F460"/>
      <c r="G460"/>
      <c r="H460"/>
    </row>
    <row r="461" spans="2:8" x14ac:dyDescent="0.25">
      <c r="B461"/>
      <c r="C461"/>
      <c r="D461"/>
      <c r="E461"/>
      <c r="F461"/>
      <c r="G461"/>
      <c r="H461"/>
    </row>
    <row r="462" spans="2:8" x14ac:dyDescent="0.25">
      <c r="B462"/>
      <c r="C462"/>
      <c r="D462"/>
      <c r="E462"/>
      <c r="F462"/>
      <c r="G462"/>
      <c r="H462"/>
    </row>
    <row r="463" spans="2:8" x14ac:dyDescent="0.25">
      <c r="B463"/>
      <c r="C463"/>
      <c r="D463"/>
      <c r="E463"/>
      <c r="F463"/>
      <c r="G463"/>
      <c r="H463"/>
    </row>
    <row r="464" spans="2:8" x14ac:dyDescent="0.25">
      <c r="B464"/>
      <c r="C464"/>
      <c r="D464"/>
      <c r="E464"/>
      <c r="F464"/>
      <c r="G464"/>
      <c r="H464"/>
    </row>
    <row r="465" spans="2:8" x14ac:dyDescent="0.25">
      <c r="B465"/>
      <c r="C465"/>
      <c r="D465"/>
      <c r="E465"/>
      <c r="F465"/>
      <c r="G465"/>
      <c r="H465"/>
    </row>
    <row r="466" spans="2:8" x14ac:dyDescent="0.25">
      <c r="B466"/>
      <c r="C466"/>
      <c r="D466"/>
      <c r="E466"/>
      <c r="F466"/>
      <c r="G466"/>
      <c r="H466"/>
    </row>
    <row r="467" spans="2:8" x14ac:dyDescent="0.25">
      <c r="B467"/>
      <c r="C467"/>
      <c r="D467"/>
      <c r="E467"/>
      <c r="F467"/>
      <c r="G467"/>
      <c r="H467"/>
    </row>
    <row r="468" spans="2:8" x14ac:dyDescent="0.25">
      <c r="B468"/>
      <c r="C468"/>
      <c r="D468"/>
      <c r="E468"/>
      <c r="F468"/>
      <c r="G468"/>
      <c r="H468"/>
    </row>
    <row r="469" spans="2:8" x14ac:dyDescent="0.25">
      <c r="B469"/>
      <c r="C469"/>
      <c r="D469"/>
      <c r="E469"/>
      <c r="F469"/>
      <c r="G469"/>
      <c r="H469"/>
    </row>
    <row r="470" spans="2:8" x14ac:dyDescent="0.25">
      <c r="B470"/>
      <c r="C470"/>
      <c r="D470"/>
      <c r="E470"/>
      <c r="F470"/>
      <c r="G470"/>
      <c r="H470"/>
    </row>
    <row r="471" spans="2:8" x14ac:dyDescent="0.25">
      <c r="B471"/>
      <c r="C471"/>
      <c r="D471"/>
      <c r="E471"/>
      <c r="F471"/>
      <c r="G471"/>
      <c r="H471"/>
    </row>
    <row r="472" spans="2:8" x14ac:dyDescent="0.25">
      <c r="B472"/>
      <c r="C472"/>
      <c r="D472"/>
      <c r="E472"/>
      <c r="F472"/>
      <c r="G472"/>
      <c r="H472"/>
    </row>
    <row r="473" spans="2:8" x14ac:dyDescent="0.25">
      <c r="B473"/>
      <c r="C473"/>
      <c r="D473"/>
      <c r="E473"/>
      <c r="F473"/>
      <c r="G473"/>
      <c r="H473"/>
    </row>
    <row r="474" spans="2:8" x14ac:dyDescent="0.25">
      <c r="B474"/>
      <c r="C474"/>
      <c r="D474"/>
      <c r="E474"/>
      <c r="F474"/>
      <c r="G474"/>
      <c r="H474"/>
    </row>
    <row r="475" spans="2:8" x14ac:dyDescent="0.25">
      <c r="B475"/>
      <c r="C475"/>
      <c r="D475"/>
      <c r="E475"/>
      <c r="F475"/>
      <c r="G475"/>
      <c r="H475"/>
    </row>
    <row r="476" spans="2:8" x14ac:dyDescent="0.25">
      <c r="B476"/>
      <c r="C476"/>
      <c r="D476"/>
      <c r="E476"/>
      <c r="F476"/>
      <c r="G476"/>
      <c r="H476"/>
    </row>
    <row r="477" spans="2:8" x14ac:dyDescent="0.25">
      <c r="B477"/>
      <c r="C477"/>
      <c r="D477"/>
      <c r="E477"/>
      <c r="F477"/>
      <c r="G477"/>
      <c r="H477"/>
    </row>
    <row r="478" spans="2:8" x14ac:dyDescent="0.25">
      <c r="B478"/>
      <c r="C478"/>
      <c r="D478"/>
      <c r="E478"/>
      <c r="F478"/>
      <c r="G478"/>
      <c r="H478"/>
    </row>
    <row r="479" spans="2:8" x14ac:dyDescent="0.25">
      <c r="B479"/>
      <c r="C479"/>
      <c r="D479"/>
      <c r="E479"/>
      <c r="F479"/>
      <c r="G479"/>
      <c r="H479"/>
    </row>
    <row r="480" spans="2:8" x14ac:dyDescent="0.25">
      <c r="B480"/>
      <c r="C480"/>
      <c r="D480"/>
      <c r="E480"/>
      <c r="F480"/>
      <c r="G480"/>
      <c r="H480"/>
    </row>
    <row r="481" spans="2:8" x14ac:dyDescent="0.25">
      <c r="B481"/>
      <c r="C481"/>
      <c r="D481"/>
      <c r="E481"/>
      <c r="F481"/>
      <c r="G481"/>
      <c r="H481"/>
    </row>
    <row r="482" spans="2:8" x14ac:dyDescent="0.25">
      <c r="B482"/>
      <c r="C482"/>
      <c r="D482"/>
      <c r="E482"/>
      <c r="F482"/>
      <c r="G482"/>
      <c r="H482"/>
    </row>
    <row r="483" spans="2:8" x14ac:dyDescent="0.25">
      <c r="B483"/>
      <c r="C483"/>
      <c r="D483"/>
      <c r="E483"/>
      <c r="F483"/>
      <c r="G483"/>
      <c r="H483"/>
    </row>
    <row r="484" spans="2:8" x14ac:dyDescent="0.25">
      <c r="B484"/>
      <c r="C484"/>
      <c r="D484"/>
      <c r="E484"/>
      <c r="F484"/>
      <c r="G484"/>
      <c r="H484"/>
    </row>
    <row r="485" spans="2:8" x14ac:dyDescent="0.25">
      <c r="B485"/>
      <c r="C485"/>
      <c r="D485"/>
      <c r="E485"/>
      <c r="F485"/>
      <c r="G485"/>
      <c r="H485"/>
    </row>
    <row r="486" spans="2:8" x14ac:dyDescent="0.25">
      <c r="B486"/>
      <c r="C486"/>
      <c r="D486"/>
      <c r="E486"/>
      <c r="F486"/>
      <c r="G486"/>
      <c r="H486"/>
    </row>
    <row r="487" spans="2:8" x14ac:dyDescent="0.25">
      <c r="B487"/>
      <c r="C487"/>
      <c r="D487"/>
      <c r="E487"/>
      <c r="F487"/>
      <c r="G487"/>
      <c r="H487"/>
    </row>
    <row r="488" spans="2:8" x14ac:dyDescent="0.25">
      <c r="B488"/>
      <c r="C488"/>
      <c r="D488"/>
      <c r="E488"/>
      <c r="F488"/>
      <c r="G488"/>
      <c r="H488"/>
    </row>
    <row r="489" spans="2:8" x14ac:dyDescent="0.25">
      <c r="B489"/>
      <c r="C489"/>
      <c r="D489"/>
      <c r="E489"/>
      <c r="F489"/>
      <c r="G489"/>
      <c r="H489"/>
    </row>
    <row r="490" spans="2:8" x14ac:dyDescent="0.25">
      <c r="B490"/>
      <c r="C490"/>
      <c r="D490"/>
      <c r="E490"/>
      <c r="F490"/>
      <c r="G490"/>
      <c r="H490"/>
    </row>
    <row r="491" spans="2:8" x14ac:dyDescent="0.25">
      <c r="B491"/>
      <c r="C491"/>
      <c r="D491"/>
      <c r="E491"/>
      <c r="F491"/>
      <c r="G491"/>
      <c r="H491"/>
    </row>
    <row r="492" spans="2:8" x14ac:dyDescent="0.25">
      <c r="B492"/>
      <c r="C492"/>
      <c r="D492"/>
      <c r="E492"/>
      <c r="F492"/>
      <c r="G492"/>
      <c r="H492"/>
    </row>
    <row r="493" spans="2:8" x14ac:dyDescent="0.25">
      <c r="B493"/>
      <c r="C493"/>
      <c r="D493"/>
      <c r="E493"/>
      <c r="F493"/>
      <c r="G493"/>
      <c r="H493"/>
    </row>
    <row r="494" spans="2:8" x14ac:dyDescent="0.25">
      <c r="B494"/>
      <c r="C494"/>
      <c r="D494"/>
      <c r="E494"/>
      <c r="F494"/>
      <c r="G494"/>
      <c r="H494"/>
    </row>
    <row r="495" spans="2:8" x14ac:dyDescent="0.25">
      <c r="B495"/>
      <c r="C495"/>
      <c r="D495"/>
      <c r="E495"/>
      <c r="F495"/>
      <c r="G495"/>
      <c r="H495"/>
    </row>
    <row r="496" spans="2:8" x14ac:dyDescent="0.25">
      <c r="B496"/>
      <c r="C496"/>
      <c r="D496"/>
      <c r="E496"/>
      <c r="F496"/>
      <c r="G496"/>
      <c r="H496"/>
    </row>
    <row r="497" spans="2:8" x14ac:dyDescent="0.25">
      <c r="B497"/>
      <c r="C497"/>
      <c r="D497"/>
      <c r="E497"/>
      <c r="F497"/>
      <c r="G497"/>
      <c r="H497"/>
    </row>
    <row r="498" spans="2:8" x14ac:dyDescent="0.25">
      <c r="B498"/>
      <c r="C498"/>
      <c r="D498"/>
      <c r="E498"/>
      <c r="F498"/>
      <c r="G498"/>
      <c r="H498"/>
    </row>
    <row r="499" spans="2:8" x14ac:dyDescent="0.25">
      <c r="B499"/>
      <c r="C499"/>
      <c r="D499"/>
      <c r="E499"/>
      <c r="F499"/>
      <c r="G499"/>
      <c r="H499"/>
    </row>
    <row r="500" spans="2:8" x14ac:dyDescent="0.25">
      <c r="B500"/>
      <c r="C500"/>
      <c r="D500"/>
      <c r="E500"/>
      <c r="F500"/>
      <c r="G500"/>
      <c r="H500"/>
    </row>
    <row r="501" spans="2:8" x14ac:dyDescent="0.25">
      <c r="B501"/>
      <c r="C501"/>
      <c r="D501"/>
      <c r="E501"/>
      <c r="F501"/>
      <c r="G501"/>
      <c r="H501"/>
    </row>
    <row r="502" spans="2:8" x14ac:dyDescent="0.25">
      <c r="B502"/>
      <c r="C502"/>
      <c r="D502"/>
      <c r="E502"/>
      <c r="F502"/>
      <c r="G502"/>
      <c r="H502"/>
    </row>
    <row r="503" spans="2:8" x14ac:dyDescent="0.25">
      <c r="B503"/>
      <c r="C503"/>
      <c r="D503"/>
      <c r="E503"/>
      <c r="F503"/>
      <c r="G503"/>
      <c r="H503"/>
    </row>
    <row r="504" spans="2:8" x14ac:dyDescent="0.25">
      <c r="B504"/>
      <c r="C504"/>
      <c r="D504"/>
      <c r="E504"/>
      <c r="F504"/>
      <c r="G504"/>
      <c r="H504"/>
    </row>
    <row r="505" spans="2:8" x14ac:dyDescent="0.25">
      <c r="B505"/>
      <c r="C505"/>
      <c r="D505"/>
      <c r="E505"/>
      <c r="F505"/>
      <c r="G505"/>
      <c r="H505"/>
    </row>
    <row r="506" spans="2:8" x14ac:dyDescent="0.25">
      <c r="B506"/>
      <c r="C506"/>
      <c r="D506"/>
      <c r="E506"/>
      <c r="F506"/>
      <c r="G506"/>
      <c r="H506"/>
    </row>
    <row r="507" spans="2:8" x14ac:dyDescent="0.25">
      <c r="B507"/>
      <c r="C507"/>
      <c r="D507"/>
      <c r="E507"/>
      <c r="F507"/>
      <c r="G507"/>
      <c r="H507"/>
    </row>
    <row r="508" spans="2:8" x14ac:dyDescent="0.25">
      <c r="B508"/>
      <c r="C508"/>
      <c r="D508"/>
      <c r="E508"/>
      <c r="F508"/>
      <c r="G508"/>
      <c r="H508"/>
    </row>
    <row r="509" spans="2:8" x14ac:dyDescent="0.25">
      <c r="B509"/>
      <c r="C509"/>
      <c r="D509"/>
      <c r="E509"/>
      <c r="F509"/>
      <c r="G509"/>
      <c r="H509"/>
    </row>
    <row r="510" spans="2:8" x14ac:dyDescent="0.25">
      <c r="B510"/>
      <c r="C510"/>
      <c r="D510"/>
      <c r="E510"/>
      <c r="F510"/>
      <c r="G510"/>
      <c r="H510"/>
    </row>
    <row r="511" spans="2:8" x14ac:dyDescent="0.25">
      <c r="B511"/>
      <c r="C511"/>
      <c r="D511"/>
      <c r="E511"/>
      <c r="F511"/>
      <c r="G511"/>
      <c r="H511"/>
    </row>
    <row r="512" spans="2:8" x14ac:dyDescent="0.25">
      <c r="B512"/>
      <c r="C512"/>
      <c r="D512"/>
      <c r="E512"/>
      <c r="F512"/>
      <c r="G512"/>
      <c r="H512"/>
    </row>
    <row r="513" spans="2:8" x14ac:dyDescent="0.25">
      <c r="B513"/>
      <c r="C513"/>
      <c r="D513"/>
      <c r="E513"/>
      <c r="F513"/>
      <c r="G513"/>
      <c r="H513"/>
    </row>
    <row r="514" spans="2:8" x14ac:dyDescent="0.25">
      <c r="B514"/>
      <c r="C514"/>
      <c r="D514"/>
      <c r="E514"/>
      <c r="F514"/>
      <c r="G514"/>
      <c r="H514"/>
    </row>
    <row r="515" spans="2:8" x14ac:dyDescent="0.25">
      <c r="B515"/>
      <c r="C515"/>
      <c r="D515"/>
      <c r="E515"/>
      <c r="F515"/>
      <c r="G515"/>
      <c r="H515"/>
    </row>
    <row r="516" spans="2:8" x14ac:dyDescent="0.25">
      <c r="B516"/>
      <c r="C516"/>
      <c r="D516"/>
      <c r="E516"/>
      <c r="F516"/>
      <c r="G516"/>
      <c r="H516"/>
    </row>
    <row r="517" spans="2:8" x14ac:dyDescent="0.25">
      <c r="B517"/>
      <c r="C517"/>
      <c r="D517"/>
      <c r="E517"/>
      <c r="F517"/>
      <c r="G517"/>
      <c r="H517"/>
    </row>
    <row r="518" spans="2:8" x14ac:dyDescent="0.25">
      <c r="B518"/>
      <c r="C518"/>
      <c r="D518"/>
      <c r="E518"/>
      <c r="F518"/>
      <c r="G518"/>
      <c r="H518"/>
    </row>
    <row r="519" spans="2:8" x14ac:dyDescent="0.25">
      <c r="B519"/>
      <c r="C519"/>
      <c r="D519"/>
      <c r="E519"/>
      <c r="F519"/>
      <c r="G519"/>
      <c r="H519"/>
    </row>
    <row r="520" spans="2:8" x14ac:dyDescent="0.25">
      <c r="B520"/>
      <c r="C520"/>
      <c r="D520"/>
      <c r="E520"/>
      <c r="F520"/>
      <c r="G520"/>
      <c r="H520"/>
    </row>
    <row r="521" spans="2:8" x14ac:dyDescent="0.25">
      <c r="B521"/>
      <c r="C521"/>
      <c r="D521"/>
      <c r="E521"/>
      <c r="F521"/>
      <c r="G521"/>
      <c r="H521"/>
    </row>
    <row r="522" spans="2:8" x14ac:dyDescent="0.25">
      <c r="B522"/>
      <c r="C522"/>
      <c r="D522"/>
      <c r="E522"/>
      <c r="F522"/>
      <c r="G522"/>
      <c r="H522"/>
    </row>
    <row r="523" spans="2:8" x14ac:dyDescent="0.25">
      <c r="B523"/>
      <c r="C523"/>
      <c r="D523"/>
      <c r="E523"/>
      <c r="F523"/>
      <c r="G523"/>
      <c r="H523"/>
    </row>
    <row r="524" spans="2:8" x14ac:dyDescent="0.25">
      <c r="B524"/>
      <c r="C524"/>
      <c r="D524"/>
      <c r="E524"/>
      <c r="F524"/>
      <c r="G524"/>
      <c r="H524"/>
    </row>
    <row r="525" spans="2:8" x14ac:dyDescent="0.25">
      <c r="B525"/>
      <c r="C525"/>
      <c r="D525"/>
      <c r="E525"/>
      <c r="F525"/>
      <c r="G525"/>
      <c r="H525"/>
    </row>
    <row r="526" spans="2:8" x14ac:dyDescent="0.25">
      <c r="B526"/>
      <c r="C526"/>
      <c r="D526"/>
      <c r="E526"/>
      <c r="F526"/>
      <c r="G526"/>
      <c r="H526"/>
    </row>
    <row r="527" spans="2:8" x14ac:dyDescent="0.25">
      <c r="B527"/>
      <c r="C527"/>
      <c r="D527"/>
      <c r="E527"/>
      <c r="F527"/>
      <c r="G527"/>
      <c r="H527"/>
    </row>
    <row r="528" spans="2:8" x14ac:dyDescent="0.25">
      <c r="B528"/>
      <c r="C528"/>
      <c r="D528"/>
      <c r="E528"/>
      <c r="F528"/>
      <c r="G528"/>
      <c r="H528"/>
    </row>
    <row r="529" spans="2:8" x14ac:dyDescent="0.25">
      <c r="B529"/>
      <c r="C529"/>
      <c r="D529"/>
      <c r="E529"/>
      <c r="F529"/>
      <c r="G529"/>
      <c r="H529"/>
    </row>
    <row r="530" spans="2:8" x14ac:dyDescent="0.25">
      <c r="B530"/>
      <c r="C530"/>
      <c r="D530"/>
      <c r="E530"/>
      <c r="F530"/>
      <c r="G530"/>
      <c r="H530"/>
    </row>
    <row r="531" spans="2:8" x14ac:dyDescent="0.25">
      <c r="B531"/>
      <c r="C531"/>
      <c r="D531"/>
      <c r="E531"/>
      <c r="F531"/>
      <c r="G531"/>
      <c r="H531"/>
    </row>
    <row r="532" spans="2:8" x14ac:dyDescent="0.25">
      <c r="B532"/>
      <c r="C532"/>
      <c r="D532"/>
      <c r="E532"/>
      <c r="F532"/>
      <c r="G532"/>
      <c r="H532"/>
    </row>
    <row r="533" spans="2:8" x14ac:dyDescent="0.25">
      <c r="B533"/>
      <c r="C533"/>
      <c r="D533"/>
      <c r="E533"/>
      <c r="F533"/>
      <c r="G533"/>
      <c r="H533"/>
    </row>
    <row r="534" spans="2:8" x14ac:dyDescent="0.25">
      <c r="B534"/>
      <c r="C534"/>
      <c r="D534"/>
      <c r="E534"/>
      <c r="F534"/>
      <c r="G534"/>
      <c r="H534"/>
    </row>
    <row r="535" spans="2:8" x14ac:dyDescent="0.25">
      <c r="B535"/>
      <c r="C535"/>
      <c r="D535"/>
      <c r="E535"/>
      <c r="F535"/>
      <c r="G535"/>
      <c r="H535"/>
    </row>
    <row r="536" spans="2:8" x14ac:dyDescent="0.25">
      <c r="B536"/>
      <c r="C536"/>
      <c r="D536"/>
      <c r="E536"/>
      <c r="F536"/>
      <c r="G536"/>
      <c r="H536"/>
    </row>
    <row r="537" spans="2:8" x14ac:dyDescent="0.25">
      <c r="B537"/>
      <c r="C537"/>
      <c r="D537"/>
      <c r="E537"/>
      <c r="F537"/>
      <c r="G537"/>
      <c r="H537"/>
    </row>
    <row r="538" spans="2:8" x14ac:dyDescent="0.25">
      <c r="B538"/>
      <c r="C538"/>
      <c r="D538"/>
      <c r="E538"/>
      <c r="F538"/>
      <c r="G538"/>
      <c r="H538"/>
    </row>
    <row r="539" spans="2:8" x14ac:dyDescent="0.25">
      <c r="B539"/>
      <c r="C539"/>
      <c r="D539"/>
      <c r="E539"/>
      <c r="F539"/>
      <c r="G539"/>
      <c r="H539"/>
    </row>
    <row r="540" spans="2:8" x14ac:dyDescent="0.25">
      <c r="B540"/>
      <c r="C540"/>
      <c r="D540"/>
      <c r="E540"/>
      <c r="F540"/>
      <c r="G540"/>
      <c r="H540"/>
    </row>
    <row r="541" spans="2:8" x14ac:dyDescent="0.25">
      <c r="B541"/>
      <c r="C541"/>
      <c r="D541"/>
      <c r="E541"/>
      <c r="F541"/>
      <c r="G541"/>
      <c r="H541"/>
    </row>
    <row r="542" spans="2:8" x14ac:dyDescent="0.25">
      <c r="B542"/>
      <c r="C542"/>
      <c r="D542"/>
      <c r="E542"/>
      <c r="F542"/>
      <c r="G542"/>
      <c r="H542"/>
    </row>
    <row r="543" spans="2:8" x14ac:dyDescent="0.25">
      <c r="B543"/>
      <c r="C543"/>
      <c r="D543"/>
      <c r="E543"/>
      <c r="F543"/>
      <c r="G543"/>
      <c r="H543"/>
    </row>
    <row r="544" spans="2:8" x14ac:dyDescent="0.25">
      <c r="B544"/>
      <c r="C544"/>
      <c r="D544"/>
      <c r="E544"/>
      <c r="F544"/>
      <c r="G544"/>
      <c r="H544"/>
    </row>
    <row r="545" spans="2:8" x14ac:dyDescent="0.25">
      <c r="B545"/>
      <c r="C545"/>
      <c r="D545"/>
      <c r="E545"/>
      <c r="F545"/>
      <c r="G545"/>
      <c r="H545"/>
    </row>
    <row r="546" spans="2:8" x14ac:dyDescent="0.25">
      <c r="B546"/>
      <c r="C546"/>
      <c r="D546"/>
      <c r="E546"/>
      <c r="F546"/>
      <c r="G546"/>
      <c r="H546"/>
    </row>
    <row r="547" spans="2:8" x14ac:dyDescent="0.25">
      <c r="B547"/>
      <c r="C547"/>
      <c r="D547"/>
      <c r="E547"/>
      <c r="F547"/>
      <c r="G547"/>
      <c r="H547"/>
    </row>
    <row r="548" spans="2:8" x14ac:dyDescent="0.25">
      <c r="B548"/>
      <c r="C548"/>
      <c r="D548"/>
      <c r="E548"/>
      <c r="F548"/>
      <c r="G548"/>
      <c r="H548"/>
    </row>
    <row r="549" spans="2:8" x14ac:dyDescent="0.25">
      <c r="B549"/>
      <c r="C549"/>
      <c r="D549"/>
      <c r="E549"/>
      <c r="F549"/>
      <c r="G549"/>
      <c r="H549"/>
    </row>
    <row r="550" spans="2:8" x14ac:dyDescent="0.25">
      <c r="B550"/>
      <c r="C550"/>
      <c r="D550"/>
      <c r="E550"/>
      <c r="F550"/>
      <c r="G550"/>
      <c r="H550"/>
    </row>
    <row r="551" spans="2:8" x14ac:dyDescent="0.25">
      <c r="B551"/>
      <c r="C551"/>
      <c r="D551"/>
      <c r="E551"/>
      <c r="F551"/>
      <c r="G551"/>
      <c r="H551"/>
    </row>
    <row r="552" spans="2:8" x14ac:dyDescent="0.25">
      <c r="B552"/>
      <c r="C552"/>
      <c r="D552"/>
      <c r="E552"/>
      <c r="F552"/>
      <c r="G552"/>
      <c r="H552"/>
    </row>
    <row r="553" spans="2:8" x14ac:dyDescent="0.25">
      <c r="B553"/>
      <c r="C553"/>
      <c r="D553"/>
      <c r="E553"/>
      <c r="F553"/>
      <c r="G553"/>
      <c r="H553"/>
    </row>
    <row r="554" spans="2:8" x14ac:dyDescent="0.25">
      <c r="B554"/>
      <c r="C554"/>
      <c r="D554"/>
      <c r="E554"/>
      <c r="F554"/>
      <c r="G554"/>
      <c r="H554"/>
    </row>
    <row r="555" spans="2:8" x14ac:dyDescent="0.25">
      <c r="B555"/>
      <c r="C555"/>
      <c r="D555"/>
      <c r="E555"/>
      <c r="F555"/>
      <c r="G555"/>
      <c r="H555"/>
    </row>
    <row r="556" spans="2:8" x14ac:dyDescent="0.25">
      <c r="B556"/>
      <c r="C556"/>
      <c r="D556"/>
      <c r="E556"/>
      <c r="F556"/>
      <c r="G556"/>
      <c r="H556"/>
    </row>
    <row r="557" spans="2:8" x14ac:dyDescent="0.25">
      <c r="B557"/>
      <c r="C557"/>
      <c r="D557"/>
      <c r="E557"/>
      <c r="F557"/>
      <c r="G557"/>
      <c r="H557"/>
    </row>
    <row r="558" spans="2:8" x14ac:dyDescent="0.25">
      <c r="B558"/>
      <c r="C558"/>
      <c r="D558"/>
      <c r="E558"/>
      <c r="F558"/>
      <c r="G558"/>
      <c r="H558"/>
    </row>
    <row r="559" spans="2:8" x14ac:dyDescent="0.25">
      <c r="B559"/>
      <c r="C559"/>
      <c r="D559"/>
      <c r="E559"/>
      <c r="F559"/>
      <c r="G559"/>
      <c r="H559"/>
    </row>
    <row r="560" spans="2:8" x14ac:dyDescent="0.25">
      <c r="B560"/>
      <c r="C560"/>
      <c r="D560"/>
      <c r="E560"/>
      <c r="F560"/>
      <c r="G560"/>
      <c r="H560"/>
    </row>
    <row r="561" spans="2:8" x14ac:dyDescent="0.25">
      <c r="B561"/>
      <c r="C561"/>
      <c r="D561"/>
      <c r="E561"/>
      <c r="F561"/>
      <c r="G561"/>
      <c r="H561"/>
    </row>
    <row r="562" spans="2:8" x14ac:dyDescent="0.25">
      <c r="B562"/>
      <c r="C562"/>
      <c r="D562"/>
      <c r="E562"/>
      <c r="F562"/>
      <c r="G562"/>
      <c r="H562"/>
    </row>
    <row r="563" spans="2:8" x14ac:dyDescent="0.25">
      <c r="B563"/>
      <c r="C563"/>
      <c r="D563"/>
      <c r="E563"/>
      <c r="F563"/>
      <c r="G563"/>
      <c r="H563"/>
    </row>
    <row r="564" spans="2:8" x14ac:dyDescent="0.25">
      <c r="B564"/>
      <c r="C564"/>
      <c r="D564"/>
      <c r="E564"/>
      <c r="F564"/>
      <c r="G564"/>
      <c r="H564"/>
    </row>
    <row r="565" spans="2:8" x14ac:dyDescent="0.25">
      <c r="B565"/>
      <c r="C565"/>
      <c r="D565"/>
      <c r="E565"/>
      <c r="F565"/>
      <c r="G565"/>
      <c r="H565"/>
    </row>
    <row r="566" spans="2:8" x14ac:dyDescent="0.25">
      <c r="B566"/>
      <c r="C566"/>
      <c r="D566"/>
      <c r="E566"/>
      <c r="F566"/>
      <c r="G566"/>
      <c r="H566"/>
    </row>
    <row r="567" spans="2:8" x14ac:dyDescent="0.25">
      <c r="B567"/>
      <c r="C567"/>
      <c r="D567"/>
      <c r="E567"/>
      <c r="F567"/>
      <c r="G567"/>
      <c r="H567"/>
    </row>
    <row r="568" spans="2:8" x14ac:dyDescent="0.25">
      <c r="B568"/>
      <c r="C568"/>
      <c r="D568"/>
      <c r="E568"/>
      <c r="F568"/>
      <c r="G568"/>
      <c r="H568"/>
    </row>
    <row r="569" spans="2:8" x14ac:dyDescent="0.25">
      <c r="B569"/>
      <c r="C569"/>
      <c r="D569"/>
      <c r="E569"/>
      <c r="F569"/>
      <c r="G569"/>
      <c r="H569"/>
    </row>
    <row r="570" spans="2:8" x14ac:dyDescent="0.25">
      <c r="B570"/>
      <c r="C570"/>
      <c r="D570"/>
      <c r="E570"/>
      <c r="F570"/>
      <c r="G570"/>
      <c r="H570"/>
    </row>
    <row r="571" spans="2:8" x14ac:dyDescent="0.25">
      <c r="B571"/>
      <c r="C571"/>
      <c r="D571"/>
      <c r="E571"/>
      <c r="F571"/>
      <c r="G571"/>
      <c r="H571"/>
    </row>
    <row r="572" spans="2:8" x14ac:dyDescent="0.25">
      <c r="B572"/>
      <c r="C572"/>
      <c r="D572"/>
      <c r="E572"/>
      <c r="F572"/>
      <c r="G572"/>
      <c r="H572"/>
    </row>
    <row r="573" spans="2:8" x14ac:dyDescent="0.25">
      <c r="B573"/>
      <c r="C573"/>
      <c r="D573"/>
      <c r="E573"/>
      <c r="F573"/>
      <c r="G573"/>
      <c r="H573"/>
    </row>
    <row r="574" spans="2:8" x14ac:dyDescent="0.25">
      <c r="B574"/>
      <c r="C574"/>
      <c r="D574"/>
      <c r="E574"/>
      <c r="F574"/>
      <c r="G574"/>
      <c r="H574"/>
    </row>
    <row r="575" spans="2:8" x14ac:dyDescent="0.25">
      <c r="B575"/>
      <c r="C575"/>
      <c r="D575"/>
      <c r="E575"/>
      <c r="F575"/>
      <c r="G575"/>
      <c r="H575"/>
    </row>
    <row r="576" spans="2:8" x14ac:dyDescent="0.25">
      <c r="B576"/>
      <c r="C576"/>
      <c r="D576"/>
      <c r="E576"/>
      <c r="F576"/>
      <c r="G576"/>
      <c r="H576"/>
    </row>
    <row r="577" spans="2:8" x14ac:dyDescent="0.25">
      <c r="B577"/>
      <c r="C577"/>
      <c r="D577"/>
      <c r="E577"/>
      <c r="F577"/>
      <c r="G577"/>
      <c r="H577"/>
    </row>
    <row r="578" spans="2:8" x14ac:dyDescent="0.25">
      <c r="B578"/>
      <c r="C578"/>
      <c r="D578"/>
      <c r="E578"/>
      <c r="F578"/>
      <c r="G578"/>
      <c r="H578"/>
    </row>
    <row r="579" spans="2:8" x14ac:dyDescent="0.25">
      <c r="B579"/>
      <c r="C579"/>
      <c r="D579"/>
      <c r="E579"/>
      <c r="F579"/>
      <c r="G579"/>
      <c r="H579"/>
    </row>
    <row r="580" spans="2:8" x14ac:dyDescent="0.25">
      <c r="B580"/>
      <c r="C580"/>
      <c r="D580"/>
      <c r="E580"/>
      <c r="F580"/>
      <c r="G580"/>
      <c r="H580"/>
    </row>
    <row r="581" spans="2:8" x14ac:dyDescent="0.25">
      <c r="B581"/>
      <c r="C581"/>
      <c r="D581"/>
      <c r="E581"/>
      <c r="F581"/>
      <c r="G581"/>
      <c r="H581"/>
    </row>
    <row r="582" spans="2:8" x14ac:dyDescent="0.25">
      <c r="B582"/>
      <c r="C582"/>
      <c r="D582"/>
      <c r="E582"/>
      <c r="F582"/>
      <c r="G582"/>
      <c r="H582"/>
    </row>
    <row r="583" spans="2:8" x14ac:dyDescent="0.25">
      <c r="B583"/>
      <c r="C583"/>
      <c r="D583"/>
      <c r="E583"/>
      <c r="F583"/>
      <c r="G583"/>
      <c r="H583"/>
    </row>
    <row r="584" spans="2:8" x14ac:dyDescent="0.25">
      <c r="B584"/>
      <c r="C584"/>
      <c r="D584"/>
      <c r="E584"/>
      <c r="F584"/>
      <c r="G584"/>
      <c r="H584"/>
    </row>
    <row r="585" spans="2:8" x14ac:dyDescent="0.25">
      <c r="B585"/>
      <c r="C585"/>
      <c r="D585"/>
      <c r="E585"/>
      <c r="F585"/>
      <c r="G585"/>
      <c r="H585"/>
    </row>
    <row r="586" spans="2:8" x14ac:dyDescent="0.25">
      <c r="B586"/>
      <c r="C586"/>
      <c r="D586"/>
      <c r="E586"/>
      <c r="F586"/>
      <c r="G586"/>
      <c r="H586"/>
    </row>
    <row r="587" spans="2:8" x14ac:dyDescent="0.25">
      <c r="B587"/>
      <c r="C587"/>
      <c r="D587"/>
      <c r="E587"/>
      <c r="F587"/>
      <c r="G587"/>
      <c r="H587"/>
    </row>
    <row r="588" spans="2:8" x14ac:dyDescent="0.25">
      <c r="B588"/>
      <c r="C588"/>
      <c r="D588"/>
      <c r="E588"/>
      <c r="F588"/>
      <c r="G588"/>
      <c r="H588"/>
    </row>
    <row r="589" spans="2:8" x14ac:dyDescent="0.25">
      <c r="B589"/>
      <c r="C589"/>
      <c r="D589"/>
      <c r="E589"/>
      <c r="F589"/>
      <c r="G589"/>
      <c r="H589"/>
    </row>
    <row r="590" spans="2:8" x14ac:dyDescent="0.25">
      <c r="B590"/>
      <c r="C590"/>
      <c r="D590"/>
      <c r="E590"/>
      <c r="F590"/>
      <c r="G590"/>
      <c r="H590"/>
    </row>
    <row r="591" spans="2:8" x14ac:dyDescent="0.25">
      <c r="B591"/>
      <c r="C591"/>
      <c r="D591"/>
      <c r="E591"/>
      <c r="F591"/>
      <c r="G591"/>
      <c r="H591"/>
    </row>
    <row r="592" spans="2:8" x14ac:dyDescent="0.25">
      <c r="B592"/>
      <c r="C592"/>
      <c r="D592"/>
      <c r="E592"/>
      <c r="F592"/>
      <c r="G592"/>
      <c r="H592"/>
    </row>
    <row r="593" spans="2:8" x14ac:dyDescent="0.25">
      <c r="B593"/>
      <c r="C593"/>
      <c r="D593"/>
      <c r="E593"/>
      <c r="F593"/>
      <c r="G593"/>
      <c r="H593"/>
    </row>
    <row r="594" spans="2:8" x14ac:dyDescent="0.25">
      <c r="B594"/>
      <c r="C594"/>
      <c r="D594"/>
      <c r="E594"/>
      <c r="F594"/>
      <c r="G594"/>
      <c r="H594"/>
    </row>
    <row r="595" spans="2:8" x14ac:dyDescent="0.25">
      <c r="B595"/>
      <c r="C595"/>
      <c r="D595"/>
      <c r="E595"/>
      <c r="F595"/>
      <c r="G595"/>
      <c r="H595"/>
    </row>
    <row r="596" spans="2:8" x14ac:dyDescent="0.25">
      <c r="B596"/>
      <c r="C596"/>
      <c r="D596"/>
      <c r="E596"/>
      <c r="F596"/>
      <c r="G596"/>
      <c r="H596"/>
    </row>
    <row r="597" spans="2:8" x14ac:dyDescent="0.25">
      <c r="B597"/>
      <c r="C597"/>
      <c r="D597"/>
      <c r="E597"/>
      <c r="F597"/>
      <c r="G597"/>
      <c r="H597"/>
    </row>
    <row r="598" spans="2:8" x14ac:dyDescent="0.25">
      <c r="B598"/>
      <c r="C598"/>
      <c r="D598"/>
      <c r="E598"/>
      <c r="F598"/>
      <c r="G598"/>
      <c r="H598"/>
    </row>
    <row r="599" spans="2:8" x14ac:dyDescent="0.25">
      <c r="B599"/>
      <c r="C599"/>
      <c r="D599"/>
      <c r="E599"/>
      <c r="F599"/>
      <c r="G599"/>
      <c r="H599"/>
    </row>
    <row r="600" spans="2:8" x14ac:dyDescent="0.25">
      <c r="B600"/>
      <c r="C600"/>
      <c r="D600"/>
      <c r="E600"/>
      <c r="F600"/>
      <c r="G600"/>
      <c r="H600"/>
    </row>
    <row r="601" spans="2:8" x14ac:dyDescent="0.25">
      <c r="B601"/>
      <c r="C601"/>
      <c r="D601"/>
      <c r="E601"/>
      <c r="F601"/>
      <c r="G601"/>
      <c r="H601"/>
    </row>
    <row r="602" spans="2:8" x14ac:dyDescent="0.25">
      <c r="B602"/>
      <c r="C602"/>
      <c r="D602"/>
      <c r="E602"/>
      <c r="F602"/>
      <c r="G602"/>
      <c r="H602"/>
    </row>
    <row r="603" spans="2:8" x14ac:dyDescent="0.25">
      <c r="B603"/>
      <c r="C603"/>
      <c r="D603"/>
      <c r="E603"/>
      <c r="F603"/>
      <c r="G603"/>
      <c r="H603"/>
    </row>
    <row r="604" spans="2:8" x14ac:dyDescent="0.25">
      <c r="B604"/>
      <c r="C604"/>
      <c r="D604"/>
      <c r="E604"/>
      <c r="F604"/>
      <c r="G604"/>
      <c r="H604"/>
    </row>
    <row r="605" spans="2:8" x14ac:dyDescent="0.25">
      <c r="B605"/>
      <c r="C605"/>
      <c r="D605"/>
      <c r="E605"/>
      <c r="F605"/>
      <c r="G605"/>
      <c r="H605"/>
    </row>
    <row r="606" spans="2:8" x14ac:dyDescent="0.25">
      <c r="B606"/>
      <c r="C606"/>
      <c r="D606"/>
      <c r="E606"/>
      <c r="F606"/>
      <c r="G606"/>
      <c r="H606"/>
    </row>
    <row r="607" spans="2:8" x14ac:dyDescent="0.25">
      <c r="B607"/>
      <c r="C607"/>
      <c r="D607"/>
      <c r="E607"/>
      <c r="F607"/>
      <c r="G607"/>
      <c r="H607"/>
    </row>
    <row r="608" spans="2:8" x14ac:dyDescent="0.25">
      <c r="B608"/>
      <c r="C608"/>
      <c r="D608"/>
      <c r="E608"/>
      <c r="F608"/>
      <c r="G608"/>
      <c r="H608"/>
    </row>
    <row r="609" spans="2:8" x14ac:dyDescent="0.25">
      <c r="B609"/>
      <c r="C609"/>
      <c r="D609"/>
      <c r="E609"/>
      <c r="F609"/>
      <c r="G609"/>
      <c r="H609"/>
    </row>
    <row r="610" spans="2:8" x14ac:dyDescent="0.25">
      <c r="B610"/>
      <c r="C610"/>
      <c r="D610"/>
      <c r="E610"/>
      <c r="F610"/>
      <c r="G610"/>
      <c r="H610"/>
    </row>
    <row r="611" spans="2:8" x14ac:dyDescent="0.25">
      <c r="B611"/>
      <c r="C611"/>
      <c r="D611"/>
      <c r="E611"/>
      <c r="F611"/>
      <c r="G611"/>
      <c r="H611"/>
    </row>
    <row r="612" spans="2:8" x14ac:dyDescent="0.25">
      <c r="B612"/>
      <c r="C612"/>
      <c r="D612"/>
      <c r="E612"/>
      <c r="F612"/>
      <c r="G612"/>
      <c r="H612"/>
    </row>
    <row r="613" spans="2:8" x14ac:dyDescent="0.25">
      <c r="B613"/>
      <c r="C613"/>
      <c r="D613"/>
      <c r="E613"/>
      <c r="F613"/>
      <c r="G613"/>
      <c r="H613"/>
    </row>
    <row r="614" spans="2:8" x14ac:dyDescent="0.25">
      <c r="B614"/>
      <c r="C614"/>
      <c r="D614"/>
      <c r="E614"/>
      <c r="F614"/>
      <c r="G614"/>
      <c r="H614"/>
    </row>
    <row r="615" spans="2:8" x14ac:dyDescent="0.25">
      <c r="B615"/>
      <c r="C615"/>
      <c r="D615"/>
      <c r="E615"/>
      <c r="F615"/>
      <c r="G615"/>
      <c r="H615"/>
    </row>
    <row r="616" spans="2:8" x14ac:dyDescent="0.25">
      <c r="B616"/>
      <c r="C616"/>
      <c r="D616"/>
      <c r="E616"/>
      <c r="F616"/>
      <c r="G616"/>
      <c r="H616"/>
    </row>
    <row r="617" spans="2:8" x14ac:dyDescent="0.25">
      <c r="B617"/>
      <c r="C617"/>
      <c r="D617"/>
      <c r="E617"/>
      <c r="F617"/>
      <c r="G617"/>
      <c r="H617"/>
    </row>
    <row r="618" spans="2:8" x14ac:dyDescent="0.25">
      <c r="B618"/>
      <c r="C618"/>
      <c r="D618"/>
      <c r="E618"/>
      <c r="F618"/>
      <c r="G618"/>
      <c r="H618"/>
    </row>
    <row r="619" spans="2:8" x14ac:dyDescent="0.25">
      <c r="B619"/>
      <c r="C619"/>
      <c r="D619"/>
      <c r="E619"/>
      <c r="F619"/>
      <c r="G619"/>
      <c r="H619"/>
    </row>
    <row r="620" spans="2:8" x14ac:dyDescent="0.25">
      <c r="B620"/>
      <c r="C620"/>
      <c r="D620"/>
      <c r="E620"/>
      <c r="F620"/>
      <c r="G620"/>
      <c r="H620"/>
    </row>
    <row r="621" spans="2:8" x14ac:dyDescent="0.25">
      <c r="B621"/>
      <c r="C621"/>
      <c r="D621"/>
      <c r="E621"/>
      <c r="F621"/>
      <c r="G621"/>
      <c r="H621"/>
    </row>
    <row r="622" spans="2:8" x14ac:dyDescent="0.25">
      <c r="B622"/>
      <c r="C622"/>
      <c r="D622"/>
      <c r="E622"/>
      <c r="F622"/>
      <c r="G622"/>
      <c r="H622"/>
    </row>
    <row r="623" spans="2:8" x14ac:dyDescent="0.25">
      <c r="B623"/>
      <c r="C623"/>
      <c r="D623"/>
      <c r="E623"/>
      <c r="F623"/>
      <c r="G623"/>
      <c r="H623"/>
    </row>
    <row r="624" spans="2:8" x14ac:dyDescent="0.25">
      <c r="B624"/>
      <c r="C624"/>
      <c r="D624"/>
      <c r="E624"/>
      <c r="F624"/>
      <c r="G624"/>
      <c r="H624"/>
    </row>
    <row r="625" spans="2:8" x14ac:dyDescent="0.25">
      <c r="B625"/>
      <c r="C625"/>
      <c r="D625"/>
      <c r="E625"/>
      <c r="F625"/>
      <c r="G625"/>
      <c r="H625"/>
    </row>
    <row r="626" spans="2:8" x14ac:dyDescent="0.25">
      <c r="B626"/>
      <c r="C626"/>
      <c r="D626"/>
      <c r="E626"/>
      <c r="F626"/>
      <c r="G626"/>
      <c r="H626"/>
    </row>
    <row r="627" spans="2:8" x14ac:dyDescent="0.25">
      <c r="B627"/>
      <c r="C627"/>
      <c r="D627"/>
      <c r="E627"/>
      <c r="F627"/>
      <c r="G627"/>
      <c r="H627"/>
    </row>
    <row r="628" spans="2:8" x14ac:dyDescent="0.25">
      <c r="B628"/>
      <c r="C628"/>
      <c r="D628"/>
      <c r="E628"/>
      <c r="F628"/>
      <c r="G628"/>
      <c r="H628"/>
    </row>
    <row r="629" spans="2:8" x14ac:dyDescent="0.25">
      <c r="B629"/>
      <c r="C629"/>
      <c r="D629"/>
      <c r="E629"/>
      <c r="F629"/>
      <c r="G629"/>
      <c r="H629"/>
    </row>
    <row r="630" spans="2:8" x14ac:dyDescent="0.25">
      <c r="B630"/>
      <c r="C630"/>
      <c r="D630"/>
      <c r="E630"/>
      <c r="F630"/>
      <c r="G630"/>
      <c r="H630"/>
    </row>
    <row r="631" spans="2:8" x14ac:dyDescent="0.25">
      <c r="B631"/>
      <c r="C631"/>
      <c r="D631"/>
      <c r="E631"/>
      <c r="F631"/>
      <c r="G631"/>
      <c r="H631"/>
    </row>
    <row r="632" spans="2:8" x14ac:dyDescent="0.25">
      <c r="B632"/>
      <c r="C632"/>
      <c r="D632"/>
      <c r="E632"/>
      <c r="F632"/>
      <c r="G632"/>
      <c r="H632"/>
    </row>
    <row r="633" spans="2:8" x14ac:dyDescent="0.25">
      <c r="B633"/>
      <c r="C633"/>
      <c r="D633"/>
      <c r="E633"/>
      <c r="F633"/>
      <c r="G633"/>
      <c r="H633"/>
    </row>
    <row r="634" spans="2:8" x14ac:dyDescent="0.25">
      <c r="B634"/>
      <c r="C634"/>
      <c r="D634"/>
      <c r="E634"/>
      <c r="F634"/>
      <c r="G634"/>
      <c r="H634"/>
    </row>
    <row r="635" spans="2:8" x14ac:dyDescent="0.25">
      <c r="B635"/>
      <c r="C635"/>
      <c r="D635"/>
      <c r="E635"/>
      <c r="F635"/>
      <c r="G635"/>
      <c r="H635"/>
    </row>
    <row r="636" spans="2:8" x14ac:dyDescent="0.25">
      <c r="B636"/>
      <c r="C636"/>
      <c r="D636"/>
      <c r="E636"/>
      <c r="F636"/>
      <c r="G636"/>
      <c r="H636"/>
    </row>
    <row r="637" spans="2:8" x14ac:dyDescent="0.25">
      <c r="B637"/>
      <c r="C637"/>
      <c r="D637"/>
      <c r="E637"/>
      <c r="F637"/>
      <c r="G637"/>
      <c r="H637"/>
    </row>
    <row r="638" spans="2:8" x14ac:dyDescent="0.25">
      <c r="B638"/>
      <c r="C638"/>
      <c r="D638"/>
      <c r="E638"/>
      <c r="F638"/>
      <c r="G638"/>
      <c r="H638"/>
    </row>
    <row r="639" spans="2:8" x14ac:dyDescent="0.25">
      <c r="B639"/>
      <c r="C639"/>
      <c r="D639"/>
      <c r="E639"/>
      <c r="F639"/>
      <c r="G639"/>
      <c r="H639"/>
    </row>
    <row r="640" spans="2:8" x14ac:dyDescent="0.25">
      <c r="B640"/>
      <c r="C640"/>
      <c r="D640"/>
      <c r="E640"/>
      <c r="F640"/>
      <c r="G640"/>
      <c r="H640"/>
    </row>
    <row r="641" spans="2:8" x14ac:dyDescent="0.25">
      <c r="B641"/>
      <c r="C641"/>
      <c r="D641"/>
      <c r="E641"/>
      <c r="F641"/>
      <c r="G641"/>
      <c r="H641"/>
    </row>
    <row r="642" spans="2:8" x14ac:dyDescent="0.25">
      <c r="B642"/>
      <c r="C642"/>
      <c r="D642"/>
      <c r="E642"/>
      <c r="F642"/>
      <c r="G642"/>
      <c r="H642"/>
    </row>
    <row r="643" spans="2:8" x14ac:dyDescent="0.25">
      <c r="B643"/>
      <c r="C643"/>
      <c r="D643"/>
      <c r="E643"/>
      <c r="F643"/>
      <c r="G643"/>
      <c r="H643"/>
    </row>
    <row r="644" spans="2:8" x14ac:dyDescent="0.25">
      <c r="B644"/>
      <c r="C644"/>
      <c r="D644"/>
      <c r="E644"/>
      <c r="F644"/>
      <c r="G644"/>
      <c r="H644"/>
    </row>
    <row r="645" spans="2:8" x14ac:dyDescent="0.25">
      <c r="B645"/>
      <c r="C645"/>
      <c r="D645"/>
      <c r="E645"/>
      <c r="F645"/>
      <c r="G645"/>
      <c r="H645"/>
    </row>
    <row r="646" spans="2:8" x14ac:dyDescent="0.25">
      <c r="B646"/>
      <c r="C646"/>
      <c r="D646"/>
      <c r="E646"/>
      <c r="F646"/>
      <c r="G646"/>
      <c r="H646"/>
    </row>
    <row r="647" spans="2:8" x14ac:dyDescent="0.25">
      <c r="B647"/>
      <c r="C647"/>
      <c r="D647"/>
      <c r="E647"/>
      <c r="F647"/>
      <c r="G647"/>
      <c r="H647"/>
    </row>
    <row r="648" spans="2:8" x14ac:dyDescent="0.25">
      <c r="B648"/>
      <c r="C648"/>
      <c r="D648"/>
      <c r="E648"/>
      <c r="F648"/>
      <c r="G648"/>
      <c r="H648"/>
    </row>
    <row r="649" spans="2:8" x14ac:dyDescent="0.25">
      <c r="B649"/>
      <c r="C649"/>
      <c r="D649"/>
      <c r="E649"/>
      <c r="F649"/>
      <c r="G649"/>
      <c r="H649"/>
    </row>
    <row r="650" spans="2:8" x14ac:dyDescent="0.25">
      <c r="B650"/>
      <c r="C650"/>
      <c r="D650"/>
      <c r="E650"/>
      <c r="F650"/>
      <c r="G650"/>
      <c r="H650"/>
    </row>
    <row r="651" spans="2:8" x14ac:dyDescent="0.25">
      <c r="B651"/>
      <c r="C651"/>
      <c r="D651"/>
      <c r="E651"/>
      <c r="F651"/>
      <c r="G651"/>
      <c r="H651"/>
    </row>
    <row r="652" spans="2:8" x14ac:dyDescent="0.25">
      <c r="B652"/>
      <c r="C652"/>
      <c r="D652"/>
      <c r="E652"/>
      <c r="F652"/>
      <c r="G652"/>
      <c r="H652"/>
    </row>
    <row r="653" spans="2:8" x14ac:dyDescent="0.25">
      <c r="B653"/>
      <c r="C653"/>
      <c r="D653"/>
      <c r="E653"/>
      <c r="F653"/>
      <c r="G653"/>
      <c r="H653"/>
    </row>
    <row r="654" spans="2:8" x14ac:dyDescent="0.25">
      <c r="B654"/>
      <c r="C654"/>
      <c r="D654"/>
      <c r="E654"/>
      <c r="F654"/>
      <c r="G654"/>
      <c r="H654"/>
    </row>
    <row r="655" spans="2:8" x14ac:dyDescent="0.25">
      <c r="B655"/>
      <c r="C655"/>
      <c r="D655"/>
      <c r="E655"/>
      <c r="F655"/>
      <c r="G655"/>
      <c r="H655"/>
    </row>
    <row r="656" spans="2:8" x14ac:dyDescent="0.25">
      <c r="B656"/>
      <c r="C656"/>
      <c r="D656"/>
      <c r="E656"/>
      <c r="F656"/>
      <c r="G656"/>
      <c r="H656"/>
    </row>
    <row r="657" spans="2:8" x14ac:dyDescent="0.25">
      <c r="B657"/>
      <c r="C657"/>
      <c r="D657"/>
      <c r="E657"/>
      <c r="F657"/>
      <c r="G657"/>
      <c r="H657"/>
    </row>
    <row r="658" spans="2:8" x14ac:dyDescent="0.25">
      <c r="B658"/>
      <c r="C658"/>
      <c r="D658"/>
      <c r="E658"/>
      <c r="F658"/>
      <c r="G658"/>
      <c r="H658"/>
    </row>
    <row r="659" spans="2:8" x14ac:dyDescent="0.25">
      <c r="B659"/>
      <c r="C659"/>
      <c r="D659"/>
      <c r="E659"/>
      <c r="F659"/>
      <c r="G659"/>
      <c r="H659"/>
    </row>
    <row r="660" spans="2:8" x14ac:dyDescent="0.25">
      <c r="B660"/>
      <c r="C660"/>
      <c r="D660"/>
      <c r="E660"/>
      <c r="F660"/>
      <c r="G660"/>
      <c r="H660"/>
    </row>
    <row r="661" spans="2:8" x14ac:dyDescent="0.25">
      <c r="B661"/>
      <c r="C661"/>
      <c r="D661"/>
      <c r="E661"/>
      <c r="F661"/>
      <c r="G661"/>
      <c r="H661"/>
    </row>
    <row r="662" spans="2:8" x14ac:dyDescent="0.25">
      <c r="B662"/>
      <c r="C662"/>
      <c r="D662"/>
      <c r="E662"/>
      <c r="F662"/>
      <c r="G662"/>
      <c r="H662"/>
    </row>
    <row r="663" spans="2:8" x14ac:dyDescent="0.25">
      <c r="B663"/>
      <c r="C663"/>
      <c r="D663"/>
      <c r="E663"/>
      <c r="F663"/>
      <c r="G663"/>
      <c r="H663"/>
    </row>
    <row r="664" spans="2:8" x14ac:dyDescent="0.25">
      <c r="B664"/>
      <c r="C664"/>
      <c r="D664"/>
      <c r="E664"/>
      <c r="F664"/>
      <c r="G664"/>
      <c r="H664"/>
    </row>
    <row r="665" spans="2:8" x14ac:dyDescent="0.25">
      <c r="B665"/>
      <c r="C665"/>
      <c r="D665"/>
      <c r="E665"/>
      <c r="F665"/>
      <c r="G665"/>
      <c r="H665"/>
    </row>
    <row r="666" spans="2:8" x14ac:dyDescent="0.25">
      <c r="B666"/>
      <c r="C666"/>
      <c r="D666"/>
      <c r="E666"/>
      <c r="F666"/>
      <c r="G666"/>
      <c r="H666"/>
    </row>
    <row r="667" spans="2:8" x14ac:dyDescent="0.25">
      <c r="B667"/>
      <c r="C667"/>
      <c r="D667"/>
      <c r="E667"/>
      <c r="F667"/>
      <c r="G667"/>
      <c r="H667"/>
    </row>
    <row r="668" spans="2:8" x14ac:dyDescent="0.25">
      <c r="B668"/>
      <c r="C668"/>
      <c r="D668"/>
      <c r="E668"/>
      <c r="F668"/>
      <c r="G668"/>
      <c r="H668"/>
    </row>
    <row r="669" spans="2:8" x14ac:dyDescent="0.25">
      <c r="B669"/>
      <c r="C669"/>
      <c r="D669"/>
      <c r="E669"/>
      <c r="F669"/>
      <c r="G669"/>
      <c r="H669"/>
    </row>
    <row r="670" spans="2:8" x14ac:dyDescent="0.25">
      <c r="B670"/>
      <c r="C670"/>
      <c r="D670"/>
      <c r="E670"/>
      <c r="F670"/>
      <c r="G670"/>
      <c r="H670"/>
    </row>
    <row r="671" spans="2:8" x14ac:dyDescent="0.25">
      <c r="B671"/>
      <c r="C671"/>
      <c r="D671"/>
      <c r="E671"/>
      <c r="F671"/>
      <c r="G671"/>
      <c r="H671"/>
    </row>
    <row r="672" spans="2:8" x14ac:dyDescent="0.25">
      <c r="B672"/>
      <c r="C672"/>
      <c r="D672"/>
      <c r="E672"/>
      <c r="F672"/>
      <c r="G672"/>
      <c r="H672"/>
    </row>
    <row r="673" spans="2:8" x14ac:dyDescent="0.25">
      <c r="B673"/>
      <c r="C673"/>
      <c r="D673"/>
      <c r="E673"/>
      <c r="F673"/>
      <c r="G673"/>
      <c r="H673"/>
    </row>
    <row r="674" spans="2:8" x14ac:dyDescent="0.25">
      <c r="B674"/>
      <c r="C674"/>
      <c r="D674"/>
      <c r="E674"/>
      <c r="F674"/>
      <c r="G674"/>
      <c r="H674"/>
    </row>
    <row r="675" spans="2:8" x14ac:dyDescent="0.25">
      <c r="B675"/>
      <c r="C675"/>
      <c r="D675"/>
      <c r="E675"/>
      <c r="F675"/>
      <c r="G675"/>
      <c r="H675"/>
    </row>
    <row r="676" spans="2:8" x14ac:dyDescent="0.25">
      <c r="B676"/>
      <c r="C676"/>
      <c r="D676"/>
      <c r="E676"/>
      <c r="F676"/>
      <c r="G676"/>
      <c r="H676"/>
    </row>
    <row r="677" spans="2:8" x14ac:dyDescent="0.25">
      <c r="B677"/>
      <c r="C677"/>
      <c r="D677"/>
      <c r="E677"/>
      <c r="F677"/>
      <c r="G677"/>
      <c r="H677"/>
    </row>
    <row r="678" spans="2:8" x14ac:dyDescent="0.25">
      <c r="B678"/>
      <c r="C678"/>
      <c r="D678"/>
      <c r="E678"/>
      <c r="F678"/>
      <c r="G678"/>
      <c r="H678"/>
    </row>
    <row r="679" spans="2:8" x14ac:dyDescent="0.25">
      <c r="B679"/>
      <c r="C679"/>
      <c r="D679"/>
      <c r="E679"/>
      <c r="F679"/>
      <c r="G679"/>
      <c r="H679"/>
    </row>
    <row r="680" spans="2:8" x14ac:dyDescent="0.25">
      <c r="B680"/>
      <c r="C680"/>
      <c r="D680"/>
      <c r="E680"/>
      <c r="F680"/>
      <c r="G680"/>
      <c r="H680"/>
    </row>
    <row r="681" spans="2:8" x14ac:dyDescent="0.25">
      <c r="B681"/>
      <c r="C681"/>
      <c r="D681"/>
      <c r="E681"/>
      <c r="F681"/>
      <c r="G681"/>
      <c r="H681"/>
    </row>
    <row r="682" spans="2:8" x14ac:dyDescent="0.25">
      <c r="B682"/>
      <c r="C682"/>
      <c r="D682"/>
      <c r="E682"/>
      <c r="F682"/>
      <c r="G682"/>
      <c r="H682"/>
    </row>
    <row r="683" spans="2:8" x14ac:dyDescent="0.25">
      <c r="B683"/>
      <c r="C683"/>
      <c r="D683"/>
      <c r="E683"/>
      <c r="F683"/>
      <c r="G683"/>
      <c r="H683"/>
    </row>
    <row r="684" spans="2:8" x14ac:dyDescent="0.25">
      <c r="B684"/>
      <c r="C684"/>
      <c r="D684"/>
      <c r="E684"/>
      <c r="F684"/>
      <c r="G684"/>
      <c r="H684"/>
    </row>
    <row r="685" spans="2:8" x14ac:dyDescent="0.25">
      <c r="B685"/>
      <c r="C685"/>
      <c r="D685"/>
      <c r="E685"/>
      <c r="F685"/>
      <c r="G685"/>
      <c r="H685"/>
    </row>
    <row r="686" spans="2:8" x14ac:dyDescent="0.25">
      <c r="B686"/>
      <c r="C686"/>
      <c r="D686"/>
      <c r="E686"/>
      <c r="F686"/>
      <c r="G686"/>
      <c r="H686"/>
    </row>
    <row r="687" spans="2:8" x14ac:dyDescent="0.25">
      <c r="B687"/>
      <c r="C687"/>
      <c r="D687"/>
      <c r="E687"/>
      <c r="F687"/>
      <c r="G687"/>
      <c r="H687"/>
    </row>
    <row r="688" spans="2:8" x14ac:dyDescent="0.25">
      <c r="B688"/>
      <c r="C688"/>
      <c r="D688"/>
      <c r="E688"/>
      <c r="F688"/>
      <c r="G688"/>
      <c r="H688"/>
    </row>
    <row r="689" spans="2:8" x14ac:dyDescent="0.25">
      <c r="B689"/>
      <c r="C689"/>
      <c r="D689"/>
      <c r="E689"/>
      <c r="F689"/>
      <c r="G689"/>
      <c r="H689"/>
    </row>
    <row r="690" spans="2:8" x14ac:dyDescent="0.25">
      <c r="B690"/>
      <c r="C690"/>
      <c r="D690"/>
      <c r="E690"/>
      <c r="F690"/>
      <c r="G690"/>
      <c r="H690"/>
    </row>
    <row r="691" spans="2:8" x14ac:dyDescent="0.25">
      <c r="B691"/>
      <c r="C691"/>
      <c r="D691"/>
      <c r="E691"/>
      <c r="F691"/>
      <c r="G691"/>
      <c r="H691"/>
    </row>
    <row r="692" spans="2:8" x14ac:dyDescent="0.25">
      <c r="B692"/>
      <c r="C692"/>
      <c r="D692"/>
      <c r="E692"/>
      <c r="F692"/>
      <c r="G692"/>
      <c r="H692"/>
    </row>
    <row r="693" spans="2:8" x14ac:dyDescent="0.25">
      <c r="B693"/>
      <c r="C693"/>
      <c r="D693"/>
      <c r="E693"/>
      <c r="F693"/>
      <c r="G693"/>
      <c r="H693"/>
    </row>
    <row r="694" spans="2:8" x14ac:dyDescent="0.25">
      <c r="B694"/>
      <c r="C694"/>
      <c r="D694"/>
      <c r="E694"/>
      <c r="F694"/>
      <c r="G694"/>
      <c r="H694"/>
    </row>
    <row r="695" spans="2:8" x14ac:dyDescent="0.25">
      <c r="B695"/>
      <c r="C695"/>
      <c r="D695"/>
      <c r="E695"/>
      <c r="F695"/>
      <c r="G695"/>
      <c r="H695"/>
    </row>
    <row r="696" spans="2:8" x14ac:dyDescent="0.25">
      <c r="B696"/>
      <c r="C696"/>
      <c r="D696"/>
      <c r="E696"/>
      <c r="F696"/>
      <c r="G696"/>
      <c r="H696"/>
    </row>
    <row r="697" spans="2:8" x14ac:dyDescent="0.25">
      <c r="B697"/>
      <c r="C697"/>
      <c r="D697"/>
      <c r="E697"/>
      <c r="F697"/>
      <c r="G697"/>
      <c r="H697"/>
    </row>
    <row r="698" spans="2:8" x14ac:dyDescent="0.25">
      <c r="B698"/>
      <c r="C698"/>
      <c r="D698"/>
      <c r="E698"/>
      <c r="F698"/>
      <c r="G698"/>
      <c r="H698"/>
    </row>
    <row r="699" spans="2:8" x14ac:dyDescent="0.25">
      <c r="B699"/>
      <c r="C699"/>
      <c r="D699"/>
      <c r="E699"/>
      <c r="F699"/>
      <c r="G699"/>
      <c r="H699"/>
    </row>
    <row r="700" spans="2:8" x14ac:dyDescent="0.25">
      <c r="B700"/>
      <c r="C700"/>
      <c r="D700"/>
      <c r="E700"/>
      <c r="F700"/>
      <c r="G700"/>
      <c r="H700"/>
    </row>
    <row r="701" spans="2:8" x14ac:dyDescent="0.25">
      <c r="B701"/>
      <c r="C701"/>
      <c r="D701"/>
      <c r="E701"/>
      <c r="F701"/>
      <c r="G701"/>
      <c r="H701"/>
    </row>
    <row r="702" spans="2:8" x14ac:dyDescent="0.25">
      <c r="B702"/>
      <c r="C702"/>
      <c r="D702"/>
      <c r="E702"/>
      <c r="F702"/>
      <c r="G702"/>
      <c r="H702"/>
    </row>
    <row r="703" spans="2:8" x14ac:dyDescent="0.25">
      <c r="B703"/>
      <c r="C703"/>
      <c r="D703"/>
      <c r="E703"/>
      <c r="F703"/>
      <c r="G703"/>
      <c r="H703"/>
    </row>
    <row r="704" spans="2:8" x14ac:dyDescent="0.25">
      <c r="B704"/>
      <c r="C704"/>
      <c r="D704"/>
      <c r="E704"/>
      <c r="F704"/>
      <c r="G704"/>
      <c r="H704"/>
    </row>
    <row r="705" spans="2:8" x14ac:dyDescent="0.25">
      <c r="B705"/>
      <c r="C705"/>
      <c r="D705"/>
      <c r="E705"/>
      <c r="F705"/>
      <c r="G705"/>
      <c r="H705"/>
    </row>
    <row r="706" spans="2:8" x14ac:dyDescent="0.25">
      <c r="B706"/>
      <c r="C706"/>
      <c r="D706"/>
      <c r="E706"/>
      <c r="F706"/>
      <c r="G706"/>
      <c r="H706"/>
    </row>
    <row r="707" spans="2:8" x14ac:dyDescent="0.25">
      <c r="B707"/>
      <c r="C707"/>
      <c r="D707"/>
      <c r="E707"/>
      <c r="F707"/>
      <c r="G707"/>
      <c r="H707"/>
    </row>
    <row r="708" spans="2:8" x14ac:dyDescent="0.25">
      <c r="B708"/>
      <c r="C708"/>
      <c r="D708"/>
      <c r="E708"/>
      <c r="F708"/>
      <c r="G708"/>
      <c r="H708"/>
    </row>
    <row r="709" spans="2:8" x14ac:dyDescent="0.25">
      <c r="B709"/>
      <c r="C709"/>
      <c r="D709"/>
      <c r="E709"/>
      <c r="F709"/>
      <c r="G709"/>
      <c r="H709"/>
    </row>
    <row r="710" spans="2:8" x14ac:dyDescent="0.25">
      <c r="B710"/>
      <c r="C710"/>
      <c r="D710"/>
      <c r="E710"/>
      <c r="F710"/>
      <c r="G710"/>
      <c r="H710"/>
    </row>
    <row r="711" spans="2:8" x14ac:dyDescent="0.25">
      <c r="B711"/>
      <c r="C711"/>
      <c r="D711"/>
      <c r="E711"/>
      <c r="F711"/>
      <c r="G711"/>
      <c r="H711"/>
    </row>
    <row r="712" spans="2:8" x14ac:dyDescent="0.25">
      <c r="B712"/>
      <c r="C712"/>
      <c r="D712"/>
      <c r="E712"/>
      <c r="F712"/>
      <c r="G712"/>
      <c r="H712"/>
    </row>
    <row r="713" spans="2:8" x14ac:dyDescent="0.25">
      <c r="B713"/>
      <c r="C713"/>
      <c r="D713"/>
      <c r="E713"/>
      <c r="F713"/>
      <c r="G713"/>
      <c r="H713"/>
    </row>
    <row r="714" spans="2:8" x14ac:dyDescent="0.25">
      <c r="B714"/>
      <c r="C714"/>
      <c r="D714"/>
      <c r="E714"/>
      <c r="F714"/>
      <c r="G714"/>
      <c r="H714"/>
    </row>
    <row r="715" spans="2:8" x14ac:dyDescent="0.25">
      <c r="B715"/>
      <c r="C715"/>
      <c r="D715"/>
      <c r="E715"/>
      <c r="F715"/>
      <c r="G715"/>
      <c r="H715"/>
    </row>
    <row r="716" spans="2:8" x14ac:dyDescent="0.25">
      <c r="B716"/>
      <c r="C716"/>
      <c r="D716"/>
      <c r="E716"/>
      <c r="F716"/>
      <c r="G716"/>
      <c r="H716"/>
    </row>
    <row r="717" spans="2:8" x14ac:dyDescent="0.25">
      <c r="B717"/>
      <c r="C717"/>
      <c r="D717"/>
      <c r="E717"/>
      <c r="F717"/>
      <c r="G717"/>
      <c r="H717"/>
    </row>
    <row r="718" spans="2:8" x14ac:dyDescent="0.25">
      <c r="B718"/>
      <c r="C718"/>
      <c r="D718"/>
      <c r="E718"/>
      <c r="F718"/>
      <c r="G718"/>
      <c r="H718"/>
    </row>
    <row r="719" spans="2:8" x14ac:dyDescent="0.25">
      <c r="B719"/>
      <c r="C719"/>
      <c r="D719"/>
      <c r="E719"/>
      <c r="F719"/>
      <c r="G719"/>
      <c r="H719"/>
    </row>
    <row r="720" spans="2:8" x14ac:dyDescent="0.25">
      <c r="B720"/>
      <c r="C720"/>
      <c r="D720"/>
      <c r="E720"/>
      <c r="F720"/>
      <c r="G720"/>
      <c r="H720"/>
    </row>
    <row r="721" spans="2:8" x14ac:dyDescent="0.25">
      <c r="B721"/>
      <c r="C721"/>
      <c r="D721"/>
      <c r="E721"/>
      <c r="F721"/>
      <c r="G721"/>
      <c r="H721"/>
    </row>
    <row r="722" spans="2:8" x14ac:dyDescent="0.25">
      <c r="B722"/>
      <c r="C722"/>
      <c r="D722"/>
      <c r="E722"/>
      <c r="F722"/>
      <c r="G722"/>
      <c r="H722"/>
    </row>
    <row r="723" spans="2:8" x14ac:dyDescent="0.25">
      <c r="B723"/>
      <c r="C723"/>
      <c r="D723"/>
      <c r="E723"/>
      <c r="F723"/>
      <c r="G723"/>
      <c r="H723"/>
    </row>
    <row r="724" spans="2:8" x14ac:dyDescent="0.25">
      <c r="B724"/>
      <c r="C724"/>
      <c r="D724"/>
      <c r="E724"/>
      <c r="F724"/>
      <c r="G724"/>
      <c r="H724"/>
    </row>
    <row r="725" spans="2:8" x14ac:dyDescent="0.25">
      <c r="B725"/>
      <c r="C725"/>
      <c r="D725"/>
      <c r="E725"/>
      <c r="F725"/>
      <c r="G725"/>
      <c r="H725"/>
    </row>
    <row r="726" spans="2:8" x14ac:dyDescent="0.25">
      <c r="B726"/>
      <c r="C726"/>
      <c r="D726"/>
      <c r="E726"/>
      <c r="F726"/>
      <c r="G726"/>
      <c r="H726"/>
    </row>
    <row r="727" spans="2:8" x14ac:dyDescent="0.25">
      <c r="B727"/>
      <c r="C727"/>
      <c r="D727"/>
      <c r="E727"/>
      <c r="F727"/>
      <c r="G727"/>
      <c r="H727"/>
    </row>
    <row r="728" spans="2:8" x14ac:dyDescent="0.25">
      <c r="B728"/>
      <c r="C728"/>
      <c r="D728"/>
      <c r="E728"/>
      <c r="F728"/>
      <c r="G728"/>
      <c r="H728"/>
    </row>
    <row r="729" spans="2:8" x14ac:dyDescent="0.25">
      <c r="B729"/>
      <c r="C729"/>
      <c r="D729"/>
      <c r="E729"/>
      <c r="F729"/>
      <c r="G729"/>
      <c r="H729"/>
    </row>
    <row r="730" spans="2:8" x14ac:dyDescent="0.25">
      <c r="B730"/>
      <c r="C730"/>
      <c r="D730"/>
      <c r="E730"/>
      <c r="F730"/>
      <c r="G730"/>
      <c r="H730"/>
    </row>
    <row r="731" spans="2:8" x14ac:dyDescent="0.25">
      <c r="B731"/>
      <c r="C731"/>
      <c r="D731"/>
      <c r="E731"/>
      <c r="F731"/>
      <c r="G731"/>
      <c r="H731"/>
    </row>
    <row r="732" spans="2:8" x14ac:dyDescent="0.25">
      <c r="B732"/>
      <c r="C732"/>
      <c r="D732"/>
      <c r="E732"/>
      <c r="F732"/>
      <c r="G732"/>
      <c r="H732"/>
    </row>
    <row r="733" spans="2:8" x14ac:dyDescent="0.25">
      <c r="B733"/>
      <c r="C733"/>
      <c r="D733"/>
      <c r="E733"/>
      <c r="F733"/>
      <c r="G733"/>
      <c r="H733"/>
    </row>
    <row r="734" spans="2:8" x14ac:dyDescent="0.25">
      <c r="B734"/>
      <c r="C734"/>
      <c r="D734"/>
      <c r="E734"/>
      <c r="F734"/>
      <c r="G734"/>
      <c r="H734"/>
    </row>
    <row r="735" spans="2:8" x14ac:dyDescent="0.25">
      <c r="B735"/>
      <c r="C735"/>
      <c r="D735"/>
      <c r="E735"/>
      <c r="F735"/>
      <c r="G735"/>
      <c r="H735"/>
    </row>
    <row r="736" spans="2:8" x14ac:dyDescent="0.25">
      <c r="B736"/>
      <c r="C736"/>
      <c r="D736"/>
      <c r="E736"/>
      <c r="F736"/>
      <c r="G736"/>
      <c r="H736"/>
    </row>
    <row r="737" spans="2:8" x14ac:dyDescent="0.25">
      <c r="B737"/>
      <c r="C737"/>
      <c r="D737"/>
      <c r="E737"/>
      <c r="F737"/>
      <c r="G737"/>
      <c r="H737"/>
    </row>
    <row r="738" spans="2:8" x14ac:dyDescent="0.25">
      <c r="B738"/>
      <c r="C738"/>
      <c r="D738"/>
      <c r="E738"/>
      <c r="F738"/>
      <c r="G738"/>
      <c r="H738"/>
    </row>
    <row r="739" spans="2:8" x14ac:dyDescent="0.25">
      <c r="B739"/>
      <c r="C739"/>
      <c r="D739"/>
      <c r="E739"/>
      <c r="F739"/>
      <c r="G739"/>
      <c r="H739"/>
    </row>
    <row r="740" spans="2:8" x14ac:dyDescent="0.25">
      <c r="B740"/>
      <c r="C740"/>
      <c r="D740"/>
      <c r="E740"/>
      <c r="F740"/>
      <c r="G740"/>
      <c r="H740"/>
    </row>
    <row r="741" spans="2:8" x14ac:dyDescent="0.25">
      <c r="B741"/>
      <c r="C741"/>
      <c r="D741"/>
      <c r="E741"/>
      <c r="F741"/>
      <c r="G741"/>
      <c r="H741"/>
    </row>
    <row r="742" spans="2:8" x14ac:dyDescent="0.25">
      <c r="B742"/>
      <c r="C742"/>
      <c r="D742"/>
      <c r="E742"/>
      <c r="F742"/>
      <c r="G742"/>
      <c r="H742"/>
    </row>
    <row r="743" spans="2:8" x14ac:dyDescent="0.25">
      <c r="B743"/>
      <c r="C743"/>
      <c r="D743"/>
      <c r="E743"/>
      <c r="F743"/>
      <c r="G743"/>
      <c r="H743"/>
    </row>
    <row r="744" spans="2:8" x14ac:dyDescent="0.25">
      <c r="B744"/>
      <c r="C744"/>
      <c r="D744"/>
      <c r="E744"/>
      <c r="F744"/>
      <c r="G744"/>
      <c r="H744"/>
    </row>
    <row r="745" spans="2:8" x14ac:dyDescent="0.25">
      <c r="B745"/>
      <c r="C745"/>
      <c r="D745"/>
      <c r="E745"/>
      <c r="F745"/>
      <c r="G745"/>
      <c r="H745"/>
    </row>
    <row r="746" spans="2:8" x14ac:dyDescent="0.25">
      <c r="B746"/>
      <c r="C746"/>
      <c r="D746"/>
      <c r="E746"/>
      <c r="F746"/>
      <c r="G746"/>
      <c r="H746"/>
    </row>
    <row r="747" spans="2:8" x14ac:dyDescent="0.25">
      <c r="B747"/>
      <c r="C747"/>
      <c r="D747"/>
      <c r="E747"/>
      <c r="F747"/>
      <c r="G747"/>
      <c r="H747"/>
    </row>
    <row r="748" spans="2:8" x14ac:dyDescent="0.25">
      <c r="B748"/>
      <c r="C748"/>
      <c r="D748"/>
      <c r="E748"/>
      <c r="F748"/>
      <c r="G748"/>
      <c r="H748"/>
    </row>
    <row r="749" spans="2:8" x14ac:dyDescent="0.25">
      <c r="B749"/>
      <c r="C749"/>
      <c r="D749"/>
      <c r="E749"/>
      <c r="F749"/>
      <c r="G749"/>
      <c r="H749"/>
    </row>
    <row r="750" spans="2:8" x14ac:dyDescent="0.25">
      <c r="B750"/>
      <c r="C750"/>
      <c r="D750"/>
      <c r="E750"/>
      <c r="F750"/>
      <c r="G750"/>
      <c r="H750"/>
    </row>
    <row r="751" spans="2:8" x14ac:dyDescent="0.25">
      <c r="B751"/>
      <c r="C751"/>
      <c r="D751"/>
      <c r="E751"/>
      <c r="F751"/>
      <c r="G751"/>
      <c r="H751"/>
    </row>
    <row r="752" spans="2:8" x14ac:dyDescent="0.25">
      <c r="B752"/>
      <c r="C752"/>
      <c r="D752"/>
      <c r="E752"/>
      <c r="F752"/>
      <c r="G752"/>
      <c r="H752"/>
    </row>
    <row r="753" spans="2:8" x14ac:dyDescent="0.25">
      <c r="B753"/>
      <c r="C753"/>
      <c r="D753"/>
      <c r="E753"/>
      <c r="F753"/>
      <c r="G753"/>
      <c r="H753"/>
    </row>
    <row r="754" spans="2:8" x14ac:dyDescent="0.25">
      <c r="B754"/>
      <c r="C754"/>
      <c r="D754"/>
      <c r="E754"/>
      <c r="F754"/>
      <c r="G754"/>
      <c r="H754"/>
    </row>
    <row r="755" spans="2:8" x14ac:dyDescent="0.25">
      <c r="B755"/>
      <c r="C755"/>
      <c r="D755"/>
      <c r="E755"/>
      <c r="F755"/>
      <c r="G755"/>
      <c r="H755"/>
    </row>
    <row r="756" spans="2:8" x14ac:dyDescent="0.25">
      <c r="B756"/>
      <c r="C756"/>
      <c r="D756"/>
      <c r="E756"/>
      <c r="F756"/>
      <c r="G756"/>
      <c r="H756"/>
    </row>
    <row r="757" spans="2:8" x14ac:dyDescent="0.25">
      <c r="B757"/>
      <c r="C757"/>
      <c r="D757"/>
      <c r="E757"/>
      <c r="F757"/>
      <c r="G757"/>
      <c r="H757"/>
    </row>
    <row r="758" spans="2:8" x14ac:dyDescent="0.25">
      <c r="B758"/>
      <c r="C758"/>
      <c r="D758"/>
      <c r="E758"/>
      <c r="F758"/>
      <c r="G758"/>
      <c r="H758"/>
    </row>
    <row r="759" spans="2:8" x14ac:dyDescent="0.25">
      <c r="B759"/>
      <c r="C759"/>
      <c r="D759"/>
      <c r="E759"/>
      <c r="F759"/>
      <c r="G759"/>
      <c r="H759"/>
    </row>
    <row r="760" spans="2:8" x14ac:dyDescent="0.25">
      <c r="B760"/>
      <c r="C760"/>
      <c r="D760"/>
      <c r="E760"/>
      <c r="F760"/>
      <c r="G760"/>
      <c r="H760"/>
    </row>
    <row r="761" spans="2:8" x14ac:dyDescent="0.25">
      <c r="B761"/>
      <c r="C761"/>
      <c r="D761"/>
      <c r="E761"/>
      <c r="F761"/>
      <c r="G761"/>
      <c r="H761"/>
    </row>
    <row r="762" spans="2:8" x14ac:dyDescent="0.25">
      <c r="B762"/>
      <c r="C762"/>
      <c r="D762"/>
      <c r="E762"/>
      <c r="F762"/>
      <c r="G762"/>
      <c r="H762"/>
    </row>
    <row r="763" spans="2:8" x14ac:dyDescent="0.25">
      <c r="B763"/>
      <c r="C763"/>
      <c r="D763"/>
      <c r="E763"/>
      <c r="F763"/>
      <c r="G763"/>
      <c r="H763"/>
    </row>
    <row r="764" spans="2:8" x14ac:dyDescent="0.25">
      <c r="B764"/>
      <c r="C764"/>
      <c r="D764"/>
      <c r="E764"/>
      <c r="F764"/>
      <c r="G764"/>
      <c r="H764"/>
    </row>
    <row r="765" spans="2:8" x14ac:dyDescent="0.25">
      <c r="B765"/>
      <c r="C765"/>
      <c r="D765"/>
      <c r="E765"/>
      <c r="F765"/>
      <c r="G765"/>
      <c r="H765"/>
    </row>
    <row r="766" spans="2:8" x14ac:dyDescent="0.25">
      <c r="B766"/>
      <c r="C766"/>
      <c r="D766"/>
      <c r="E766"/>
      <c r="F766"/>
      <c r="G766"/>
      <c r="H766"/>
    </row>
    <row r="767" spans="2:8" x14ac:dyDescent="0.25">
      <c r="B767"/>
      <c r="C767"/>
      <c r="D767"/>
      <c r="E767"/>
      <c r="F767"/>
      <c r="G767"/>
      <c r="H767"/>
    </row>
    <row r="768" spans="2:8" x14ac:dyDescent="0.25">
      <c r="B768"/>
      <c r="C768"/>
      <c r="D768"/>
      <c r="E768"/>
      <c r="F768"/>
      <c r="G768"/>
      <c r="H768"/>
    </row>
    <row r="769" spans="2:8" x14ac:dyDescent="0.25">
      <c r="B769"/>
      <c r="C769"/>
      <c r="D769"/>
      <c r="E769"/>
      <c r="F769"/>
      <c r="G769"/>
      <c r="H769"/>
    </row>
    <row r="770" spans="2:8" x14ac:dyDescent="0.25">
      <c r="B770"/>
      <c r="C770"/>
      <c r="D770"/>
      <c r="E770"/>
      <c r="F770"/>
      <c r="G770"/>
      <c r="H770"/>
    </row>
    <row r="771" spans="2:8" x14ac:dyDescent="0.25">
      <c r="B771"/>
      <c r="C771"/>
      <c r="D771"/>
      <c r="E771"/>
      <c r="F771"/>
      <c r="G771"/>
      <c r="H771"/>
    </row>
    <row r="772" spans="2:8" x14ac:dyDescent="0.25">
      <c r="B772"/>
      <c r="C772"/>
      <c r="D772"/>
      <c r="E772"/>
      <c r="F772"/>
      <c r="G772"/>
      <c r="H772"/>
    </row>
    <row r="773" spans="2:8" x14ac:dyDescent="0.25">
      <c r="B773"/>
      <c r="C773"/>
      <c r="D773"/>
      <c r="E773"/>
      <c r="F773"/>
      <c r="G773"/>
      <c r="H773"/>
    </row>
    <row r="774" spans="2:8" x14ac:dyDescent="0.25">
      <c r="B774"/>
      <c r="C774"/>
      <c r="D774"/>
      <c r="E774"/>
      <c r="F774"/>
      <c r="G774"/>
      <c r="H774"/>
    </row>
    <row r="775" spans="2:8" x14ac:dyDescent="0.25">
      <c r="B775"/>
      <c r="C775"/>
      <c r="D775"/>
      <c r="E775"/>
      <c r="F775"/>
      <c r="G775"/>
      <c r="H775"/>
    </row>
    <row r="776" spans="2:8" x14ac:dyDescent="0.25">
      <c r="B776"/>
      <c r="C776"/>
      <c r="D776"/>
      <c r="E776"/>
      <c r="F776"/>
      <c r="G776"/>
      <c r="H776"/>
    </row>
    <row r="777" spans="2:8" x14ac:dyDescent="0.25">
      <c r="B777"/>
      <c r="C777"/>
      <c r="D777"/>
      <c r="E777"/>
      <c r="F777"/>
      <c r="G777"/>
      <c r="H777"/>
    </row>
    <row r="778" spans="2:8" x14ac:dyDescent="0.25">
      <c r="B778"/>
      <c r="C778"/>
      <c r="D778"/>
      <c r="E778"/>
      <c r="F778"/>
      <c r="G778"/>
      <c r="H778"/>
    </row>
    <row r="779" spans="2:8" x14ac:dyDescent="0.25">
      <c r="B779"/>
      <c r="C779"/>
      <c r="D779"/>
      <c r="E779"/>
      <c r="F779"/>
      <c r="G779"/>
      <c r="H779"/>
    </row>
    <row r="780" spans="2:8" x14ac:dyDescent="0.25">
      <c r="B780"/>
      <c r="C780"/>
      <c r="D780"/>
      <c r="E780"/>
      <c r="F780"/>
      <c r="G780"/>
      <c r="H780"/>
    </row>
    <row r="781" spans="2:8" x14ac:dyDescent="0.25">
      <c r="B781"/>
      <c r="C781"/>
      <c r="D781"/>
      <c r="E781"/>
      <c r="F781"/>
      <c r="G781"/>
      <c r="H781"/>
    </row>
    <row r="782" spans="2:8" x14ac:dyDescent="0.25">
      <c r="B782"/>
      <c r="C782"/>
      <c r="D782"/>
      <c r="E782"/>
      <c r="F782"/>
      <c r="G782"/>
      <c r="H782"/>
    </row>
    <row r="783" spans="2:8" x14ac:dyDescent="0.25">
      <c r="B783"/>
      <c r="C783"/>
      <c r="D783"/>
      <c r="E783"/>
      <c r="F783"/>
      <c r="G783"/>
      <c r="H783"/>
    </row>
    <row r="784" spans="2:8" x14ac:dyDescent="0.25">
      <c r="B784"/>
      <c r="C784"/>
      <c r="D784"/>
      <c r="E784"/>
      <c r="F784"/>
      <c r="G784"/>
      <c r="H784"/>
    </row>
    <row r="785" spans="2:8" x14ac:dyDescent="0.25">
      <c r="B785"/>
      <c r="C785"/>
      <c r="D785"/>
      <c r="E785"/>
      <c r="F785"/>
      <c r="G785"/>
      <c r="H785"/>
    </row>
    <row r="786" spans="2:8" x14ac:dyDescent="0.25">
      <c r="B786"/>
      <c r="C786"/>
      <c r="D786"/>
      <c r="E786"/>
      <c r="F786"/>
      <c r="G786"/>
      <c r="H786"/>
    </row>
    <row r="787" spans="2:8" x14ac:dyDescent="0.25">
      <c r="B787"/>
      <c r="C787"/>
      <c r="D787"/>
      <c r="E787"/>
      <c r="F787"/>
      <c r="G787"/>
      <c r="H787"/>
    </row>
    <row r="788" spans="2:8" x14ac:dyDescent="0.25">
      <c r="B788"/>
      <c r="C788"/>
      <c r="D788"/>
      <c r="E788"/>
      <c r="F788"/>
      <c r="G788"/>
      <c r="H788"/>
    </row>
    <row r="789" spans="2:8" x14ac:dyDescent="0.25">
      <c r="B789"/>
      <c r="C789"/>
      <c r="D789"/>
      <c r="E789"/>
      <c r="F789"/>
      <c r="G789"/>
      <c r="H789"/>
    </row>
    <row r="790" spans="2:8" x14ac:dyDescent="0.25">
      <c r="B790"/>
      <c r="C790"/>
      <c r="D790"/>
      <c r="E790"/>
      <c r="F790"/>
      <c r="G790"/>
      <c r="H790"/>
    </row>
    <row r="791" spans="2:8" x14ac:dyDescent="0.25">
      <c r="B791"/>
      <c r="C791"/>
      <c r="D791"/>
      <c r="E791"/>
      <c r="F791"/>
      <c r="G791"/>
      <c r="H791"/>
    </row>
    <row r="792" spans="2:8" x14ac:dyDescent="0.25">
      <c r="B792"/>
      <c r="C792"/>
      <c r="D792"/>
      <c r="E792"/>
      <c r="F792"/>
      <c r="G792"/>
      <c r="H792"/>
    </row>
    <row r="793" spans="2:8" x14ac:dyDescent="0.25">
      <c r="B793"/>
      <c r="C793"/>
      <c r="D793"/>
      <c r="E793"/>
      <c r="F793"/>
      <c r="G793"/>
      <c r="H793"/>
    </row>
    <row r="794" spans="2:8" x14ac:dyDescent="0.25">
      <c r="B794"/>
      <c r="C794"/>
      <c r="D794"/>
      <c r="E794"/>
      <c r="F794"/>
      <c r="G794"/>
      <c r="H794"/>
    </row>
    <row r="795" spans="2:8" x14ac:dyDescent="0.25">
      <c r="B795"/>
      <c r="C795"/>
      <c r="D795"/>
      <c r="E795"/>
      <c r="F795"/>
      <c r="G795"/>
      <c r="H795"/>
    </row>
    <row r="796" spans="2:8" x14ac:dyDescent="0.25">
      <c r="B796"/>
      <c r="C796"/>
      <c r="D796"/>
      <c r="E796"/>
      <c r="F796"/>
      <c r="G796"/>
      <c r="H796"/>
    </row>
    <row r="797" spans="2:8" x14ac:dyDescent="0.25">
      <c r="B797"/>
      <c r="C797"/>
      <c r="D797"/>
      <c r="E797"/>
      <c r="F797"/>
      <c r="G797"/>
      <c r="H797"/>
    </row>
    <row r="798" spans="2:8" x14ac:dyDescent="0.25">
      <c r="B798"/>
      <c r="C798"/>
      <c r="D798"/>
      <c r="E798"/>
      <c r="F798"/>
      <c r="G798"/>
      <c r="H798"/>
    </row>
    <row r="799" spans="2:8" x14ac:dyDescent="0.25">
      <c r="B799"/>
      <c r="C799"/>
      <c r="D799"/>
      <c r="E799"/>
      <c r="F799"/>
      <c r="G799"/>
      <c r="H799"/>
    </row>
    <row r="800" spans="2:8" x14ac:dyDescent="0.25">
      <c r="B800"/>
      <c r="C800"/>
      <c r="D800"/>
      <c r="E800"/>
      <c r="F800"/>
      <c r="G800"/>
      <c r="H800"/>
    </row>
    <row r="801" spans="2:8" x14ac:dyDescent="0.25">
      <c r="B801"/>
      <c r="C801"/>
      <c r="D801"/>
      <c r="E801"/>
      <c r="F801"/>
      <c r="G801"/>
      <c r="H801"/>
    </row>
    <row r="802" spans="2:8" x14ac:dyDescent="0.25">
      <c r="B802"/>
      <c r="C802"/>
      <c r="D802"/>
      <c r="E802"/>
      <c r="F802"/>
      <c r="G802"/>
      <c r="H802"/>
    </row>
    <row r="803" spans="2:8" x14ac:dyDescent="0.25">
      <c r="B803"/>
      <c r="C803"/>
      <c r="D803"/>
      <c r="E803"/>
      <c r="F803"/>
      <c r="G803"/>
      <c r="H803"/>
    </row>
    <row r="804" spans="2:8" x14ac:dyDescent="0.25">
      <c r="B804"/>
      <c r="C804"/>
      <c r="D804"/>
      <c r="E804"/>
      <c r="F804"/>
      <c r="G804"/>
      <c r="H804"/>
    </row>
    <row r="805" spans="2:8" x14ac:dyDescent="0.25">
      <c r="B805"/>
      <c r="C805"/>
      <c r="D805"/>
      <c r="E805"/>
      <c r="F805"/>
      <c r="G805"/>
      <c r="H805"/>
    </row>
    <row r="806" spans="2:8" x14ac:dyDescent="0.25">
      <c r="B806"/>
      <c r="C806"/>
      <c r="D806"/>
      <c r="E806"/>
      <c r="F806"/>
      <c r="G806"/>
      <c r="H806"/>
    </row>
    <row r="807" spans="2:8" x14ac:dyDescent="0.25">
      <c r="B807"/>
      <c r="C807"/>
      <c r="D807"/>
      <c r="E807"/>
      <c r="F807"/>
      <c r="G807"/>
      <c r="H807"/>
    </row>
    <row r="808" spans="2:8" x14ac:dyDescent="0.25">
      <c r="B808"/>
      <c r="C808"/>
      <c r="D808"/>
      <c r="E808"/>
      <c r="F808"/>
      <c r="G808"/>
      <c r="H808"/>
    </row>
    <row r="809" spans="2:8" x14ac:dyDescent="0.25">
      <c r="B809"/>
      <c r="C809"/>
      <c r="D809"/>
      <c r="E809"/>
      <c r="F809"/>
      <c r="G809"/>
      <c r="H809"/>
    </row>
    <row r="810" spans="2:8" x14ac:dyDescent="0.25">
      <c r="B810"/>
      <c r="C810"/>
      <c r="D810"/>
      <c r="E810"/>
      <c r="F810"/>
      <c r="G810"/>
      <c r="H810"/>
    </row>
    <row r="811" spans="2:8" x14ac:dyDescent="0.25">
      <c r="B811"/>
      <c r="C811"/>
      <c r="D811"/>
      <c r="E811"/>
      <c r="F811"/>
      <c r="G811"/>
      <c r="H811"/>
    </row>
    <row r="812" spans="2:8" x14ac:dyDescent="0.25">
      <c r="B812"/>
      <c r="C812"/>
      <c r="D812"/>
      <c r="E812"/>
      <c r="F812"/>
      <c r="G812"/>
      <c r="H812"/>
    </row>
    <row r="813" spans="2:8" x14ac:dyDescent="0.25">
      <c r="B813"/>
      <c r="C813"/>
      <c r="D813"/>
      <c r="E813"/>
      <c r="F813"/>
      <c r="G813"/>
      <c r="H813"/>
    </row>
    <row r="814" spans="2:8" x14ac:dyDescent="0.25">
      <c r="B814"/>
      <c r="C814"/>
      <c r="D814"/>
      <c r="E814"/>
      <c r="F814"/>
      <c r="G814"/>
      <c r="H814"/>
    </row>
    <row r="815" spans="2:8" x14ac:dyDescent="0.25">
      <c r="B815"/>
      <c r="C815"/>
      <c r="D815"/>
      <c r="E815"/>
      <c r="F815"/>
      <c r="G815"/>
      <c r="H815"/>
    </row>
    <row r="816" spans="2:8" x14ac:dyDescent="0.25">
      <c r="B816"/>
      <c r="C816"/>
      <c r="D816"/>
      <c r="E816"/>
      <c r="F816"/>
      <c r="G816"/>
      <c r="H816"/>
    </row>
    <row r="817" spans="2:8" x14ac:dyDescent="0.25">
      <c r="B817"/>
      <c r="C817"/>
      <c r="D817"/>
      <c r="E817"/>
      <c r="F817"/>
      <c r="G817"/>
      <c r="H817"/>
    </row>
    <row r="818" spans="2:8" x14ac:dyDescent="0.25">
      <c r="B818"/>
      <c r="C818"/>
      <c r="D818"/>
      <c r="E818"/>
      <c r="F818"/>
      <c r="G818"/>
      <c r="H818"/>
    </row>
    <row r="819" spans="2:8" x14ac:dyDescent="0.25">
      <c r="B819"/>
      <c r="C819"/>
      <c r="D819"/>
      <c r="E819"/>
      <c r="F819"/>
      <c r="G819"/>
      <c r="H819"/>
    </row>
    <row r="820" spans="2:8" x14ac:dyDescent="0.25">
      <c r="B820"/>
      <c r="C820"/>
      <c r="D820"/>
      <c r="E820"/>
      <c r="F820"/>
      <c r="G820"/>
      <c r="H820"/>
    </row>
    <row r="821" spans="2:8" x14ac:dyDescent="0.25">
      <c r="B821"/>
      <c r="C821"/>
      <c r="D821"/>
      <c r="E821"/>
      <c r="F821"/>
      <c r="G821"/>
      <c r="H821"/>
    </row>
    <row r="822" spans="2:8" x14ac:dyDescent="0.25">
      <c r="B822"/>
      <c r="C822"/>
      <c r="D822"/>
      <c r="E822"/>
      <c r="F822"/>
      <c r="G822"/>
      <c r="H822"/>
    </row>
    <row r="823" spans="2:8" x14ac:dyDescent="0.25">
      <c r="B823"/>
      <c r="C823"/>
      <c r="D823"/>
      <c r="E823"/>
      <c r="F823"/>
      <c r="G823"/>
      <c r="H823"/>
    </row>
    <row r="824" spans="2:8" x14ac:dyDescent="0.25">
      <c r="B824"/>
      <c r="C824"/>
      <c r="D824"/>
      <c r="E824"/>
      <c r="F824"/>
      <c r="G824"/>
      <c r="H824"/>
    </row>
    <row r="825" spans="2:8" x14ac:dyDescent="0.25">
      <c r="B825"/>
      <c r="C825"/>
      <c r="D825"/>
      <c r="E825"/>
      <c r="F825"/>
      <c r="G825"/>
      <c r="H825"/>
    </row>
    <row r="826" spans="2:8" x14ac:dyDescent="0.25">
      <c r="B826"/>
      <c r="C826"/>
      <c r="D826"/>
      <c r="E826"/>
      <c r="F826"/>
      <c r="G826"/>
      <c r="H826"/>
    </row>
    <row r="827" spans="2:8" x14ac:dyDescent="0.25">
      <c r="B827"/>
      <c r="C827"/>
      <c r="D827"/>
      <c r="E827"/>
      <c r="F827"/>
      <c r="G827"/>
      <c r="H827"/>
    </row>
    <row r="828" spans="2:8" x14ac:dyDescent="0.25">
      <c r="B828"/>
      <c r="C828"/>
      <c r="D828"/>
      <c r="E828"/>
      <c r="F828"/>
      <c r="G828"/>
      <c r="H828"/>
    </row>
    <row r="829" spans="2:8" x14ac:dyDescent="0.25">
      <c r="B829"/>
      <c r="C829"/>
      <c r="D829"/>
      <c r="E829"/>
      <c r="F829"/>
      <c r="G829"/>
      <c r="H829"/>
    </row>
    <row r="830" spans="2:8" x14ac:dyDescent="0.25">
      <c r="B830"/>
      <c r="C830"/>
      <c r="D830"/>
      <c r="E830"/>
      <c r="F830"/>
      <c r="G830"/>
      <c r="H830"/>
    </row>
    <row r="831" spans="2:8" x14ac:dyDescent="0.25">
      <c r="B831"/>
      <c r="C831"/>
      <c r="D831"/>
      <c r="E831"/>
      <c r="F831"/>
      <c r="G831"/>
      <c r="H831"/>
    </row>
    <row r="832" spans="2:8" x14ac:dyDescent="0.25">
      <c r="B832"/>
      <c r="C832"/>
      <c r="D832"/>
      <c r="E832"/>
      <c r="F832"/>
      <c r="G832"/>
      <c r="H832"/>
    </row>
    <row r="833" spans="2:8" x14ac:dyDescent="0.25">
      <c r="B833"/>
      <c r="C833"/>
      <c r="D833"/>
      <c r="E833"/>
      <c r="F833"/>
      <c r="G833"/>
      <c r="H833"/>
    </row>
    <row r="834" spans="2:8" x14ac:dyDescent="0.25">
      <c r="B834"/>
      <c r="C834"/>
      <c r="D834"/>
      <c r="E834"/>
      <c r="F834"/>
      <c r="G834"/>
      <c r="H834"/>
    </row>
    <row r="835" spans="2:8" x14ac:dyDescent="0.25">
      <c r="B835"/>
      <c r="C835"/>
      <c r="D835"/>
      <c r="E835"/>
      <c r="F835"/>
      <c r="G835"/>
      <c r="H835"/>
    </row>
    <row r="836" spans="2:8" x14ac:dyDescent="0.25">
      <c r="B836"/>
      <c r="C836"/>
      <c r="D836"/>
      <c r="E836"/>
      <c r="F836"/>
      <c r="G836"/>
      <c r="H836"/>
    </row>
    <row r="837" spans="2:8" x14ac:dyDescent="0.25">
      <c r="B837"/>
      <c r="C837"/>
      <c r="D837"/>
      <c r="E837"/>
      <c r="F837"/>
      <c r="G837"/>
      <c r="H837"/>
    </row>
    <row r="838" spans="2:8" x14ac:dyDescent="0.25">
      <c r="B838"/>
      <c r="C838"/>
      <c r="D838"/>
      <c r="E838"/>
      <c r="F838"/>
      <c r="G838"/>
      <c r="H838"/>
    </row>
    <row r="839" spans="2:8" x14ac:dyDescent="0.25">
      <c r="B839"/>
      <c r="C839"/>
      <c r="D839"/>
      <c r="E839"/>
      <c r="F839"/>
      <c r="G839"/>
      <c r="H839"/>
    </row>
    <row r="840" spans="2:8" x14ac:dyDescent="0.25">
      <c r="B840"/>
      <c r="C840"/>
      <c r="D840"/>
      <c r="E840"/>
      <c r="F840"/>
      <c r="G840"/>
      <c r="H840"/>
    </row>
    <row r="841" spans="2:8" x14ac:dyDescent="0.25">
      <c r="B841"/>
      <c r="C841"/>
      <c r="D841"/>
      <c r="E841"/>
      <c r="F841"/>
      <c r="G841"/>
      <c r="H841"/>
    </row>
    <row r="842" spans="2:8" x14ac:dyDescent="0.25">
      <c r="B842"/>
      <c r="C842"/>
      <c r="D842"/>
      <c r="E842"/>
      <c r="F842"/>
      <c r="G842"/>
      <c r="H842"/>
    </row>
    <row r="843" spans="2:8" x14ac:dyDescent="0.25">
      <c r="B843"/>
      <c r="C843"/>
      <c r="D843"/>
      <c r="E843"/>
      <c r="F843"/>
      <c r="G843"/>
      <c r="H843"/>
    </row>
    <row r="844" spans="2:8" x14ac:dyDescent="0.25">
      <c r="B844"/>
      <c r="C844"/>
      <c r="D844"/>
      <c r="E844"/>
      <c r="F844"/>
      <c r="G844"/>
      <c r="H844"/>
    </row>
    <row r="845" spans="2:8" x14ac:dyDescent="0.25">
      <c r="B845"/>
      <c r="C845"/>
      <c r="D845"/>
      <c r="E845"/>
      <c r="F845"/>
      <c r="G845"/>
      <c r="H845"/>
    </row>
    <row r="846" spans="2:8" x14ac:dyDescent="0.25">
      <c r="B846"/>
      <c r="C846"/>
      <c r="D846"/>
      <c r="E846"/>
      <c r="F846"/>
      <c r="G846"/>
      <c r="H846"/>
    </row>
    <row r="847" spans="2:8" x14ac:dyDescent="0.25">
      <c r="B847"/>
      <c r="C847"/>
      <c r="D847"/>
      <c r="E847"/>
      <c r="F847"/>
      <c r="G847"/>
      <c r="H847"/>
    </row>
    <row r="848" spans="2:8" x14ac:dyDescent="0.25">
      <c r="B848"/>
      <c r="C848"/>
      <c r="D848"/>
      <c r="E848"/>
      <c r="F848"/>
      <c r="G848"/>
      <c r="H848"/>
    </row>
    <row r="849" spans="2:8" x14ac:dyDescent="0.25">
      <c r="B849"/>
      <c r="C849"/>
      <c r="D849"/>
      <c r="E849"/>
      <c r="F849"/>
      <c r="G849"/>
      <c r="H849"/>
    </row>
    <row r="850" spans="2:8" x14ac:dyDescent="0.25">
      <c r="B850"/>
      <c r="C850"/>
      <c r="D850"/>
      <c r="E850"/>
      <c r="F850"/>
      <c r="G850"/>
      <c r="H850"/>
    </row>
    <row r="851" spans="2:8" x14ac:dyDescent="0.25">
      <c r="B851"/>
      <c r="C851"/>
      <c r="D851"/>
      <c r="E851"/>
      <c r="F851"/>
      <c r="G851"/>
      <c r="H851"/>
    </row>
    <row r="852" spans="2:8" x14ac:dyDescent="0.25">
      <c r="B852"/>
      <c r="C852"/>
      <c r="D852"/>
      <c r="E852"/>
      <c r="F852"/>
      <c r="G852"/>
      <c r="H852"/>
    </row>
    <row r="853" spans="2:8" x14ac:dyDescent="0.25">
      <c r="B853"/>
      <c r="C853"/>
      <c r="D853"/>
      <c r="E853"/>
      <c r="F853"/>
      <c r="G853"/>
      <c r="H853"/>
    </row>
    <row r="854" spans="2:8" x14ac:dyDescent="0.25">
      <c r="B854"/>
      <c r="C854"/>
      <c r="D854"/>
      <c r="E854"/>
      <c r="F854"/>
      <c r="G854"/>
      <c r="H854"/>
    </row>
    <row r="855" spans="2:8" x14ac:dyDescent="0.25">
      <c r="B855"/>
      <c r="C855"/>
      <c r="D855"/>
      <c r="E855"/>
      <c r="F855"/>
      <c r="G855"/>
      <c r="H855"/>
    </row>
    <row r="856" spans="2:8" x14ac:dyDescent="0.25">
      <c r="B856"/>
      <c r="C856"/>
      <c r="D856"/>
      <c r="E856"/>
      <c r="F856"/>
      <c r="G856"/>
      <c r="H856"/>
    </row>
    <row r="857" spans="2:8" x14ac:dyDescent="0.25">
      <c r="B857"/>
      <c r="C857"/>
      <c r="D857"/>
      <c r="E857"/>
      <c r="F857"/>
      <c r="G857"/>
      <c r="H857"/>
    </row>
    <row r="858" spans="2:8" x14ac:dyDescent="0.25">
      <c r="B858"/>
      <c r="C858"/>
      <c r="D858"/>
      <c r="E858"/>
      <c r="F858"/>
      <c r="G858"/>
      <c r="H858"/>
    </row>
    <row r="859" spans="2:8" x14ac:dyDescent="0.25">
      <c r="B859"/>
      <c r="C859"/>
      <c r="D859"/>
      <c r="E859"/>
      <c r="F859"/>
      <c r="G859"/>
      <c r="H859"/>
    </row>
    <row r="860" spans="2:8" x14ac:dyDescent="0.25">
      <c r="B860"/>
      <c r="C860"/>
      <c r="D860"/>
      <c r="E860"/>
      <c r="F860"/>
      <c r="G860"/>
      <c r="H860"/>
    </row>
    <row r="861" spans="2:8" x14ac:dyDescent="0.25">
      <c r="B861"/>
      <c r="C861"/>
      <c r="D861"/>
      <c r="E861"/>
      <c r="F861"/>
      <c r="G861"/>
      <c r="H861"/>
    </row>
    <row r="862" spans="2:8" x14ac:dyDescent="0.25">
      <c r="B862"/>
      <c r="C862"/>
      <c r="D862"/>
      <c r="E862"/>
      <c r="F862"/>
      <c r="G862"/>
      <c r="H862"/>
    </row>
    <row r="863" spans="2:8" x14ac:dyDescent="0.25">
      <c r="B863"/>
      <c r="C863"/>
      <c r="D863"/>
      <c r="E863"/>
      <c r="F863"/>
      <c r="G863"/>
      <c r="H863"/>
    </row>
    <row r="864" spans="2:8" x14ac:dyDescent="0.25">
      <c r="B864"/>
      <c r="C864"/>
      <c r="D864"/>
      <c r="E864"/>
      <c r="F864"/>
      <c r="G864"/>
      <c r="H864"/>
    </row>
    <row r="865" spans="2:8" x14ac:dyDescent="0.25">
      <c r="B865"/>
      <c r="C865"/>
      <c r="D865"/>
      <c r="E865"/>
      <c r="F865"/>
      <c r="G865"/>
      <c r="H865"/>
    </row>
    <row r="866" spans="2:8" x14ac:dyDescent="0.25">
      <c r="B866"/>
      <c r="C866"/>
      <c r="D866"/>
      <c r="E866"/>
      <c r="F866"/>
      <c r="G866"/>
      <c r="H866"/>
    </row>
    <row r="867" spans="2:8" x14ac:dyDescent="0.25">
      <c r="B867"/>
      <c r="C867"/>
      <c r="D867"/>
      <c r="E867"/>
      <c r="F867"/>
      <c r="G867"/>
      <c r="H867"/>
    </row>
    <row r="868" spans="2:8" x14ac:dyDescent="0.25">
      <c r="B868"/>
      <c r="C868"/>
      <c r="D868"/>
      <c r="E868"/>
      <c r="F868"/>
      <c r="G868"/>
      <c r="H868"/>
    </row>
    <row r="869" spans="2:8" x14ac:dyDescent="0.25">
      <c r="B869"/>
      <c r="C869"/>
      <c r="D869"/>
      <c r="E869"/>
      <c r="F869"/>
      <c r="G869"/>
      <c r="H869"/>
    </row>
    <row r="870" spans="2:8" x14ac:dyDescent="0.25">
      <c r="B870"/>
      <c r="C870"/>
      <c r="D870"/>
      <c r="E870"/>
      <c r="F870"/>
      <c r="G870"/>
      <c r="H870"/>
    </row>
    <row r="871" spans="2:8" x14ac:dyDescent="0.25">
      <c r="B871"/>
      <c r="C871"/>
      <c r="D871"/>
      <c r="E871"/>
      <c r="F871"/>
      <c r="G871"/>
      <c r="H871"/>
    </row>
    <row r="872" spans="2:8" x14ac:dyDescent="0.25">
      <c r="B872"/>
      <c r="C872"/>
      <c r="D872"/>
      <c r="E872"/>
      <c r="F872"/>
      <c r="G872"/>
      <c r="H872"/>
    </row>
    <row r="873" spans="2:8" x14ac:dyDescent="0.25">
      <c r="B873"/>
      <c r="C873"/>
      <c r="D873"/>
      <c r="E873"/>
      <c r="F873"/>
      <c r="G873"/>
      <c r="H873"/>
    </row>
    <row r="874" spans="2:8" x14ac:dyDescent="0.25">
      <c r="B874"/>
      <c r="C874"/>
      <c r="D874"/>
      <c r="E874"/>
      <c r="F874"/>
      <c r="G874"/>
      <c r="H874"/>
    </row>
    <row r="875" spans="2:8" x14ac:dyDescent="0.25">
      <c r="B875"/>
      <c r="C875"/>
      <c r="D875"/>
      <c r="E875"/>
      <c r="F875"/>
      <c r="G875"/>
      <c r="H875"/>
    </row>
    <row r="876" spans="2:8" x14ac:dyDescent="0.25">
      <c r="B876"/>
      <c r="C876"/>
      <c r="D876"/>
      <c r="E876"/>
      <c r="F876"/>
      <c r="G876"/>
      <c r="H876"/>
    </row>
    <row r="877" spans="2:8" x14ac:dyDescent="0.25">
      <c r="B877"/>
      <c r="C877"/>
      <c r="D877"/>
      <c r="E877"/>
      <c r="F877"/>
      <c r="G877"/>
      <c r="H877"/>
    </row>
    <row r="878" spans="2:8" x14ac:dyDescent="0.25">
      <c r="B878"/>
      <c r="C878"/>
      <c r="D878"/>
      <c r="E878"/>
      <c r="F878"/>
      <c r="G878"/>
      <c r="H878"/>
    </row>
    <row r="879" spans="2:8" x14ac:dyDescent="0.25">
      <c r="B879"/>
      <c r="C879"/>
      <c r="D879"/>
      <c r="E879"/>
      <c r="F879"/>
      <c r="G879"/>
      <c r="H879"/>
    </row>
    <row r="880" spans="2:8" x14ac:dyDescent="0.25">
      <c r="B880"/>
      <c r="C880"/>
      <c r="D880"/>
      <c r="E880"/>
      <c r="F880"/>
      <c r="G880"/>
      <c r="H880"/>
    </row>
    <row r="881" spans="2:8" x14ac:dyDescent="0.25">
      <c r="B881"/>
      <c r="C881"/>
      <c r="D881"/>
      <c r="E881"/>
      <c r="F881"/>
      <c r="G881"/>
      <c r="H881"/>
    </row>
    <row r="882" spans="2:8" x14ac:dyDescent="0.25">
      <c r="B882"/>
      <c r="C882"/>
      <c r="D882"/>
      <c r="E882"/>
      <c r="F882"/>
      <c r="G882"/>
      <c r="H882"/>
    </row>
    <row r="883" spans="2:8" x14ac:dyDescent="0.25">
      <c r="B883"/>
      <c r="C883"/>
      <c r="D883"/>
      <c r="E883"/>
      <c r="F883"/>
      <c r="G883"/>
      <c r="H883"/>
    </row>
    <row r="884" spans="2:8" x14ac:dyDescent="0.25">
      <c r="B884"/>
      <c r="C884"/>
      <c r="D884"/>
      <c r="E884"/>
      <c r="F884"/>
      <c r="G884"/>
      <c r="H884"/>
    </row>
    <row r="885" spans="2:8" x14ac:dyDescent="0.25">
      <c r="B885"/>
      <c r="C885"/>
      <c r="D885"/>
      <c r="E885"/>
      <c r="F885"/>
      <c r="G885"/>
      <c r="H885"/>
    </row>
    <row r="886" spans="2:8" x14ac:dyDescent="0.25">
      <c r="B886"/>
      <c r="C886"/>
      <c r="D886"/>
      <c r="E886"/>
      <c r="F886"/>
      <c r="G886"/>
      <c r="H886"/>
    </row>
    <row r="887" spans="2:8" x14ac:dyDescent="0.25">
      <c r="B887"/>
      <c r="C887"/>
      <c r="D887"/>
      <c r="E887"/>
      <c r="F887"/>
      <c r="G887"/>
      <c r="H887"/>
    </row>
    <row r="888" spans="2:8" x14ac:dyDescent="0.25">
      <c r="B888"/>
      <c r="C888"/>
      <c r="D888"/>
      <c r="E888"/>
      <c r="F888"/>
      <c r="G888"/>
      <c r="H888"/>
    </row>
    <row r="889" spans="2:8" x14ac:dyDescent="0.25">
      <c r="B889"/>
      <c r="C889"/>
      <c r="D889"/>
      <c r="E889"/>
      <c r="F889"/>
      <c r="G889"/>
      <c r="H889"/>
    </row>
    <row r="890" spans="2:8" x14ac:dyDescent="0.25">
      <c r="B890"/>
      <c r="C890"/>
      <c r="D890"/>
      <c r="E890"/>
      <c r="F890"/>
      <c r="G890"/>
      <c r="H890"/>
    </row>
    <row r="891" spans="2:8" x14ac:dyDescent="0.25">
      <c r="B891"/>
      <c r="C891"/>
      <c r="D891"/>
      <c r="E891"/>
      <c r="F891"/>
      <c r="G891"/>
      <c r="H891"/>
    </row>
    <row r="892" spans="2:8" x14ac:dyDescent="0.25">
      <c r="B892"/>
      <c r="C892"/>
      <c r="D892"/>
      <c r="E892"/>
      <c r="F892"/>
      <c r="G892"/>
      <c r="H892"/>
    </row>
    <row r="893" spans="2:8" x14ac:dyDescent="0.25">
      <c r="B893"/>
      <c r="C893"/>
      <c r="D893"/>
      <c r="E893"/>
      <c r="F893"/>
      <c r="G893"/>
      <c r="H893"/>
    </row>
    <row r="894" spans="2:8" x14ac:dyDescent="0.25">
      <c r="B894"/>
      <c r="C894"/>
      <c r="D894"/>
      <c r="E894"/>
      <c r="F894"/>
      <c r="G894"/>
      <c r="H894"/>
    </row>
    <row r="895" spans="2:8" x14ac:dyDescent="0.25">
      <c r="B895"/>
      <c r="C895"/>
      <c r="D895"/>
      <c r="E895"/>
      <c r="F895"/>
      <c r="G895"/>
      <c r="H895"/>
    </row>
    <row r="896" spans="2:8" x14ac:dyDescent="0.25">
      <c r="B896"/>
      <c r="C896"/>
      <c r="D896"/>
      <c r="E896"/>
      <c r="F896"/>
      <c r="G896"/>
      <c r="H896"/>
    </row>
    <row r="897" spans="2:8" x14ac:dyDescent="0.25">
      <c r="B897"/>
      <c r="C897"/>
      <c r="D897"/>
      <c r="E897"/>
      <c r="F897"/>
      <c r="G897"/>
      <c r="H897"/>
    </row>
    <row r="898" spans="2:8" x14ac:dyDescent="0.25">
      <c r="B898"/>
      <c r="C898"/>
      <c r="D898"/>
      <c r="E898"/>
      <c r="F898"/>
      <c r="G898"/>
      <c r="H898"/>
    </row>
    <row r="899" spans="2:8" x14ac:dyDescent="0.25">
      <c r="B899"/>
      <c r="C899"/>
      <c r="D899"/>
      <c r="E899"/>
      <c r="F899"/>
      <c r="G899"/>
      <c r="H899"/>
    </row>
    <row r="900" spans="2:8" x14ac:dyDescent="0.25">
      <c r="B900"/>
      <c r="C900"/>
      <c r="D900"/>
      <c r="E900"/>
      <c r="F900"/>
      <c r="G900"/>
      <c r="H900"/>
    </row>
    <row r="901" spans="2:8" x14ac:dyDescent="0.25">
      <c r="B901"/>
      <c r="C901"/>
      <c r="D901"/>
      <c r="E901"/>
      <c r="F901"/>
      <c r="G901"/>
      <c r="H901"/>
    </row>
    <row r="902" spans="2:8" x14ac:dyDescent="0.25">
      <c r="B902"/>
      <c r="C902"/>
      <c r="D902"/>
      <c r="E902"/>
      <c r="F902"/>
      <c r="G902"/>
      <c r="H902"/>
    </row>
    <row r="903" spans="2:8" x14ac:dyDescent="0.25">
      <c r="B903"/>
      <c r="C903"/>
      <c r="D903"/>
      <c r="E903"/>
      <c r="F903"/>
      <c r="G903"/>
      <c r="H903"/>
    </row>
    <row r="904" spans="2:8" x14ac:dyDescent="0.25">
      <c r="B904"/>
      <c r="C904"/>
      <c r="D904"/>
      <c r="E904"/>
      <c r="F904"/>
      <c r="G904"/>
      <c r="H904"/>
    </row>
    <row r="905" spans="2:8" x14ac:dyDescent="0.25">
      <c r="B905"/>
      <c r="C905"/>
      <c r="D905"/>
      <c r="E905"/>
      <c r="F905"/>
      <c r="G905"/>
      <c r="H905"/>
    </row>
    <row r="906" spans="2:8" x14ac:dyDescent="0.25">
      <c r="B906"/>
      <c r="C906"/>
      <c r="D906"/>
      <c r="E906"/>
      <c r="F906"/>
      <c r="G906"/>
      <c r="H906"/>
    </row>
    <row r="907" spans="2:8" x14ac:dyDescent="0.25">
      <c r="B907"/>
      <c r="C907"/>
      <c r="D907"/>
      <c r="E907"/>
      <c r="F907"/>
      <c r="G907"/>
      <c r="H907"/>
    </row>
    <row r="908" spans="2:8" x14ac:dyDescent="0.25">
      <c r="B908"/>
      <c r="C908"/>
      <c r="D908"/>
      <c r="E908"/>
      <c r="F908"/>
      <c r="G908"/>
      <c r="H908"/>
    </row>
    <row r="909" spans="2:8" x14ac:dyDescent="0.25">
      <c r="B909"/>
      <c r="C909"/>
      <c r="D909"/>
      <c r="E909"/>
      <c r="F909"/>
      <c r="G909"/>
      <c r="H909"/>
    </row>
    <row r="910" spans="2:8" x14ac:dyDescent="0.25">
      <c r="B910"/>
      <c r="C910"/>
      <c r="D910"/>
      <c r="E910"/>
      <c r="F910"/>
      <c r="G910"/>
      <c r="H910"/>
    </row>
    <row r="911" spans="2:8" x14ac:dyDescent="0.25">
      <c r="B911"/>
      <c r="C911"/>
      <c r="D911"/>
      <c r="E911"/>
      <c r="F911"/>
      <c r="G911"/>
      <c r="H911"/>
    </row>
    <row r="912" spans="2:8" x14ac:dyDescent="0.25">
      <c r="B912"/>
      <c r="C912"/>
      <c r="D912"/>
      <c r="E912"/>
      <c r="F912"/>
      <c r="G912"/>
      <c r="H912"/>
    </row>
    <row r="913" spans="2:8" x14ac:dyDescent="0.25">
      <c r="B913"/>
      <c r="C913"/>
      <c r="D913"/>
      <c r="E913"/>
      <c r="F913"/>
      <c r="G913"/>
      <c r="H913"/>
    </row>
    <row r="914" spans="2:8" x14ac:dyDescent="0.25">
      <c r="B914"/>
      <c r="C914"/>
      <c r="D914"/>
      <c r="E914"/>
      <c r="F914"/>
      <c r="G914"/>
      <c r="H914"/>
    </row>
    <row r="915" spans="2:8" x14ac:dyDescent="0.25">
      <c r="B915"/>
      <c r="C915"/>
      <c r="D915"/>
      <c r="E915"/>
      <c r="F915"/>
      <c r="G915"/>
      <c r="H915"/>
    </row>
    <row r="916" spans="2:8" x14ac:dyDescent="0.25">
      <c r="B916"/>
      <c r="C916"/>
      <c r="D916"/>
      <c r="E916"/>
      <c r="F916"/>
      <c r="G916"/>
      <c r="H916"/>
    </row>
    <row r="917" spans="2:8" x14ac:dyDescent="0.25">
      <c r="B917"/>
      <c r="C917"/>
      <c r="D917"/>
      <c r="E917"/>
      <c r="F917"/>
      <c r="G917"/>
      <c r="H917"/>
    </row>
    <row r="918" spans="2:8" x14ac:dyDescent="0.25">
      <c r="B918"/>
      <c r="C918"/>
      <c r="D918"/>
      <c r="E918"/>
      <c r="F918"/>
      <c r="G918"/>
      <c r="H918"/>
    </row>
    <row r="919" spans="2:8" x14ac:dyDescent="0.25">
      <c r="B919"/>
      <c r="C919"/>
      <c r="D919"/>
      <c r="E919"/>
      <c r="F919"/>
      <c r="G919"/>
      <c r="H919"/>
    </row>
    <row r="920" spans="2:8" x14ac:dyDescent="0.25">
      <c r="B920"/>
      <c r="C920"/>
      <c r="D920"/>
      <c r="E920"/>
      <c r="F920"/>
      <c r="G920"/>
      <c r="H920"/>
    </row>
    <row r="921" spans="2:8" x14ac:dyDescent="0.25">
      <c r="B921"/>
      <c r="C921"/>
      <c r="D921"/>
      <c r="E921"/>
      <c r="F921"/>
      <c r="G921"/>
      <c r="H921"/>
    </row>
    <row r="922" spans="2:8" x14ac:dyDescent="0.25">
      <c r="B922"/>
      <c r="C922"/>
      <c r="D922"/>
      <c r="E922"/>
      <c r="F922"/>
      <c r="G922"/>
      <c r="H922"/>
    </row>
    <row r="923" spans="2:8" x14ac:dyDescent="0.25">
      <c r="B923"/>
      <c r="C923"/>
      <c r="D923"/>
      <c r="E923"/>
      <c r="F923"/>
      <c r="G923"/>
      <c r="H923"/>
    </row>
    <row r="924" spans="2:8" x14ac:dyDescent="0.25">
      <c r="B924"/>
      <c r="C924"/>
      <c r="D924"/>
      <c r="E924"/>
      <c r="F924"/>
      <c r="G924"/>
      <c r="H924"/>
    </row>
    <row r="925" spans="2:8" x14ac:dyDescent="0.25">
      <c r="B925"/>
      <c r="C925"/>
      <c r="D925"/>
      <c r="E925"/>
      <c r="F925"/>
      <c r="G925"/>
      <c r="H925"/>
    </row>
    <row r="926" spans="2:8" x14ac:dyDescent="0.25">
      <c r="B926"/>
      <c r="C926"/>
      <c r="D926"/>
      <c r="E926"/>
      <c r="F926"/>
      <c r="G926"/>
      <c r="H926"/>
    </row>
    <row r="927" spans="2:8" x14ac:dyDescent="0.25">
      <c r="B927"/>
      <c r="C927"/>
      <c r="D927"/>
      <c r="E927"/>
      <c r="F927"/>
      <c r="G927"/>
      <c r="H927"/>
    </row>
    <row r="928" spans="2:8" x14ac:dyDescent="0.25">
      <c r="B928"/>
      <c r="C928"/>
      <c r="D928"/>
      <c r="E928"/>
      <c r="F928"/>
      <c r="G928"/>
      <c r="H928"/>
    </row>
    <row r="929" spans="2:8" x14ac:dyDescent="0.25">
      <c r="B929"/>
      <c r="C929"/>
      <c r="D929"/>
      <c r="E929"/>
      <c r="F929"/>
      <c r="G929"/>
      <c r="H929"/>
    </row>
    <row r="930" spans="2:8" x14ac:dyDescent="0.25">
      <c r="B930"/>
      <c r="C930"/>
      <c r="D930"/>
      <c r="E930"/>
      <c r="F930"/>
      <c r="G930"/>
      <c r="H930"/>
    </row>
    <row r="931" spans="2:8" x14ac:dyDescent="0.25">
      <c r="B931"/>
      <c r="C931"/>
      <c r="D931"/>
      <c r="E931"/>
      <c r="F931"/>
      <c r="G931"/>
      <c r="H931"/>
    </row>
    <row r="932" spans="2:8" x14ac:dyDescent="0.25">
      <c r="B932"/>
      <c r="C932"/>
      <c r="D932"/>
      <c r="E932"/>
      <c r="F932"/>
      <c r="G932"/>
      <c r="H932"/>
    </row>
    <row r="933" spans="2:8" x14ac:dyDescent="0.25">
      <c r="B933"/>
      <c r="C933"/>
      <c r="D933"/>
      <c r="E933"/>
      <c r="F933"/>
      <c r="G933"/>
      <c r="H933"/>
    </row>
    <row r="934" spans="2:8" x14ac:dyDescent="0.25">
      <c r="B934"/>
      <c r="C934"/>
      <c r="D934"/>
      <c r="E934"/>
      <c r="F934"/>
      <c r="G934"/>
      <c r="H934"/>
    </row>
    <row r="935" spans="2:8" x14ac:dyDescent="0.25">
      <c r="B935"/>
      <c r="C935"/>
      <c r="D935"/>
      <c r="E935"/>
      <c r="F935"/>
      <c r="G935"/>
      <c r="H935"/>
    </row>
    <row r="936" spans="2:8" x14ac:dyDescent="0.25">
      <c r="B936"/>
      <c r="C936"/>
      <c r="D936"/>
      <c r="E936"/>
      <c r="F936"/>
      <c r="G936"/>
      <c r="H936"/>
    </row>
    <row r="937" spans="2:8" x14ac:dyDescent="0.25">
      <c r="B937"/>
      <c r="C937"/>
      <c r="D937"/>
      <c r="E937"/>
      <c r="F937"/>
      <c r="G937"/>
      <c r="H937"/>
    </row>
    <row r="938" spans="2:8" x14ac:dyDescent="0.25">
      <c r="B938"/>
      <c r="C938"/>
      <c r="D938"/>
      <c r="E938"/>
      <c r="F938"/>
      <c r="G938"/>
      <c r="H938"/>
    </row>
    <row r="939" spans="2:8" x14ac:dyDescent="0.25">
      <c r="B939"/>
      <c r="C939"/>
      <c r="D939"/>
      <c r="E939"/>
      <c r="F939"/>
      <c r="G939"/>
      <c r="H939"/>
    </row>
    <row r="940" spans="2:8" x14ac:dyDescent="0.25">
      <c r="B940"/>
      <c r="C940"/>
      <c r="D940"/>
      <c r="E940"/>
      <c r="F940"/>
      <c r="G940"/>
      <c r="H940"/>
    </row>
    <row r="941" spans="2:8" x14ac:dyDescent="0.25">
      <c r="B941"/>
      <c r="C941"/>
      <c r="D941"/>
      <c r="E941"/>
      <c r="F941"/>
      <c r="G941"/>
      <c r="H941"/>
    </row>
    <row r="942" spans="2:8" x14ac:dyDescent="0.25">
      <c r="B942"/>
      <c r="C942"/>
      <c r="D942"/>
      <c r="E942"/>
      <c r="F942"/>
      <c r="G942"/>
      <c r="H942"/>
    </row>
    <row r="943" spans="2:8" x14ac:dyDescent="0.25">
      <c r="B943"/>
      <c r="C943"/>
      <c r="D943"/>
      <c r="E943"/>
      <c r="F943"/>
      <c r="G943"/>
      <c r="H943"/>
    </row>
    <row r="944" spans="2:8" x14ac:dyDescent="0.25">
      <c r="B944"/>
      <c r="C944"/>
      <c r="D944"/>
      <c r="E944"/>
      <c r="F944"/>
      <c r="G944"/>
      <c r="H944"/>
    </row>
    <row r="945" spans="2:8" x14ac:dyDescent="0.25">
      <c r="B945"/>
      <c r="C945"/>
      <c r="D945"/>
      <c r="E945"/>
      <c r="F945"/>
      <c r="G945"/>
      <c r="H945"/>
    </row>
    <row r="946" spans="2:8" x14ac:dyDescent="0.25">
      <c r="B946"/>
      <c r="C946"/>
      <c r="D946"/>
      <c r="E946"/>
      <c r="F946"/>
      <c r="G946"/>
      <c r="H946"/>
    </row>
    <row r="947" spans="2:8" x14ac:dyDescent="0.25">
      <c r="B947"/>
      <c r="C947"/>
      <c r="D947"/>
      <c r="E947"/>
      <c r="F947"/>
      <c r="G947"/>
      <c r="H947"/>
    </row>
    <row r="948" spans="2:8" x14ac:dyDescent="0.25">
      <c r="B948"/>
      <c r="C948"/>
      <c r="D948"/>
      <c r="E948"/>
      <c r="F948"/>
      <c r="G948"/>
      <c r="H948"/>
    </row>
    <row r="949" spans="2:8" x14ac:dyDescent="0.25">
      <c r="B949"/>
      <c r="C949"/>
      <c r="D949"/>
      <c r="E949"/>
      <c r="F949"/>
      <c r="G949"/>
      <c r="H949"/>
    </row>
    <row r="950" spans="2:8" x14ac:dyDescent="0.25">
      <c r="B950"/>
      <c r="C950"/>
      <c r="D950"/>
      <c r="E950"/>
      <c r="F950"/>
      <c r="G950"/>
      <c r="H950"/>
    </row>
    <row r="951" spans="2:8" x14ac:dyDescent="0.25">
      <c r="B951"/>
      <c r="C951"/>
      <c r="D951"/>
      <c r="E951"/>
      <c r="F951"/>
      <c r="G951"/>
      <c r="H951"/>
    </row>
    <row r="952" spans="2:8" x14ac:dyDescent="0.25">
      <c r="B952"/>
      <c r="C952"/>
      <c r="D952"/>
      <c r="E952"/>
      <c r="F952"/>
      <c r="G952"/>
      <c r="H952"/>
    </row>
    <row r="953" spans="2:8" x14ac:dyDescent="0.25">
      <c r="B953"/>
      <c r="C953"/>
      <c r="D953"/>
      <c r="E953"/>
      <c r="F953"/>
      <c r="G953"/>
      <c r="H953"/>
    </row>
    <row r="954" spans="2:8" x14ac:dyDescent="0.25">
      <c r="B954"/>
      <c r="C954"/>
      <c r="D954"/>
      <c r="E954"/>
      <c r="F954"/>
      <c r="G954"/>
      <c r="H954"/>
    </row>
    <row r="955" spans="2:8" x14ac:dyDescent="0.25">
      <c r="B955"/>
      <c r="C955"/>
      <c r="D955"/>
      <c r="E955"/>
      <c r="F955"/>
      <c r="G955"/>
      <c r="H955"/>
    </row>
    <row r="956" spans="2:8" x14ac:dyDescent="0.25">
      <c r="B956"/>
      <c r="C956"/>
      <c r="D956"/>
      <c r="E956"/>
      <c r="F956"/>
      <c r="G956"/>
      <c r="H956"/>
    </row>
    <row r="957" spans="2:8" x14ac:dyDescent="0.25">
      <c r="B957"/>
      <c r="C957"/>
      <c r="D957"/>
      <c r="E957"/>
      <c r="F957"/>
      <c r="G957"/>
      <c r="H957"/>
    </row>
    <row r="958" spans="2:8" x14ac:dyDescent="0.25">
      <c r="B958"/>
      <c r="C958"/>
      <c r="D958"/>
      <c r="E958"/>
      <c r="F958"/>
      <c r="G958"/>
      <c r="H958"/>
    </row>
    <row r="959" spans="2:8" x14ac:dyDescent="0.25">
      <c r="B959"/>
      <c r="C959"/>
      <c r="D959"/>
      <c r="E959"/>
      <c r="F959"/>
      <c r="G959"/>
      <c r="H959"/>
    </row>
    <row r="960" spans="2:8" x14ac:dyDescent="0.25">
      <c r="B960"/>
      <c r="C960"/>
      <c r="D960"/>
      <c r="E960"/>
      <c r="F960"/>
      <c r="G960"/>
      <c r="H960"/>
    </row>
    <row r="961" spans="2:8" x14ac:dyDescent="0.25">
      <c r="B961"/>
      <c r="C961"/>
      <c r="D961"/>
      <c r="E961"/>
      <c r="F961"/>
      <c r="G961"/>
      <c r="H961"/>
    </row>
    <row r="962" spans="2:8" x14ac:dyDescent="0.25">
      <c r="B962"/>
      <c r="C962"/>
      <c r="D962"/>
      <c r="E962"/>
      <c r="F962"/>
      <c r="G962"/>
      <c r="H962"/>
    </row>
    <row r="963" spans="2:8" x14ac:dyDescent="0.25">
      <c r="B963"/>
      <c r="C963"/>
      <c r="D963"/>
      <c r="E963"/>
      <c r="F963"/>
      <c r="G963"/>
      <c r="H963"/>
    </row>
    <row r="964" spans="2:8" x14ac:dyDescent="0.25">
      <c r="B964"/>
      <c r="C964"/>
      <c r="D964"/>
      <c r="E964"/>
      <c r="F964"/>
      <c r="G964"/>
      <c r="H964"/>
    </row>
    <row r="965" spans="2:8" x14ac:dyDescent="0.25">
      <c r="B965"/>
      <c r="C965"/>
      <c r="D965"/>
      <c r="E965"/>
      <c r="F965"/>
      <c r="G965"/>
      <c r="H965"/>
    </row>
    <row r="966" spans="2:8" x14ac:dyDescent="0.25">
      <c r="B966"/>
      <c r="C966"/>
      <c r="D966"/>
      <c r="E966"/>
      <c r="F966"/>
      <c r="G966"/>
      <c r="H966"/>
    </row>
    <row r="967" spans="2:8" x14ac:dyDescent="0.25">
      <c r="B967"/>
      <c r="C967"/>
      <c r="D967"/>
      <c r="E967"/>
      <c r="F967"/>
      <c r="G967"/>
      <c r="H967"/>
    </row>
    <row r="968" spans="2:8" x14ac:dyDescent="0.25">
      <c r="B968"/>
      <c r="C968"/>
      <c r="D968"/>
      <c r="E968"/>
      <c r="F968"/>
      <c r="G968"/>
      <c r="H968"/>
    </row>
    <row r="969" spans="2:8" x14ac:dyDescent="0.25">
      <c r="B969"/>
      <c r="C969"/>
      <c r="D969"/>
      <c r="E969"/>
      <c r="F969"/>
      <c r="G969"/>
      <c r="H969"/>
    </row>
    <row r="970" spans="2:8" x14ac:dyDescent="0.25">
      <c r="B970"/>
      <c r="C970"/>
      <c r="D970"/>
      <c r="E970"/>
      <c r="F970"/>
      <c r="G970"/>
      <c r="H970"/>
    </row>
    <row r="971" spans="2:8" x14ac:dyDescent="0.25">
      <c r="B971"/>
      <c r="C971"/>
      <c r="D971"/>
      <c r="E971"/>
      <c r="F971"/>
      <c r="G971"/>
      <c r="H971"/>
    </row>
    <row r="972" spans="2:8" x14ac:dyDescent="0.25">
      <c r="B972"/>
      <c r="C972"/>
      <c r="D972"/>
      <c r="E972"/>
      <c r="F972"/>
      <c r="G972"/>
      <c r="H972"/>
    </row>
    <row r="973" spans="2:8" x14ac:dyDescent="0.25">
      <c r="B973"/>
      <c r="C973"/>
      <c r="D973"/>
      <c r="E973"/>
      <c r="F973"/>
      <c r="G973"/>
      <c r="H973"/>
    </row>
    <row r="974" spans="2:8" x14ac:dyDescent="0.25">
      <c r="B974"/>
      <c r="C974"/>
      <c r="D974"/>
      <c r="E974"/>
      <c r="F974"/>
      <c r="G974"/>
      <c r="H974"/>
    </row>
    <row r="975" spans="2:8" x14ac:dyDescent="0.25">
      <c r="B975"/>
      <c r="C975"/>
      <c r="D975"/>
      <c r="E975"/>
      <c r="F975"/>
      <c r="G975"/>
      <c r="H975"/>
    </row>
    <row r="976" spans="2:8" x14ac:dyDescent="0.25">
      <c r="B976"/>
      <c r="C976"/>
      <c r="D976"/>
      <c r="E976"/>
      <c r="F976"/>
      <c r="G976"/>
      <c r="H976"/>
    </row>
    <row r="977" spans="2:8" x14ac:dyDescent="0.25">
      <c r="B977"/>
      <c r="C977"/>
      <c r="D977"/>
      <c r="E977"/>
      <c r="F977"/>
      <c r="G977"/>
      <c r="H977"/>
    </row>
    <row r="978" spans="2:8" x14ac:dyDescent="0.25">
      <c r="B978"/>
      <c r="C978"/>
      <c r="D978"/>
      <c r="E978"/>
      <c r="F978"/>
      <c r="G978"/>
      <c r="H978"/>
    </row>
    <row r="979" spans="2:8" x14ac:dyDescent="0.25">
      <c r="B979"/>
      <c r="C979"/>
      <c r="D979"/>
      <c r="E979"/>
      <c r="F979"/>
      <c r="G979"/>
      <c r="H979"/>
    </row>
    <row r="980" spans="2:8" x14ac:dyDescent="0.25">
      <c r="B980"/>
      <c r="C980"/>
      <c r="D980"/>
      <c r="E980"/>
      <c r="F980"/>
      <c r="G980"/>
      <c r="H980"/>
    </row>
    <row r="981" spans="2:8" x14ac:dyDescent="0.25">
      <c r="B981"/>
      <c r="C981"/>
      <c r="D981"/>
      <c r="E981"/>
      <c r="F981"/>
      <c r="G981"/>
      <c r="H981"/>
    </row>
    <row r="982" spans="2:8" x14ac:dyDescent="0.25">
      <c r="B982"/>
      <c r="C982"/>
      <c r="D982"/>
      <c r="E982"/>
      <c r="F982"/>
      <c r="G982"/>
      <c r="H982"/>
    </row>
    <row r="983" spans="2:8" x14ac:dyDescent="0.25">
      <c r="B983"/>
      <c r="C983"/>
      <c r="D983"/>
      <c r="E983"/>
      <c r="F983"/>
      <c r="G983"/>
      <c r="H983"/>
    </row>
    <row r="984" spans="2:8" x14ac:dyDescent="0.25">
      <c r="B984"/>
      <c r="C984"/>
      <c r="D984"/>
      <c r="E984"/>
      <c r="F984"/>
      <c r="G984"/>
      <c r="H984"/>
    </row>
    <row r="985" spans="2:8" x14ac:dyDescent="0.25">
      <c r="B985"/>
      <c r="C985"/>
      <c r="D985"/>
      <c r="E985"/>
      <c r="F985"/>
      <c r="G985"/>
      <c r="H985"/>
    </row>
    <row r="986" spans="2:8" x14ac:dyDescent="0.25">
      <c r="B986"/>
      <c r="C986"/>
      <c r="D986"/>
      <c r="E986"/>
      <c r="F986"/>
      <c r="G986"/>
      <c r="H986"/>
    </row>
    <row r="987" spans="2:8" x14ac:dyDescent="0.25">
      <c r="B987"/>
      <c r="C987"/>
      <c r="D987"/>
      <c r="E987"/>
      <c r="F987"/>
      <c r="G987"/>
      <c r="H987"/>
    </row>
    <row r="988" spans="2:8" x14ac:dyDescent="0.25">
      <c r="B988"/>
      <c r="C988"/>
      <c r="D988"/>
      <c r="E988"/>
      <c r="F988"/>
      <c r="G988"/>
      <c r="H988"/>
    </row>
    <row r="989" spans="2:8" x14ac:dyDescent="0.25">
      <c r="B989"/>
      <c r="C989"/>
      <c r="D989"/>
      <c r="E989"/>
      <c r="F989"/>
      <c r="G989"/>
      <c r="H989"/>
    </row>
    <row r="990" spans="2:8" x14ac:dyDescent="0.25">
      <c r="B990"/>
      <c r="C990"/>
      <c r="D990"/>
      <c r="E990"/>
      <c r="F990"/>
      <c r="G990"/>
      <c r="H990"/>
    </row>
    <row r="991" spans="2:8" x14ac:dyDescent="0.25">
      <c r="B991"/>
      <c r="C991"/>
      <c r="D991"/>
      <c r="E991"/>
      <c r="F991"/>
      <c r="G991"/>
      <c r="H991"/>
    </row>
    <row r="992" spans="2:8" x14ac:dyDescent="0.25">
      <c r="B992"/>
      <c r="C992"/>
      <c r="D992"/>
      <c r="E992"/>
      <c r="F992"/>
      <c r="G992"/>
      <c r="H992"/>
    </row>
    <row r="993" spans="2:8" x14ac:dyDescent="0.25">
      <c r="B993"/>
      <c r="C993"/>
      <c r="D993"/>
      <c r="E993"/>
      <c r="F993"/>
      <c r="G993"/>
      <c r="H993"/>
    </row>
    <row r="994" spans="2:8" x14ac:dyDescent="0.25">
      <c r="B994"/>
      <c r="C994"/>
      <c r="D994"/>
      <c r="E994"/>
      <c r="F994"/>
      <c r="G994"/>
      <c r="H994"/>
    </row>
    <row r="995" spans="2:8" x14ac:dyDescent="0.25">
      <c r="B995"/>
      <c r="C995"/>
      <c r="D995"/>
      <c r="E995"/>
      <c r="F995"/>
      <c r="G995"/>
      <c r="H995"/>
    </row>
    <row r="996" spans="2:8" x14ac:dyDescent="0.25">
      <c r="B996"/>
      <c r="C996"/>
      <c r="D996"/>
      <c r="E996"/>
      <c r="F996"/>
      <c r="G996"/>
      <c r="H996"/>
    </row>
    <row r="997" spans="2:8" x14ac:dyDescent="0.25">
      <c r="B997"/>
      <c r="C997"/>
      <c r="D997"/>
      <c r="E997"/>
      <c r="F997"/>
      <c r="G997"/>
      <c r="H997"/>
    </row>
    <row r="998" spans="2:8" x14ac:dyDescent="0.25">
      <c r="B998"/>
      <c r="C998"/>
      <c r="D998"/>
      <c r="E998"/>
      <c r="F998"/>
      <c r="G998"/>
      <c r="H998"/>
    </row>
    <row r="999" spans="2:8" x14ac:dyDescent="0.25">
      <c r="B999"/>
      <c r="C999"/>
      <c r="D999"/>
      <c r="E999"/>
      <c r="F999"/>
      <c r="G999"/>
      <c r="H999"/>
    </row>
    <row r="1000" spans="2:8" x14ac:dyDescent="0.25">
      <c r="B1000"/>
      <c r="C1000"/>
      <c r="D1000"/>
      <c r="E1000"/>
      <c r="F1000"/>
      <c r="G1000"/>
      <c r="H1000"/>
    </row>
    <row r="1001" spans="2:8" x14ac:dyDescent="0.25">
      <c r="B1001"/>
      <c r="C1001"/>
      <c r="D1001"/>
      <c r="E1001"/>
      <c r="F1001"/>
      <c r="G1001"/>
      <c r="H1001"/>
    </row>
    <row r="1002" spans="2:8" x14ac:dyDescent="0.25">
      <c r="B1002"/>
      <c r="C1002"/>
      <c r="D1002"/>
      <c r="E1002"/>
      <c r="F1002"/>
      <c r="G1002"/>
      <c r="H1002"/>
    </row>
    <row r="1003" spans="2:8" x14ac:dyDescent="0.25">
      <c r="B1003"/>
      <c r="C1003"/>
      <c r="D1003"/>
      <c r="E1003"/>
      <c r="F1003"/>
      <c r="G1003"/>
      <c r="H1003"/>
    </row>
    <row r="1004" spans="2:8" x14ac:dyDescent="0.25">
      <c r="B1004"/>
      <c r="C1004"/>
      <c r="D1004"/>
      <c r="E1004"/>
      <c r="F1004"/>
      <c r="G1004"/>
      <c r="H1004"/>
    </row>
    <row r="1005" spans="2:8" x14ac:dyDescent="0.25">
      <c r="B1005"/>
      <c r="C1005"/>
      <c r="D1005"/>
      <c r="E1005"/>
      <c r="F1005"/>
      <c r="G1005"/>
      <c r="H1005"/>
    </row>
  </sheetData>
  <sheetProtection pivotTables="0"/>
  <mergeCells count="2">
    <mergeCell ref="C3:H6"/>
    <mergeCell ref="E7:H7"/>
  </mergeCells>
  <conditionalFormatting sqref="B1:H6 B1006:H1048576 B8:H8 B7:E7 B9:E1005">
    <cfRule type="cellIs" dxfId="411" priority="1" operator="equal">
      <formula>"(blank)"</formula>
    </cfRule>
  </conditionalFormatting>
  <printOptions horizontalCentered="1"/>
  <pageMargins left="0.70866141732283505" right="0.70866141732283505" top="0.74803149606299202" bottom="0.74803149606299202" header="0.31496062992126" footer="0.31496062992126"/>
  <pageSetup paperSize="9" scale="91" fitToHeight="0" orientation="portrait" r:id="rId2"/>
  <headerFooter>
    <oddFooter>&amp;CC &amp;P/&amp;N&amp;RStamp/Sign</oddFooter>
  </headerFooter>
  <rowBreaks count="13" manualBreakCount="13">
    <brk id="22" min="2" max="8" man="1"/>
    <brk id="40" min="2" max="8" man="1"/>
    <brk id="62" min="2" max="8" man="1"/>
    <brk id="88" min="2" max="8" man="1"/>
    <brk id="110" min="2" max="8" man="1"/>
    <brk id="138" min="2" max="8" man="1"/>
    <brk id="162" min="2" max="8" man="1"/>
    <brk id="184" min="2" max="8" man="1"/>
    <brk id="208" min="2" max="8" man="1"/>
    <brk id="230" min="2" max="8" man="1"/>
    <brk id="250" min="2" max="8" man="1"/>
    <brk id="278" min="2" max="8" man="1"/>
    <brk id="302" min="2" max="8" man="1"/>
  </rowBreaks>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6e08e27-bbde-4b5f-b5b3-7b08f8477677">
      <Terms xmlns="http://schemas.microsoft.com/office/infopath/2007/PartnerControls"/>
    </lcf76f155ced4ddcb4097134ff3c332f>
    <TaxCatchAll xmlns="35bc4d33-166c-44d7-b537-99ec63f6fc65" xsi:nil="true"/>
    <Fund xmlns="16e08e27-bbde-4b5f-b5b3-7b08f8477677">AIS</Fund>
    <Notes xmlns="16e08e27-bbde-4b5f-b5b3-7b08f8477677">*to be updated</Note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E0CB824D66884478EFFF26A792D0DAA" ma:contentTypeVersion="17" ma:contentTypeDescription="Create a new document." ma:contentTypeScope="" ma:versionID="1f17051b690f214566df70b1a186a3db">
  <xsd:schema xmlns:xsd="http://www.w3.org/2001/XMLSchema" xmlns:xs="http://www.w3.org/2001/XMLSchema" xmlns:p="http://schemas.microsoft.com/office/2006/metadata/properties" xmlns:ns2="16e08e27-bbde-4b5f-b5b3-7b08f8477677" xmlns:ns3="35bc4d33-166c-44d7-b537-99ec63f6fc65" targetNamespace="http://schemas.microsoft.com/office/2006/metadata/properties" ma:root="true" ma:fieldsID="e4a414119e6ea6fec5cc88928876a0fe" ns2:_="" ns3:_="">
    <xsd:import namespace="16e08e27-bbde-4b5f-b5b3-7b08f8477677"/>
    <xsd:import namespace="35bc4d33-166c-44d7-b537-99ec63f6fc65"/>
    <xsd:element name="properties">
      <xsd:complexType>
        <xsd:sequence>
          <xsd:element name="documentManagement">
            <xsd:complexType>
              <xsd:all>
                <xsd:element ref="ns2:Fund" minOccurs="0"/>
                <xsd:element ref="ns2:Notes" minOccurs="0"/>
                <xsd:element ref="ns3:SharedWithUsers" minOccurs="0"/>
                <xsd:element ref="ns3:SharedWithDetails" minOccurs="0"/>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e08e27-bbde-4b5f-b5b3-7b08f8477677" elementFormDefault="qualified">
    <xsd:import namespace="http://schemas.microsoft.com/office/2006/documentManagement/types"/>
    <xsd:import namespace="http://schemas.microsoft.com/office/infopath/2007/PartnerControls"/>
    <xsd:element name="Fund" ma:index="4" nillable="true" ma:displayName="Fund" ma:default="AIS" ma:description="Either Mini, Minor, or AIS" ma:format="Dropdown" ma:internalName="Fund" ma:readOnly="false">
      <xsd:simpleType>
        <xsd:restriction base="dms:Choice">
          <xsd:enumeration value="MINI"/>
          <xsd:enumeration value="MINOR"/>
          <xsd:enumeration value="AIS"/>
        </xsd:restriction>
      </xsd:simpleType>
    </xsd:element>
    <xsd:element name="Notes" ma:index="5" nillable="true" ma:displayName="Notes" ma:default="*to be updated" ma:internalName="Notes0"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28b6fa8-0d9b-4613-8181-974f05299c3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Location" ma:index="22"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5bc4d33-166c-44d7-b537-99ec63f6fc65" elementFormDefault="qualified">
    <xsd:import namespace="http://schemas.microsoft.com/office/2006/documentManagement/types"/>
    <xsd:import namespace="http://schemas.microsoft.com/office/infopath/2007/PartnerControls"/>
    <xsd:element name="SharedWithUsers" ma:index="10"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0e514247-5e60-4c2e-a01e-b2e1e1091316}" ma:internalName="TaxCatchAll" ma:showField="CatchAllData" ma:web="35bc4d33-166c-44d7-b537-99ec63f6fc6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A6BEC24-4151-4057-8918-A9A70A6E5C0D}">
  <ds:schemaRefs>
    <ds:schemaRef ds:uri="http://purl.org/dc/elements/1.1/"/>
    <ds:schemaRef ds:uri="http://schemas.microsoft.com/office/2006/documentManagement/types"/>
    <ds:schemaRef ds:uri="http://schemas.microsoft.com/office/infopath/2007/PartnerControls"/>
    <ds:schemaRef ds:uri="http://purl.org/dc/dcmitype/"/>
    <ds:schemaRef ds:uri="http://schemas.microsoft.com/office/2006/metadata/properties"/>
    <ds:schemaRef ds:uri="http://schemas.openxmlformats.org/package/2006/metadata/core-properties"/>
    <ds:schemaRef ds:uri="885326c2-9ba5-4935-8951-690767ae7454"/>
    <ds:schemaRef ds:uri="0bd225a4-5975-402d-8b0b-ea10ce71c832"/>
    <ds:schemaRef ds:uri="http://www.w3.org/XML/1998/namespace"/>
    <ds:schemaRef ds:uri="http://purl.org/dc/terms/"/>
    <ds:schemaRef ds:uri="16e08e27-bbde-4b5f-b5b3-7b08f8477677"/>
    <ds:schemaRef ds:uri="35bc4d33-166c-44d7-b537-99ec63f6fc65"/>
  </ds:schemaRefs>
</ds:datastoreItem>
</file>

<file path=customXml/itemProps2.xml><?xml version="1.0" encoding="utf-8"?>
<ds:datastoreItem xmlns:ds="http://schemas.openxmlformats.org/officeDocument/2006/customXml" ds:itemID="{0E2F3827-5B08-4961-8855-8FA015F2CA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e08e27-bbde-4b5f-b5b3-7b08f8477677"/>
    <ds:schemaRef ds:uri="35bc4d33-166c-44d7-b537-99ec63f6fc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FD4EF65-9B8E-42FB-8C2A-084F849D41FC}">
  <ds:schemaRefs>
    <ds:schemaRef ds:uri="http://schemas.microsoft.com/sharepoint/v3/contenttype/forms"/>
  </ds:schemaRefs>
</ds:datastoreItem>
</file>

<file path=docMetadata/LabelInfo.xml><?xml version="1.0" encoding="utf-8"?>
<clbl:labelList xmlns:clbl="http://schemas.microsoft.com/office/2020/mipLabelMetadata">
  <clbl:label id="{37b108b2-3842-4dc9-9842-303c9d26cba3}" enabled="0" method="" siteId="{37b108b2-3842-4dc9-9842-303c9d26cba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19</vt:i4>
      </vt:variant>
    </vt:vector>
  </HeadingPairs>
  <TitlesOfParts>
    <vt:vector size="31" baseType="lpstr">
      <vt:lpstr>COMMENT</vt:lpstr>
      <vt:lpstr>1. INSTRUCTION</vt:lpstr>
      <vt:lpstr>2. BQ Normal</vt:lpstr>
      <vt:lpstr>GS</vt:lpstr>
      <vt:lpstr>SECTION SUMMARY</vt:lpstr>
      <vt:lpstr>BQ A (SS)</vt:lpstr>
      <vt:lpstr>BQ A</vt:lpstr>
      <vt:lpstr>Appendix.A</vt:lpstr>
      <vt:lpstr>BQ B (SS)</vt:lpstr>
      <vt:lpstr>BQ B</vt:lpstr>
      <vt:lpstr>BQ C (SS)</vt:lpstr>
      <vt:lpstr>BQ C</vt:lpstr>
      <vt:lpstr>'2. BQ Normal'!Print_Area</vt:lpstr>
      <vt:lpstr>Appendix.A!Print_Area</vt:lpstr>
      <vt:lpstr>'BQ A'!Print_Area</vt:lpstr>
      <vt:lpstr>'BQ A (SS)'!Print_Area</vt:lpstr>
      <vt:lpstr>'BQ B'!Print_Area</vt:lpstr>
      <vt:lpstr>'BQ B (SS)'!Print_Area</vt:lpstr>
      <vt:lpstr>'BQ C'!Print_Area</vt:lpstr>
      <vt:lpstr>'BQ C (SS)'!Print_Area</vt:lpstr>
      <vt:lpstr>GS!Print_Area</vt:lpstr>
      <vt:lpstr>'SECTION SUMMARY'!Print_Area</vt:lpstr>
      <vt:lpstr>'2. BQ Normal'!Print_Titles</vt:lpstr>
      <vt:lpstr>Appendix.A!Print_Titles</vt:lpstr>
      <vt:lpstr>'BQ A'!Print_Titles</vt:lpstr>
      <vt:lpstr>'BQ A (SS)'!Print_Titles</vt:lpstr>
      <vt:lpstr>'BQ B'!Print_Titles</vt:lpstr>
      <vt:lpstr>'BQ B (SS)'!Print_Titles</vt:lpstr>
      <vt:lpstr>'BQ C'!Print_Titles</vt:lpstr>
      <vt:lpstr>'BQ C (SS)'!Print_Titles</vt:lpstr>
      <vt:lpstr>'SECTION SUMMARY'!Print_Titles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X</dc:creator>
  <cp:lastModifiedBy>Khairul Anwar Bin Abdul Halik</cp:lastModifiedBy>
  <cp:lastPrinted>2023-04-11T03:03:09Z</cp:lastPrinted>
  <dcterms:created xsi:type="dcterms:W3CDTF">2019-09-24T02:16:07Z</dcterms:created>
  <dcterms:modified xsi:type="dcterms:W3CDTF">2023-04-11T03:04:07Z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0x010100F587D6A3BFDF594FB553B29115DF43FB</vt:lpwstr>
  </property>
  <property fmtid="{D5CDD505-2E9C-101B-9397-08002B2CF9AE}" pid="3" name="Order">
    <vt:r8>100</vt:r8>
  </property>
</Properties>
</file>